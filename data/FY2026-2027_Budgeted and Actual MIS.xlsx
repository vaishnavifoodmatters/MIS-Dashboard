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A61644-C9DA-4260-80C2-19EDB6D1BA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Y26-27" sheetId="1" r:id="rId1"/>
    <sheet name="Q1 FY26-27" sheetId="2" r:id="rId2"/>
    <sheet name="Mg St Colaba Comparison" sheetId="3" state="hidden" r:id="rId3"/>
    <sheet name="AOV" sheetId="4" state="hidden" r:id="rId4"/>
    <sheet name="Summary Sheet - May 2026" sheetId="5" r:id="rId5"/>
    <sheet name="Summary Sheet - April 2026" sheetId="6" r:id="rId6"/>
    <sheet name="HO" sheetId="7" r:id="rId7"/>
    <sheet name="The Table" sheetId="8" r:id="rId8"/>
    <sheet name="Iktara" sheetId="9" r:id="rId9"/>
    <sheet name="Mg St Colaba" sheetId="10" r:id="rId10"/>
    <sheet name="Mg St LP" sheetId="11" r:id="rId11"/>
    <sheet name="Mg St Bandra" sheetId="12" r:id="rId12"/>
    <sheet name="MSK Events" sheetId="13" r:id="rId13"/>
    <sheet name="MSBC" sheetId="14" r:id="rId14"/>
    <sheet name="Kaspers" sheetId="15" r:id="rId15"/>
    <sheet name="MSBC Andheri" sheetId="16" r:id="rId16"/>
    <sheet name="MSBC Dahisar" sheetId="17" r:id="rId17"/>
    <sheet name="MSBC Juhu  Goregoan" sheetId="18" r:id="rId18"/>
    <sheet name="LOUD MOUTH" sheetId="19" r:id="rId19"/>
    <sheet name="MSBC Summary" sheetId="20" state="hidden" r:id="rId20"/>
    <sheet name="Sheet13" sheetId="21" state="hidden" r:id="rId21"/>
    <sheet name="Targets" sheetId="22" state="hidden" r:id="rId22"/>
    <sheet name="Calculation Sheet for GST on Pu" sheetId="23" r:id="rId23"/>
    <sheet name="MSBC CK Allocation" sheetId="24" r:id="rId24"/>
    <sheet name="Mg St Bandra - Comparison" sheetId="25" state="hidden" r:id="rId25"/>
    <sheet name="Mg St LP - Comparison" sheetId="26" state="hidden" r:id="rId26"/>
    <sheet name="Table Summary - Comparison" sheetId="27" state="hidden" r:id="rId27"/>
    <sheet name="Kasper Summary - Comparison" sheetId="28" state="hidden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5" l="1"/>
  <c r="K27" i="5"/>
  <c r="K26" i="5"/>
  <c r="K25" i="5"/>
  <c r="K24" i="5"/>
  <c r="K23" i="5"/>
  <c r="K22" i="5"/>
  <c r="K21" i="5"/>
  <c r="K20" i="5"/>
  <c r="K19" i="5"/>
  <c r="K14" i="5"/>
  <c r="K13" i="5"/>
  <c r="K12" i="5"/>
  <c r="K9" i="5"/>
  <c r="K8" i="5"/>
  <c r="K7" i="5"/>
  <c r="K6" i="5"/>
  <c r="C33" i="5"/>
  <c r="K33" i="5"/>
  <c r="BG33" i="5"/>
  <c r="J137" i="18"/>
  <c r="BC33" i="5"/>
  <c r="BC34" i="5" s="1"/>
  <c r="AY33" i="5"/>
  <c r="AU33" i="5"/>
  <c r="AQ33" i="5"/>
  <c r="AM33" i="5"/>
  <c r="AI33" i="5"/>
  <c r="AE33" i="5"/>
  <c r="AA33" i="5"/>
  <c r="AA34" i="5" s="1"/>
  <c r="D29" i="10"/>
  <c r="J29" i="10"/>
  <c r="BJ34" i="5"/>
  <c r="BI34" i="5"/>
  <c r="BH34" i="5"/>
  <c r="BG34" i="5"/>
  <c r="BF34" i="5"/>
  <c r="BE34" i="5"/>
  <c r="BD34" i="5"/>
  <c r="BB34" i="5"/>
  <c r="BA34" i="5"/>
  <c r="AZ34" i="5"/>
  <c r="AY34" i="5"/>
  <c r="AU34" i="5"/>
  <c r="AQ34" i="5"/>
  <c r="AM34" i="5"/>
  <c r="AI34" i="5"/>
  <c r="AE34" i="5"/>
  <c r="S34" i="5"/>
  <c r="S33" i="5"/>
  <c r="O26" i="5"/>
  <c r="G34" i="5"/>
  <c r="O33" i="5"/>
  <c r="G33" i="5"/>
  <c r="BG35" i="6"/>
  <c r="BG33" i="6"/>
  <c r="D137" i="18"/>
  <c r="BC33" i="6"/>
  <c r="BC35" i="6" s="1"/>
  <c r="AY35" i="6"/>
  <c r="AY33" i="6"/>
  <c r="AU35" i="6"/>
  <c r="AU33" i="6"/>
  <c r="AQ35" i="6"/>
  <c r="AQ33" i="6"/>
  <c r="AM33" i="6"/>
  <c r="AM35" i="6"/>
  <c r="AI35" i="6"/>
  <c r="AI33" i="6"/>
  <c r="AE35" i="6"/>
  <c r="AE33" i="6"/>
  <c r="AA35" i="6"/>
  <c r="AA33" i="6"/>
  <c r="S35" i="6"/>
  <c r="S33" i="6"/>
  <c r="O26" i="6"/>
  <c r="G35" i="6"/>
  <c r="O33" i="6"/>
  <c r="G33" i="6"/>
  <c r="W45" i="28"/>
  <c r="U45" i="28"/>
  <c r="S45" i="28"/>
  <c r="Q45" i="28"/>
  <c r="Z41" i="28"/>
  <c r="X41" i="28"/>
  <c r="W41" i="28"/>
  <c r="U41" i="28"/>
  <c r="V41" i="28" s="1"/>
  <c r="O41" i="28"/>
  <c r="P41" i="28" s="1"/>
  <c r="M41" i="28"/>
  <c r="K41" i="28"/>
  <c r="K43" i="28" s="1"/>
  <c r="K46" i="28" s="1"/>
  <c r="J41" i="28"/>
  <c r="I41" i="28"/>
  <c r="H41" i="28"/>
  <c r="G41" i="28"/>
  <c r="E41" i="28"/>
  <c r="C41" i="28"/>
  <c r="Y40" i="28"/>
  <c r="X39" i="28"/>
  <c r="S39" i="28"/>
  <c r="Y39" i="28" s="1"/>
  <c r="X38" i="28"/>
  <c r="W38" i="28"/>
  <c r="Y38" i="28" s="1"/>
  <c r="AA37" i="28"/>
  <c r="Y37" i="28"/>
  <c r="Y36" i="28"/>
  <c r="AA36" i="28" s="1"/>
  <c r="X35" i="28"/>
  <c r="W35" i="28"/>
  <c r="U35" i="28"/>
  <c r="Y35" i="28" s="1"/>
  <c r="AA35" i="28" s="1"/>
  <c r="S35" i="28"/>
  <c r="Q35" i="28"/>
  <c r="S34" i="28"/>
  <c r="Y34" i="28" s="1"/>
  <c r="AA34" i="28" s="1"/>
  <c r="Q34" i="28"/>
  <c r="X33" i="28"/>
  <c r="W33" i="28"/>
  <c r="U33" i="28"/>
  <c r="Y33" i="28" s="1"/>
  <c r="AA33" i="28" s="1"/>
  <c r="S33" i="28"/>
  <c r="Q33" i="28"/>
  <c r="W32" i="28"/>
  <c r="X32" i="28" s="1"/>
  <c r="U32" i="28"/>
  <c r="S32" i="28"/>
  <c r="Q32" i="28"/>
  <c r="Y32" i="28" s="1"/>
  <c r="AA32" i="28" s="1"/>
  <c r="X31" i="28"/>
  <c r="W31" i="28"/>
  <c r="U31" i="28"/>
  <c r="Y31" i="28" s="1"/>
  <c r="AA31" i="28" s="1"/>
  <c r="S31" i="28"/>
  <c r="Q31" i="28"/>
  <c r="W30" i="28"/>
  <c r="U30" i="28"/>
  <c r="S30" i="28"/>
  <c r="Q30" i="28"/>
  <c r="Y30" i="28" s="1"/>
  <c r="AA30" i="28" s="1"/>
  <c r="X29" i="28"/>
  <c r="W29" i="28"/>
  <c r="U29" i="28"/>
  <c r="S29" i="28"/>
  <c r="Q29" i="28"/>
  <c r="Y29" i="28" s="1"/>
  <c r="AA29" i="28" s="1"/>
  <c r="X28" i="28"/>
  <c r="W28" i="28"/>
  <c r="U28" i="28"/>
  <c r="S28" i="28"/>
  <c r="Q28" i="28"/>
  <c r="Y28" i="28" s="1"/>
  <c r="AA28" i="28" s="1"/>
  <c r="W27" i="28"/>
  <c r="U27" i="28"/>
  <c r="Y27" i="28" s="1"/>
  <c r="AA27" i="28" s="1"/>
  <c r="S27" i="28"/>
  <c r="Q27" i="28"/>
  <c r="W26" i="28"/>
  <c r="X26" i="28" s="1"/>
  <c r="U26" i="28"/>
  <c r="S26" i="28"/>
  <c r="Y26" i="28" s="1"/>
  <c r="AA26" i="28" s="1"/>
  <c r="Q26" i="28"/>
  <c r="Q41" i="28" s="1"/>
  <c r="R41" i="28" s="1"/>
  <c r="W25" i="28"/>
  <c r="U25" i="28"/>
  <c r="S25" i="28"/>
  <c r="Y25" i="28" s="1"/>
  <c r="M23" i="28"/>
  <c r="M43" i="28" s="1"/>
  <c r="K23" i="28"/>
  <c r="L23" i="28" s="1"/>
  <c r="I23" i="28"/>
  <c r="J23" i="28" s="1"/>
  <c r="C23" i="28"/>
  <c r="C43" i="28" s="1"/>
  <c r="G22" i="28"/>
  <c r="Z21" i="28"/>
  <c r="Q21" i="28"/>
  <c r="R21" i="28" s="1"/>
  <c r="O21" i="28"/>
  <c r="N21" i="28"/>
  <c r="M21" i="28"/>
  <c r="L21" i="28"/>
  <c r="K21" i="28"/>
  <c r="J21" i="28"/>
  <c r="I21" i="28"/>
  <c r="G21" i="28"/>
  <c r="E21" i="28"/>
  <c r="F21" i="28" s="1"/>
  <c r="C21" i="28"/>
  <c r="J20" i="28"/>
  <c r="AA19" i="28"/>
  <c r="Y19" i="28"/>
  <c r="X18" i="28"/>
  <c r="W18" i="28"/>
  <c r="W21" i="28" s="1"/>
  <c r="U18" i="28"/>
  <c r="U21" i="28" s="1"/>
  <c r="S18" i="28"/>
  <c r="S21" i="28" s="1"/>
  <c r="Q18" i="28"/>
  <c r="Y18" i="28" s="1"/>
  <c r="Z15" i="28"/>
  <c r="Z23" i="28" s="1"/>
  <c r="Z43" i="28" s="1"/>
  <c r="W15" i="28"/>
  <c r="X37" i="28" s="1"/>
  <c r="Q15" i="28"/>
  <c r="Q23" i="28" s="1"/>
  <c r="O15" i="28"/>
  <c r="O23" i="28" s="1"/>
  <c r="M15" i="28"/>
  <c r="N15" i="28" s="1"/>
  <c r="K15" i="28"/>
  <c r="L15" i="28" s="1"/>
  <c r="I15" i="28"/>
  <c r="J15" i="28" s="1"/>
  <c r="H15" i="28"/>
  <c r="G15" i="28"/>
  <c r="G23" i="28" s="1"/>
  <c r="G43" i="28" s="1"/>
  <c r="E15" i="28"/>
  <c r="E23" i="28" s="1"/>
  <c r="C15" i="28"/>
  <c r="D20" i="28" s="1"/>
  <c r="X14" i="28"/>
  <c r="S14" i="28"/>
  <c r="Q14" i="28"/>
  <c r="Y14" i="28" s="1"/>
  <c r="X13" i="28"/>
  <c r="W13" i="28"/>
  <c r="U13" i="28"/>
  <c r="S13" i="28"/>
  <c r="Q13" i="28"/>
  <c r="Y13" i="28" s="1"/>
  <c r="AA13" i="28" s="1"/>
  <c r="X12" i="28"/>
  <c r="W12" i="28"/>
  <c r="U12" i="28"/>
  <c r="Y12" i="28" s="1"/>
  <c r="AA12" i="28" s="1"/>
  <c r="S12" i="28"/>
  <c r="Q12" i="28"/>
  <c r="W11" i="28"/>
  <c r="X11" i="28" s="1"/>
  <c r="U11" i="28"/>
  <c r="S11" i="28"/>
  <c r="Y11" i="28" s="1"/>
  <c r="AA11" i="28" s="1"/>
  <c r="Q11" i="28"/>
  <c r="X10" i="28"/>
  <c r="W10" i="28"/>
  <c r="U10" i="28"/>
  <c r="U15" i="28" s="1"/>
  <c r="S10" i="28"/>
  <c r="S15" i="28" s="1"/>
  <c r="Q10" i="28"/>
  <c r="Y10" i="28" s="1"/>
  <c r="W42" i="27"/>
  <c r="U42" i="27"/>
  <c r="S42" i="27"/>
  <c r="Q42" i="27"/>
  <c r="O42" i="27"/>
  <c r="M42" i="27"/>
  <c r="K42" i="27"/>
  <c r="I42" i="27"/>
  <c r="G42" i="27"/>
  <c r="W38" i="27"/>
  <c r="X38" i="27" s="1"/>
  <c r="U38" i="27"/>
  <c r="V38" i="27" s="1"/>
  <c r="S38" i="27"/>
  <c r="Q38" i="27"/>
  <c r="R38" i="27" s="1"/>
  <c r="G38" i="27"/>
  <c r="E38" i="27"/>
  <c r="U37" i="27"/>
  <c r="M37" i="27"/>
  <c r="N37" i="27" s="1"/>
  <c r="K37" i="27"/>
  <c r="L37" i="27" s="1"/>
  <c r="I37" i="27"/>
  <c r="E37" i="27"/>
  <c r="W36" i="27"/>
  <c r="X36" i="27" s="1"/>
  <c r="S36" i="27"/>
  <c r="Q36" i="27"/>
  <c r="R36" i="27" s="1"/>
  <c r="O36" i="27"/>
  <c r="M36" i="27"/>
  <c r="K36" i="27"/>
  <c r="I36" i="27"/>
  <c r="W35" i="27"/>
  <c r="X35" i="27" s="1"/>
  <c r="U35" i="27"/>
  <c r="V35" i="27" s="1"/>
  <c r="S35" i="27"/>
  <c r="Q35" i="27"/>
  <c r="R35" i="27" s="1"/>
  <c r="O35" i="27"/>
  <c r="M35" i="27"/>
  <c r="K35" i="27"/>
  <c r="L35" i="27" s="1"/>
  <c r="I35" i="27"/>
  <c r="J35" i="27" s="1"/>
  <c r="G35" i="27"/>
  <c r="E35" i="27"/>
  <c r="F35" i="27" s="1"/>
  <c r="C35" i="27"/>
  <c r="Z34" i="27"/>
  <c r="W34" i="27"/>
  <c r="U34" i="27"/>
  <c r="S34" i="27"/>
  <c r="Q34" i="27"/>
  <c r="O34" i="27"/>
  <c r="M34" i="27"/>
  <c r="K34" i="27"/>
  <c r="I34" i="27"/>
  <c r="G34" i="27"/>
  <c r="E34" i="27"/>
  <c r="C34" i="27"/>
  <c r="Z33" i="27"/>
  <c r="W33" i="27"/>
  <c r="X33" i="27" s="1"/>
  <c r="U33" i="27"/>
  <c r="V33" i="27" s="1"/>
  <c r="S33" i="27"/>
  <c r="Q33" i="27"/>
  <c r="R33" i="27" s="1"/>
  <c r="O33" i="27"/>
  <c r="M33" i="27"/>
  <c r="N33" i="27" s="1"/>
  <c r="K33" i="27"/>
  <c r="L33" i="27" s="1"/>
  <c r="I33" i="27"/>
  <c r="J33" i="27" s="1"/>
  <c r="G33" i="27"/>
  <c r="E33" i="27"/>
  <c r="F33" i="27" s="1"/>
  <c r="C33" i="27"/>
  <c r="Y33" i="27" s="1"/>
  <c r="AA33" i="27" s="1"/>
  <c r="Z32" i="27"/>
  <c r="W32" i="27"/>
  <c r="U32" i="27"/>
  <c r="S32" i="27"/>
  <c r="Q32" i="27"/>
  <c r="R32" i="27" s="1"/>
  <c r="O32" i="27"/>
  <c r="M32" i="27"/>
  <c r="K32" i="27"/>
  <c r="I32" i="27"/>
  <c r="G32" i="27"/>
  <c r="E32" i="27"/>
  <c r="F32" i="27" s="1"/>
  <c r="C32" i="27"/>
  <c r="Y32" i="27" s="1"/>
  <c r="AA32" i="27" s="1"/>
  <c r="Z31" i="27"/>
  <c r="W31" i="27"/>
  <c r="X31" i="27" s="1"/>
  <c r="U31" i="27"/>
  <c r="V31" i="27" s="1"/>
  <c r="S31" i="27"/>
  <c r="Q31" i="27"/>
  <c r="R31" i="27" s="1"/>
  <c r="O31" i="27"/>
  <c r="M31" i="27"/>
  <c r="N31" i="27" s="1"/>
  <c r="K31" i="27"/>
  <c r="L31" i="27" s="1"/>
  <c r="I31" i="27"/>
  <c r="J31" i="27" s="1"/>
  <c r="G31" i="27"/>
  <c r="E31" i="27"/>
  <c r="F31" i="27" s="1"/>
  <c r="C31" i="27"/>
  <c r="Y31" i="27" s="1"/>
  <c r="AA31" i="27" s="1"/>
  <c r="Z30" i="27"/>
  <c r="W30" i="27"/>
  <c r="U30" i="27"/>
  <c r="S30" i="27"/>
  <c r="R30" i="27"/>
  <c r="Q30" i="27"/>
  <c r="O30" i="27"/>
  <c r="M30" i="27"/>
  <c r="K30" i="27"/>
  <c r="I30" i="27"/>
  <c r="G30" i="27"/>
  <c r="F30" i="27"/>
  <c r="E30" i="27"/>
  <c r="Z29" i="27"/>
  <c r="W29" i="27"/>
  <c r="X29" i="27" s="1"/>
  <c r="U29" i="27"/>
  <c r="V29" i="27" s="1"/>
  <c r="S29" i="27"/>
  <c r="R29" i="27"/>
  <c r="Q29" i="27"/>
  <c r="O29" i="27"/>
  <c r="P29" i="27" s="1"/>
  <c r="M29" i="27"/>
  <c r="N29" i="27" s="1"/>
  <c r="K29" i="27"/>
  <c r="L29" i="27" s="1"/>
  <c r="I29" i="27"/>
  <c r="J29" i="27" s="1"/>
  <c r="G29" i="27"/>
  <c r="F29" i="27"/>
  <c r="E29" i="27"/>
  <c r="Z28" i="27"/>
  <c r="W28" i="27"/>
  <c r="U28" i="27"/>
  <c r="V28" i="27" s="1"/>
  <c r="S28" i="27"/>
  <c r="R28" i="27"/>
  <c r="Q28" i="27"/>
  <c r="O28" i="27"/>
  <c r="M28" i="27"/>
  <c r="K28" i="27"/>
  <c r="I28" i="27"/>
  <c r="J28" i="27" s="1"/>
  <c r="G28" i="27"/>
  <c r="F28" i="27"/>
  <c r="E28" i="27"/>
  <c r="Z27" i="27"/>
  <c r="W27" i="27"/>
  <c r="X27" i="27" s="1"/>
  <c r="U27" i="27"/>
  <c r="V27" i="27" s="1"/>
  <c r="S27" i="27"/>
  <c r="Q27" i="27"/>
  <c r="R27" i="27" s="1"/>
  <c r="O27" i="27"/>
  <c r="P27" i="27" s="1"/>
  <c r="M27" i="27"/>
  <c r="N27" i="27" s="1"/>
  <c r="K27" i="27"/>
  <c r="L27" i="27" s="1"/>
  <c r="I27" i="27"/>
  <c r="J27" i="27" s="1"/>
  <c r="G27" i="27"/>
  <c r="E27" i="27"/>
  <c r="F27" i="27" s="1"/>
  <c r="Z26" i="27"/>
  <c r="W26" i="27"/>
  <c r="X26" i="27" s="1"/>
  <c r="U26" i="27"/>
  <c r="S26" i="27"/>
  <c r="Q26" i="27"/>
  <c r="O26" i="27"/>
  <c r="M26" i="27"/>
  <c r="K26" i="27"/>
  <c r="L26" i="27" s="1"/>
  <c r="I26" i="27"/>
  <c r="G26" i="27"/>
  <c r="E26" i="27"/>
  <c r="Z25" i="27"/>
  <c r="W25" i="27"/>
  <c r="X25" i="27" s="1"/>
  <c r="U25" i="27"/>
  <c r="S25" i="27"/>
  <c r="Q25" i="27"/>
  <c r="R25" i="27" s="1"/>
  <c r="O25" i="27"/>
  <c r="P25" i="27" s="1"/>
  <c r="M25" i="27"/>
  <c r="N25" i="27" s="1"/>
  <c r="K25" i="27"/>
  <c r="L25" i="27" s="1"/>
  <c r="I25" i="27"/>
  <c r="G25" i="27"/>
  <c r="E25" i="27"/>
  <c r="F25" i="27" s="1"/>
  <c r="Z24" i="27"/>
  <c r="W24" i="27"/>
  <c r="U24" i="27"/>
  <c r="S24" i="27"/>
  <c r="Q24" i="27"/>
  <c r="O24" i="27"/>
  <c r="M24" i="27"/>
  <c r="N24" i="27" s="1"/>
  <c r="K24" i="27"/>
  <c r="I24" i="27"/>
  <c r="G24" i="27"/>
  <c r="E24" i="27"/>
  <c r="Z23" i="27"/>
  <c r="W23" i="27"/>
  <c r="U23" i="27"/>
  <c r="V23" i="27" s="1"/>
  <c r="S23" i="27"/>
  <c r="Q23" i="27"/>
  <c r="R23" i="27" s="1"/>
  <c r="O23" i="27"/>
  <c r="P23" i="27" s="1"/>
  <c r="M23" i="27"/>
  <c r="K23" i="27"/>
  <c r="I23" i="27"/>
  <c r="J23" i="27" s="1"/>
  <c r="G23" i="27"/>
  <c r="E23" i="27"/>
  <c r="F23" i="27" s="1"/>
  <c r="Z22" i="27"/>
  <c r="Z38" i="27" s="1"/>
  <c r="W22" i="27"/>
  <c r="U22" i="27"/>
  <c r="S22" i="27"/>
  <c r="Q22" i="27"/>
  <c r="O22" i="27"/>
  <c r="O38" i="27" s="1"/>
  <c r="P38" i="27" s="1"/>
  <c r="M22" i="27"/>
  <c r="M38" i="27" s="1"/>
  <c r="N38" i="27" s="1"/>
  <c r="K22" i="27"/>
  <c r="K38" i="27" s="1"/>
  <c r="I22" i="27"/>
  <c r="I38" i="27" s="1"/>
  <c r="J38" i="27" s="1"/>
  <c r="G22" i="27"/>
  <c r="E22" i="27"/>
  <c r="G19" i="27"/>
  <c r="Z18" i="27"/>
  <c r="Q18" i="27"/>
  <c r="R18" i="27" s="1"/>
  <c r="O18" i="27"/>
  <c r="P18" i="27" s="1"/>
  <c r="M18" i="27"/>
  <c r="E18" i="27"/>
  <c r="F18" i="27" s="1"/>
  <c r="Z16" i="27"/>
  <c r="W16" i="27"/>
  <c r="X16" i="27" s="1"/>
  <c r="U16" i="27"/>
  <c r="V16" i="27" s="1"/>
  <c r="S16" i="27"/>
  <c r="Q16" i="27"/>
  <c r="R16" i="27" s="1"/>
  <c r="O16" i="27"/>
  <c r="P16" i="27" s="1"/>
  <c r="M16" i="27"/>
  <c r="N16" i="27" s="1"/>
  <c r="K16" i="27"/>
  <c r="L16" i="27" s="1"/>
  <c r="I16" i="27"/>
  <c r="J16" i="27" s="1"/>
  <c r="G16" i="27"/>
  <c r="E16" i="27"/>
  <c r="F16" i="27" s="1"/>
  <c r="C16" i="27"/>
  <c r="Z15" i="27"/>
  <c r="W15" i="27"/>
  <c r="W18" i="27" s="1"/>
  <c r="X18" i="27" s="1"/>
  <c r="U15" i="27"/>
  <c r="U18" i="27" s="1"/>
  <c r="V18" i="27" s="1"/>
  <c r="S15" i="27"/>
  <c r="S18" i="27" s="1"/>
  <c r="Q15" i="27"/>
  <c r="O15" i="27"/>
  <c r="M15" i="27"/>
  <c r="K15" i="27"/>
  <c r="K18" i="27" s="1"/>
  <c r="L18" i="27" s="1"/>
  <c r="I15" i="27"/>
  <c r="I18" i="27" s="1"/>
  <c r="J18" i="27" s="1"/>
  <c r="G15" i="27"/>
  <c r="G18" i="27" s="1"/>
  <c r="E15" i="27"/>
  <c r="W12" i="27"/>
  <c r="X30" i="27" s="1"/>
  <c r="V12" i="27"/>
  <c r="U12" i="27"/>
  <c r="V32" i="27" s="1"/>
  <c r="Q12" i="27"/>
  <c r="R12" i="27" s="1"/>
  <c r="K12" i="27"/>
  <c r="L30" i="27" s="1"/>
  <c r="J12" i="27"/>
  <c r="I12" i="27"/>
  <c r="J36" i="27" s="1"/>
  <c r="E12" i="27"/>
  <c r="F12" i="27" s="1"/>
  <c r="W11" i="27"/>
  <c r="X11" i="27" s="1"/>
  <c r="U11" i="27"/>
  <c r="V11" i="27" s="1"/>
  <c r="S11" i="27"/>
  <c r="Q11" i="27"/>
  <c r="O11" i="27"/>
  <c r="M11" i="27"/>
  <c r="K11" i="27"/>
  <c r="L11" i="27" s="1"/>
  <c r="I11" i="27"/>
  <c r="J11" i="27" s="1"/>
  <c r="G11" i="27"/>
  <c r="E11" i="27"/>
  <c r="C11" i="27"/>
  <c r="Z10" i="27"/>
  <c r="W10" i="27"/>
  <c r="X10" i="27" s="1"/>
  <c r="V10" i="27"/>
  <c r="U10" i="27"/>
  <c r="S10" i="27"/>
  <c r="Q10" i="27"/>
  <c r="R10" i="27" s="1"/>
  <c r="O10" i="27"/>
  <c r="M10" i="27"/>
  <c r="N10" i="27" s="1"/>
  <c r="K10" i="27"/>
  <c r="L10" i="27" s="1"/>
  <c r="J10" i="27"/>
  <c r="I10" i="27"/>
  <c r="G10" i="27"/>
  <c r="E10" i="27"/>
  <c r="F10" i="27" s="1"/>
  <c r="C10" i="27"/>
  <c r="Y10" i="27" s="1"/>
  <c r="AA10" i="27" s="1"/>
  <c r="Z9" i="27"/>
  <c r="W9" i="27"/>
  <c r="X9" i="27" s="1"/>
  <c r="V9" i="27"/>
  <c r="U9" i="27"/>
  <c r="S9" i="27"/>
  <c r="Q9" i="27"/>
  <c r="R9" i="27" s="1"/>
  <c r="O9" i="27"/>
  <c r="M9" i="27"/>
  <c r="N9" i="27" s="1"/>
  <c r="K9" i="27"/>
  <c r="L9" i="27" s="1"/>
  <c r="J9" i="27"/>
  <c r="I9" i="27"/>
  <c r="G9" i="27"/>
  <c r="E9" i="27"/>
  <c r="F9" i="27" s="1"/>
  <c r="Z8" i="27"/>
  <c r="X8" i="27"/>
  <c r="W8" i="27"/>
  <c r="U8" i="27"/>
  <c r="V8" i="27" s="1"/>
  <c r="S8" i="27"/>
  <c r="R8" i="27"/>
  <c r="Q8" i="27"/>
  <c r="O8" i="27"/>
  <c r="P8" i="27" s="1"/>
  <c r="M8" i="27"/>
  <c r="N8" i="27" s="1"/>
  <c r="L8" i="27"/>
  <c r="K8" i="27"/>
  <c r="I8" i="27"/>
  <c r="J8" i="27" s="1"/>
  <c r="G8" i="27"/>
  <c r="F8" i="27"/>
  <c r="E8" i="27"/>
  <c r="C8" i="27"/>
  <c r="Z7" i="27"/>
  <c r="Z12" i="27" s="1"/>
  <c r="Z20" i="27" s="1"/>
  <c r="Z40" i="27" s="1"/>
  <c r="W7" i="27"/>
  <c r="U7" i="27"/>
  <c r="S7" i="27"/>
  <c r="R7" i="27"/>
  <c r="Q7" i="27"/>
  <c r="O7" i="27"/>
  <c r="O12" i="27" s="1"/>
  <c r="M7" i="27"/>
  <c r="M12" i="27" s="1"/>
  <c r="K7" i="27"/>
  <c r="I7" i="27"/>
  <c r="G7" i="27"/>
  <c r="F7" i="27"/>
  <c r="E7" i="27"/>
  <c r="C7" i="27"/>
  <c r="F28" i="26"/>
  <c r="E28" i="26"/>
  <c r="I27" i="26"/>
  <c r="H27" i="26"/>
  <c r="F26" i="26"/>
  <c r="E26" i="26"/>
  <c r="D26" i="26"/>
  <c r="K25" i="26"/>
  <c r="J25" i="26"/>
  <c r="I25" i="26"/>
  <c r="F25" i="26"/>
  <c r="E25" i="26"/>
  <c r="D25" i="26"/>
  <c r="K24" i="26"/>
  <c r="J24" i="26"/>
  <c r="I24" i="26"/>
  <c r="H24" i="26"/>
  <c r="G24" i="26"/>
  <c r="F24" i="26"/>
  <c r="E24" i="26"/>
  <c r="D24" i="26"/>
  <c r="K23" i="26"/>
  <c r="J23" i="26"/>
  <c r="I23" i="26"/>
  <c r="H23" i="26"/>
  <c r="G23" i="26"/>
  <c r="F23" i="26"/>
  <c r="E23" i="26"/>
  <c r="D23" i="26"/>
  <c r="K22" i="26"/>
  <c r="J22" i="26"/>
  <c r="I22" i="26"/>
  <c r="H22" i="26"/>
  <c r="G22" i="26"/>
  <c r="F22" i="26"/>
  <c r="E22" i="26"/>
  <c r="D22" i="26"/>
  <c r="K21" i="26"/>
  <c r="J21" i="26"/>
  <c r="I21" i="26"/>
  <c r="H21" i="26"/>
  <c r="G21" i="26"/>
  <c r="F21" i="26"/>
  <c r="E21" i="26"/>
  <c r="D21" i="26"/>
  <c r="K20" i="26"/>
  <c r="J20" i="26"/>
  <c r="I20" i="26"/>
  <c r="H20" i="26"/>
  <c r="G20" i="26"/>
  <c r="F20" i="26"/>
  <c r="E20" i="26"/>
  <c r="D20" i="26"/>
  <c r="K19" i="26"/>
  <c r="J19" i="26"/>
  <c r="I19" i="26"/>
  <c r="H19" i="26"/>
  <c r="G19" i="26"/>
  <c r="F19" i="26"/>
  <c r="E19" i="26"/>
  <c r="D19" i="26"/>
  <c r="K18" i="26"/>
  <c r="J18" i="26"/>
  <c r="I18" i="26"/>
  <c r="H18" i="26"/>
  <c r="G18" i="26"/>
  <c r="F18" i="26"/>
  <c r="E18" i="26"/>
  <c r="D18" i="26"/>
  <c r="K17" i="26"/>
  <c r="K27" i="26" s="1"/>
  <c r="J17" i="26"/>
  <c r="J27" i="26" s="1"/>
  <c r="I17" i="26"/>
  <c r="H17" i="26"/>
  <c r="G17" i="26"/>
  <c r="G27" i="26" s="1"/>
  <c r="F17" i="26"/>
  <c r="F27" i="26" s="1"/>
  <c r="E17" i="26"/>
  <c r="E27" i="26" s="1"/>
  <c r="D17" i="26"/>
  <c r="D27" i="26" s="1"/>
  <c r="F16" i="26"/>
  <c r="E16" i="26"/>
  <c r="C16" i="26"/>
  <c r="H13" i="26"/>
  <c r="G13" i="26"/>
  <c r="F13" i="26"/>
  <c r="E13" i="26"/>
  <c r="D13" i="26"/>
  <c r="C13" i="26"/>
  <c r="G12" i="26"/>
  <c r="F12" i="26"/>
  <c r="E12" i="26"/>
  <c r="K11" i="26"/>
  <c r="J11" i="26"/>
  <c r="I11" i="26"/>
  <c r="H11" i="26"/>
  <c r="H12" i="26" s="1"/>
  <c r="G11" i="26"/>
  <c r="F11" i="26"/>
  <c r="E11" i="26"/>
  <c r="D11" i="26"/>
  <c r="D12" i="26" s="1"/>
  <c r="K10" i="26"/>
  <c r="K12" i="26" s="1"/>
  <c r="J10" i="26"/>
  <c r="J12" i="26" s="1"/>
  <c r="I10" i="26"/>
  <c r="I12" i="26" s="1"/>
  <c r="I14" i="26" s="1"/>
  <c r="H10" i="26"/>
  <c r="G10" i="26"/>
  <c r="F10" i="26"/>
  <c r="E10" i="26"/>
  <c r="D10" i="26"/>
  <c r="F9" i="26"/>
  <c r="E9" i="26"/>
  <c r="D9" i="26"/>
  <c r="C9" i="26"/>
  <c r="K8" i="26"/>
  <c r="K14" i="26" s="1"/>
  <c r="I8" i="26"/>
  <c r="F8" i="26"/>
  <c r="F14" i="26" s="1"/>
  <c r="E8" i="26"/>
  <c r="E14" i="26" s="1"/>
  <c r="K7" i="26"/>
  <c r="J7" i="26"/>
  <c r="I7" i="26"/>
  <c r="H7" i="26"/>
  <c r="G7" i="26"/>
  <c r="F7" i="26"/>
  <c r="E7" i="26"/>
  <c r="D7" i="26"/>
  <c r="K6" i="26"/>
  <c r="J6" i="26"/>
  <c r="I6" i="26"/>
  <c r="H6" i="26"/>
  <c r="G6" i="26"/>
  <c r="F6" i="26"/>
  <c r="E6" i="26"/>
  <c r="D6" i="26"/>
  <c r="K5" i="26"/>
  <c r="J5" i="26"/>
  <c r="I5" i="26"/>
  <c r="H5" i="26"/>
  <c r="F5" i="26"/>
  <c r="E5" i="26"/>
  <c r="D5" i="26"/>
  <c r="K4" i="26"/>
  <c r="J4" i="26"/>
  <c r="J8" i="26" s="1"/>
  <c r="I4" i="26"/>
  <c r="H4" i="26"/>
  <c r="H8" i="26" s="1"/>
  <c r="G4" i="26"/>
  <c r="G8" i="26" s="1"/>
  <c r="G14" i="26" s="1"/>
  <c r="F4" i="26"/>
  <c r="E4" i="26"/>
  <c r="D4" i="26"/>
  <c r="D8" i="26" s="1"/>
  <c r="F29" i="25"/>
  <c r="E29" i="25"/>
  <c r="D28" i="25"/>
  <c r="H25" i="25"/>
  <c r="G25" i="25"/>
  <c r="F25" i="25"/>
  <c r="E25" i="25"/>
  <c r="D25" i="25"/>
  <c r="H24" i="25"/>
  <c r="G24" i="25"/>
  <c r="F24" i="25"/>
  <c r="E24" i="25"/>
  <c r="D24" i="25"/>
  <c r="H23" i="25"/>
  <c r="G23" i="25"/>
  <c r="F23" i="25"/>
  <c r="E23" i="25"/>
  <c r="D23" i="25"/>
  <c r="H22" i="25"/>
  <c r="G22" i="25"/>
  <c r="F22" i="25"/>
  <c r="E22" i="25"/>
  <c r="D22" i="25"/>
  <c r="H21" i="25"/>
  <c r="G21" i="25"/>
  <c r="F21" i="25"/>
  <c r="E21" i="25"/>
  <c r="D21" i="25"/>
  <c r="H20" i="25"/>
  <c r="G20" i="25"/>
  <c r="F20" i="25"/>
  <c r="E20" i="25"/>
  <c r="D20" i="25"/>
  <c r="H19" i="25"/>
  <c r="G19" i="25"/>
  <c r="F19" i="25"/>
  <c r="E19" i="25"/>
  <c r="D19" i="25"/>
  <c r="H18" i="25"/>
  <c r="H28" i="25" s="1"/>
  <c r="G18" i="25"/>
  <c r="G28" i="25" s="1"/>
  <c r="F18" i="25"/>
  <c r="F28" i="25" s="1"/>
  <c r="E18" i="25"/>
  <c r="E28" i="25" s="1"/>
  <c r="D18" i="25"/>
  <c r="F17" i="25"/>
  <c r="E17" i="25"/>
  <c r="D17" i="25"/>
  <c r="C17" i="25"/>
  <c r="F14" i="25"/>
  <c r="E14" i="25"/>
  <c r="H12" i="25"/>
  <c r="G12" i="25"/>
  <c r="F12" i="25"/>
  <c r="E12" i="25"/>
  <c r="D12" i="25"/>
  <c r="C12" i="25"/>
  <c r="H11" i="25"/>
  <c r="G11" i="25"/>
  <c r="F11" i="25"/>
  <c r="E11" i="25"/>
  <c r="D11" i="25"/>
  <c r="C11" i="25"/>
  <c r="H10" i="25"/>
  <c r="H13" i="25" s="1"/>
  <c r="G10" i="25"/>
  <c r="G13" i="25" s="1"/>
  <c r="F10" i="25"/>
  <c r="F13" i="25" s="1"/>
  <c r="E10" i="25"/>
  <c r="E13" i="25" s="1"/>
  <c r="D10" i="25"/>
  <c r="D13" i="25" s="1"/>
  <c r="F9" i="25"/>
  <c r="E9" i="25"/>
  <c r="D9" i="25"/>
  <c r="C9" i="25"/>
  <c r="H7" i="25"/>
  <c r="G7" i="25"/>
  <c r="F7" i="25"/>
  <c r="E7" i="25"/>
  <c r="D7" i="25"/>
  <c r="H6" i="25"/>
  <c r="G6" i="25"/>
  <c r="F6" i="25"/>
  <c r="E6" i="25"/>
  <c r="D6" i="25"/>
  <c r="H5" i="25"/>
  <c r="G5" i="25"/>
  <c r="F5" i="25"/>
  <c r="E5" i="25"/>
  <c r="D5" i="25"/>
  <c r="H4" i="25"/>
  <c r="H8" i="25" s="1"/>
  <c r="H15" i="25" s="1"/>
  <c r="G4" i="25"/>
  <c r="G8" i="25" s="1"/>
  <c r="G15" i="25" s="1"/>
  <c r="F4" i="25"/>
  <c r="F8" i="25" s="1"/>
  <c r="F15" i="25" s="1"/>
  <c r="E4" i="25"/>
  <c r="E8" i="25" s="1"/>
  <c r="E15" i="25" s="1"/>
  <c r="D4" i="25"/>
  <c r="D8" i="25" s="1"/>
  <c r="D15" i="25" s="1"/>
  <c r="D9" i="24"/>
  <c r="C9" i="24"/>
  <c r="D8" i="24"/>
  <c r="C8" i="24"/>
  <c r="C14" i="24" s="1"/>
  <c r="D7" i="24"/>
  <c r="D14" i="24" s="1"/>
  <c r="C7" i="24"/>
  <c r="D16" i="23"/>
  <c r="C16" i="23"/>
  <c r="D15" i="23"/>
  <c r="C15" i="23"/>
  <c r="D14" i="23"/>
  <c r="C14" i="23"/>
  <c r="D13" i="23"/>
  <c r="D12" i="23"/>
  <c r="C12" i="23"/>
  <c r="C11" i="23"/>
  <c r="C10" i="23"/>
  <c r="C9" i="23"/>
  <c r="D8" i="23"/>
  <c r="C8" i="23"/>
  <c r="C7" i="23"/>
  <c r="C4" i="23"/>
  <c r="D29" i="22"/>
  <c r="C29" i="22"/>
  <c r="B29" i="22"/>
  <c r="D27" i="22"/>
  <c r="C27" i="22"/>
  <c r="B27" i="22"/>
  <c r="F27" i="22" s="1"/>
  <c r="C24" i="22"/>
  <c r="L23" i="22"/>
  <c r="L22" i="22"/>
  <c r="F22" i="22"/>
  <c r="J16" i="22" s="1"/>
  <c r="D22" i="22"/>
  <c r="D24" i="22" s="1"/>
  <c r="C22" i="22"/>
  <c r="B22" i="22"/>
  <c r="B24" i="22" s="1"/>
  <c r="F16" i="22"/>
  <c r="J15" i="22" s="1"/>
  <c r="D16" i="22"/>
  <c r="D18" i="22" s="1"/>
  <c r="C16" i="22"/>
  <c r="C18" i="22" s="1"/>
  <c r="B16" i="22"/>
  <c r="B18" i="22" s="1"/>
  <c r="B10" i="22"/>
  <c r="D8" i="22"/>
  <c r="D10" i="22" s="1"/>
  <c r="C8" i="22"/>
  <c r="C10" i="22" s="1"/>
  <c r="D6" i="22"/>
  <c r="D5" i="22"/>
  <c r="C5" i="22"/>
  <c r="B5" i="22"/>
  <c r="D4" i="22"/>
  <c r="C4" i="22"/>
  <c r="C6" i="22" s="1"/>
  <c r="B4" i="22"/>
  <c r="F4" i="22" s="1"/>
  <c r="G29" i="20"/>
  <c r="H28" i="20"/>
  <c r="G28" i="20"/>
  <c r="F28" i="20"/>
  <c r="E28" i="20"/>
  <c r="D28" i="20"/>
  <c r="I27" i="20"/>
  <c r="G27" i="20"/>
  <c r="H26" i="20"/>
  <c r="G26" i="20"/>
  <c r="F26" i="20"/>
  <c r="E26" i="20"/>
  <c r="D26" i="20"/>
  <c r="H25" i="20"/>
  <c r="G25" i="20"/>
  <c r="F25" i="20"/>
  <c r="E25" i="20"/>
  <c r="D25" i="20"/>
  <c r="H24" i="20"/>
  <c r="G24" i="20"/>
  <c r="F24" i="20"/>
  <c r="E24" i="20"/>
  <c r="D24" i="20"/>
  <c r="H23" i="20"/>
  <c r="G23" i="20"/>
  <c r="F23" i="20"/>
  <c r="E23" i="20"/>
  <c r="D23" i="20"/>
  <c r="H22" i="20"/>
  <c r="G22" i="20"/>
  <c r="F22" i="20"/>
  <c r="E22" i="20"/>
  <c r="D22" i="20"/>
  <c r="H21" i="20"/>
  <c r="G21" i="20"/>
  <c r="F21" i="20"/>
  <c r="E21" i="20"/>
  <c r="D21" i="20"/>
  <c r="H20" i="20"/>
  <c r="G20" i="20"/>
  <c r="F20" i="20"/>
  <c r="E20" i="20"/>
  <c r="D20" i="20"/>
  <c r="H19" i="20"/>
  <c r="H29" i="20" s="1"/>
  <c r="G19" i="20"/>
  <c r="F19" i="20"/>
  <c r="F29" i="20" s="1"/>
  <c r="E19" i="20"/>
  <c r="E29" i="20" s="1"/>
  <c r="D19" i="20"/>
  <c r="D29" i="20" s="1"/>
  <c r="G16" i="20"/>
  <c r="G31" i="20" s="1"/>
  <c r="G32" i="20" s="1"/>
  <c r="G14" i="20"/>
  <c r="F14" i="20"/>
  <c r="E14" i="20"/>
  <c r="I13" i="20"/>
  <c r="H13" i="20"/>
  <c r="G13" i="20"/>
  <c r="F13" i="20"/>
  <c r="E13" i="20"/>
  <c r="D13" i="20"/>
  <c r="C13" i="20"/>
  <c r="H12" i="20"/>
  <c r="G12" i="20"/>
  <c r="F12" i="20"/>
  <c r="E12" i="20"/>
  <c r="D12" i="20"/>
  <c r="C12" i="20"/>
  <c r="I12" i="20" s="1"/>
  <c r="H11" i="20"/>
  <c r="H14" i="20" s="1"/>
  <c r="G11" i="20"/>
  <c r="F11" i="20"/>
  <c r="E11" i="20"/>
  <c r="D11" i="20"/>
  <c r="D14" i="20" s="1"/>
  <c r="G9" i="20"/>
  <c r="F9" i="20"/>
  <c r="F16" i="20" s="1"/>
  <c r="E9" i="20"/>
  <c r="E16" i="20" s="1"/>
  <c r="D9" i="20"/>
  <c r="D16" i="20" s="1"/>
  <c r="H7" i="20"/>
  <c r="H9" i="20" s="1"/>
  <c r="H16" i="20" s="1"/>
  <c r="G7" i="20"/>
  <c r="F7" i="20"/>
  <c r="E7" i="20"/>
  <c r="D7" i="20"/>
  <c r="N123" i="19"/>
  <c r="H123" i="19"/>
  <c r="F121" i="19"/>
  <c r="F123" i="19" s="1"/>
  <c r="G123" i="19" s="1"/>
  <c r="N117" i="19"/>
  <c r="L117" i="19"/>
  <c r="J117" i="19"/>
  <c r="H117" i="19"/>
  <c r="F117" i="19"/>
  <c r="D117" i="19"/>
  <c r="N114" i="19"/>
  <c r="H114" i="19"/>
  <c r="N113" i="19"/>
  <c r="N112" i="19" s="1"/>
  <c r="H113" i="19"/>
  <c r="L112" i="19"/>
  <c r="L121" i="19" s="1"/>
  <c r="J112" i="19"/>
  <c r="H112" i="19"/>
  <c r="F112" i="19"/>
  <c r="D112" i="19"/>
  <c r="N96" i="19"/>
  <c r="M96" i="19"/>
  <c r="L96" i="19"/>
  <c r="J96" i="19"/>
  <c r="H96" i="19"/>
  <c r="F96" i="19"/>
  <c r="G96" i="19" s="1"/>
  <c r="D96" i="19"/>
  <c r="N92" i="19"/>
  <c r="M92" i="19"/>
  <c r="L92" i="19"/>
  <c r="J92" i="19"/>
  <c r="H92" i="19"/>
  <c r="G92" i="19"/>
  <c r="F92" i="19"/>
  <c r="D92" i="19"/>
  <c r="N90" i="19"/>
  <c r="K90" i="19"/>
  <c r="H90" i="19"/>
  <c r="H89" i="19" s="1"/>
  <c r="N89" i="19"/>
  <c r="M89" i="19"/>
  <c r="L89" i="19"/>
  <c r="J89" i="19"/>
  <c r="F89" i="19"/>
  <c r="G89" i="19" s="1"/>
  <c r="D89" i="19"/>
  <c r="D80" i="19"/>
  <c r="N77" i="19"/>
  <c r="L77" i="19"/>
  <c r="M77" i="19" s="1"/>
  <c r="J77" i="19"/>
  <c r="H77" i="19"/>
  <c r="F77" i="19"/>
  <c r="G77" i="19" s="1"/>
  <c r="D77" i="19"/>
  <c r="N70" i="19"/>
  <c r="L70" i="19"/>
  <c r="M70" i="19" s="1"/>
  <c r="J70" i="19"/>
  <c r="H70" i="19"/>
  <c r="F70" i="19"/>
  <c r="G70" i="19" s="1"/>
  <c r="D70" i="19"/>
  <c r="K67" i="19"/>
  <c r="K66" i="19"/>
  <c r="E66" i="19"/>
  <c r="N63" i="19"/>
  <c r="L63" i="19"/>
  <c r="J63" i="19"/>
  <c r="H63" i="19"/>
  <c r="F63" i="19"/>
  <c r="G63" i="19" s="1"/>
  <c r="D63" i="19"/>
  <c r="O54" i="19"/>
  <c r="N54" i="19"/>
  <c r="M54" i="19"/>
  <c r="L54" i="19"/>
  <c r="J54" i="19"/>
  <c r="H54" i="19"/>
  <c r="I54" i="19" s="1"/>
  <c r="F54" i="19"/>
  <c r="G54" i="19" s="1"/>
  <c r="D54" i="19"/>
  <c r="L51" i="19"/>
  <c r="J51" i="19"/>
  <c r="J121" i="19" s="1"/>
  <c r="F51" i="19"/>
  <c r="D51" i="19"/>
  <c r="N50" i="19"/>
  <c r="H50" i="19"/>
  <c r="N49" i="19"/>
  <c r="H49" i="19"/>
  <c r="N48" i="19"/>
  <c r="H48" i="19"/>
  <c r="N47" i="19"/>
  <c r="N51" i="19" s="1"/>
  <c r="H47" i="19"/>
  <c r="N46" i="19"/>
  <c r="H46" i="19"/>
  <c r="H51" i="19" s="1"/>
  <c r="N45" i="19"/>
  <c r="H45" i="19"/>
  <c r="N44" i="19"/>
  <c r="H44" i="19"/>
  <c r="J41" i="19"/>
  <c r="J39" i="19"/>
  <c r="D39" i="19"/>
  <c r="D41" i="19" s="1"/>
  <c r="N29" i="19"/>
  <c r="L29" i="19"/>
  <c r="M63" i="19" s="1"/>
  <c r="H29" i="19"/>
  <c r="F29" i="19"/>
  <c r="J26" i="19"/>
  <c r="J29" i="19" s="1"/>
  <c r="D19" i="19"/>
  <c r="N16" i="19"/>
  <c r="L16" i="19"/>
  <c r="H16" i="19"/>
  <c r="F16" i="19"/>
  <c r="J15" i="19"/>
  <c r="F135" i="18"/>
  <c r="N131" i="18"/>
  <c r="L131" i="18"/>
  <c r="J131" i="18"/>
  <c r="J135" i="18" s="1"/>
  <c r="K135" i="18" s="1"/>
  <c r="H131" i="18"/>
  <c r="F131" i="18"/>
  <c r="D131" i="18"/>
  <c r="N129" i="18"/>
  <c r="H129" i="18"/>
  <c r="E129" i="18"/>
  <c r="N128" i="18"/>
  <c r="N127" i="18" s="1"/>
  <c r="H128" i="18"/>
  <c r="H127" i="18" s="1"/>
  <c r="L127" i="18"/>
  <c r="J127" i="18"/>
  <c r="F127" i="18"/>
  <c r="D127" i="18"/>
  <c r="N112" i="18"/>
  <c r="L112" i="18"/>
  <c r="J112" i="18"/>
  <c r="H112" i="18"/>
  <c r="F112" i="18"/>
  <c r="D112" i="18"/>
  <c r="N108" i="18"/>
  <c r="L108" i="18"/>
  <c r="K108" i="18"/>
  <c r="J108" i="18"/>
  <c r="H108" i="18"/>
  <c r="F108" i="18"/>
  <c r="D108" i="18"/>
  <c r="N106" i="18"/>
  <c r="H106" i="18"/>
  <c r="N105" i="18"/>
  <c r="L105" i="18"/>
  <c r="J105" i="18"/>
  <c r="H105" i="18"/>
  <c r="F105" i="18"/>
  <c r="D105" i="18"/>
  <c r="N95" i="18"/>
  <c r="L95" i="18"/>
  <c r="K95" i="18"/>
  <c r="J95" i="18"/>
  <c r="H95" i="18"/>
  <c r="F95" i="18"/>
  <c r="D95" i="18"/>
  <c r="N89" i="18"/>
  <c r="L89" i="18"/>
  <c r="J89" i="18"/>
  <c r="H89" i="18"/>
  <c r="F89" i="18"/>
  <c r="D89" i="18"/>
  <c r="E89" i="18" s="1"/>
  <c r="D87" i="18"/>
  <c r="E87" i="18" s="1"/>
  <c r="K86" i="18"/>
  <c r="E86" i="18"/>
  <c r="K85" i="18"/>
  <c r="E85" i="18"/>
  <c r="N82" i="18"/>
  <c r="L82" i="18"/>
  <c r="J82" i="18"/>
  <c r="K82" i="18" s="1"/>
  <c r="H82" i="18"/>
  <c r="F82" i="18"/>
  <c r="D82" i="18"/>
  <c r="E82" i="18" s="1"/>
  <c r="N80" i="18"/>
  <c r="K80" i="18"/>
  <c r="D80" i="18"/>
  <c r="E79" i="18"/>
  <c r="E77" i="18"/>
  <c r="E76" i="18"/>
  <c r="E75" i="18"/>
  <c r="N74" i="18"/>
  <c r="L74" i="18"/>
  <c r="J74" i="18"/>
  <c r="K74" i="18" s="1"/>
  <c r="F74" i="18"/>
  <c r="D74" i="18"/>
  <c r="E74" i="18" s="1"/>
  <c r="L62" i="18"/>
  <c r="J62" i="18"/>
  <c r="F62" i="18"/>
  <c r="D62" i="18"/>
  <c r="N61" i="18"/>
  <c r="H61" i="18"/>
  <c r="N60" i="18"/>
  <c r="H60" i="18"/>
  <c r="N59" i="18"/>
  <c r="H59" i="18"/>
  <c r="N58" i="18"/>
  <c r="H58" i="18"/>
  <c r="N57" i="18"/>
  <c r="H57" i="18"/>
  <c r="H62" i="18" s="1"/>
  <c r="N56" i="18"/>
  <c r="H56" i="18"/>
  <c r="N55" i="18"/>
  <c r="H55" i="18"/>
  <c r="N49" i="18"/>
  <c r="M49" i="18"/>
  <c r="L49" i="18"/>
  <c r="K49" i="18"/>
  <c r="J49" i="18"/>
  <c r="H49" i="18"/>
  <c r="F49" i="18"/>
  <c r="G49" i="18" s="1"/>
  <c r="D49" i="18"/>
  <c r="E49" i="18" s="1"/>
  <c r="F38" i="18"/>
  <c r="N36" i="18"/>
  <c r="N38" i="18" s="1"/>
  <c r="L36" i="18"/>
  <c r="L38" i="18" s="1"/>
  <c r="M53" i="18" s="1"/>
  <c r="H36" i="18"/>
  <c r="H38" i="18" s="1"/>
  <c r="F36" i="18"/>
  <c r="J26" i="18"/>
  <c r="L23" i="18"/>
  <c r="L26" i="18" s="1"/>
  <c r="J23" i="18"/>
  <c r="I23" i="18"/>
  <c r="G23" i="18"/>
  <c r="E23" i="18"/>
  <c r="D23" i="18"/>
  <c r="D26" i="18" s="1"/>
  <c r="D19" i="18"/>
  <c r="N17" i="18"/>
  <c r="N23" i="18" s="1"/>
  <c r="N26" i="18" s="1"/>
  <c r="K17" i="18"/>
  <c r="H17" i="18"/>
  <c r="H16" i="18" s="1"/>
  <c r="E17" i="18"/>
  <c r="N16" i="18"/>
  <c r="L16" i="18"/>
  <c r="F16" i="18"/>
  <c r="J15" i="18"/>
  <c r="D15" i="18"/>
  <c r="N123" i="17"/>
  <c r="H123" i="17"/>
  <c r="N116" i="17"/>
  <c r="L116" i="17"/>
  <c r="J116" i="17"/>
  <c r="H116" i="17"/>
  <c r="F116" i="17"/>
  <c r="D116" i="17"/>
  <c r="N114" i="17"/>
  <c r="H114" i="17"/>
  <c r="N113" i="17"/>
  <c r="H113" i="17"/>
  <c r="N112" i="17"/>
  <c r="L112" i="17"/>
  <c r="J112" i="17"/>
  <c r="F112" i="17"/>
  <c r="D112" i="17"/>
  <c r="N97" i="17"/>
  <c r="L97" i="17"/>
  <c r="M97" i="17" s="1"/>
  <c r="J97" i="17"/>
  <c r="K97" i="17" s="1"/>
  <c r="H97" i="17"/>
  <c r="G97" i="17"/>
  <c r="F97" i="17"/>
  <c r="D97" i="17"/>
  <c r="N93" i="17"/>
  <c r="M93" i="17"/>
  <c r="L93" i="17"/>
  <c r="J93" i="17"/>
  <c r="H93" i="17"/>
  <c r="F93" i="17"/>
  <c r="G93" i="17" s="1"/>
  <c r="D93" i="17"/>
  <c r="N91" i="17"/>
  <c r="H91" i="17"/>
  <c r="N90" i="17"/>
  <c r="L90" i="17"/>
  <c r="M90" i="17" s="1"/>
  <c r="J90" i="17"/>
  <c r="H90" i="17"/>
  <c r="F90" i="17"/>
  <c r="D90" i="17"/>
  <c r="N80" i="17"/>
  <c r="L80" i="17"/>
  <c r="M80" i="17" s="1"/>
  <c r="J80" i="17"/>
  <c r="K80" i="17" s="1"/>
  <c r="H80" i="17"/>
  <c r="G80" i="17"/>
  <c r="F80" i="17"/>
  <c r="D80" i="17"/>
  <c r="N74" i="17"/>
  <c r="L74" i="17"/>
  <c r="K74" i="17"/>
  <c r="J74" i="17"/>
  <c r="H74" i="17"/>
  <c r="F74" i="17"/>
  <c r="G74" i="17" s="1"/>
  <c r="D74" i="17"/>
  <c r="D72" i="17"/>
  <c r="K70" i="17"/>
  <c r="E70" i="17"/>
  <c r="J68" i="17"/>
  <c r="E68" i="17"/>
  <c r="N65" i="17"/>
  <c r="L65" i="17"/>
  <c r="M65" i="17" s="1"/>
  <c r="H65" i="17"/>
  <c r="F65" i="17"/>
  <c r="D65" i="17"/>
  <c r="N63" i="17"/>
  <c r="H63" i="17"/>
  <c r="I63" i="17" s="1"/>
  <c r="D63" i="17"/>
  <c r="D57" i="17" s="1"/>
  <c r="M60" i="17"/>
  <c r="I60" i="17"/>
  <c r="G59" i="17"/>
  <c r="L57" i="17"/>
  <c r="M57" i="17" s="1"/>
  <c r="J57" i="17"/>
  <c r="K57" i="17" s="1"/>
  <c r="H57" i="17"/>
  <c r="I57" i="17" s="1"/>
  <c r="F57" i="17"/>
  <c r="G57" i="17" s="1"/>
  <c r="L55" i="17"/>
  <c r="J55" i="17"/>
  <c r="F55" i="17"/>
  <c r="D55" i="17"/>
  <c r="N54" i="17"/>
  <c r="H54" i="17"/>
  <c r="N53" i="17"/>
  <c r="H53" i="17"/>
  <c r="N52" i="17"/>
  <c r="H52" i="17"/>
  <c r="N51" i="17"/>
  <c r="H51" i="17"/>
  <c r="N50" i="17"/>
  <c r="H50" i="17"/>
  <c r="H55" i="17" s="1"/>
  <c r="N49" i="17"/>
  <c r="H49" i="17"/>
  <c r="N48" i="17"/>
  <c r="H48" i="17"/>
  <c r="N44" i="17"/>
  <c r="N46" i="17" s="1"/>
  <c r="L44" i="17"/>
  <c r="L46" i="17" s="1"/>
  <c r="F44" i="17"/>
  <c r="F46" i="17" s="1"/>
  <c r="I43" i="17"/>
  <c r="H43" i="17"/>
  <c r="G43" i="17"/>
  <c r="F43" i="17"/>
  <c r="I40" i="17"/>
  <c r="H40" i="17"/>
  <c r="H44" i="17" s="1"/>
  <c r="H46" i="17" s="1"/>
  <c r="G40" i="17"/>
  <c r="F40" i="17"/>
  <c r="L27" i="17"/>
  <c r="M58" i="17" s="1"/>
  <c r="H27" i="17"/>
  <c r="I59" i="17" s="1"/>
  <c r="F27" i="17"/>
  <c r="J24" i="17"/>
  <c r="J27" i="17" s="1"/>
  <c r="D19" i="17"/>
  <c r="N17" i="17"/>
  <c r="N24" i="17" s="1"/>
  <c r="N27" i="17" s="1"/>
  <c r="H17" i="17"/>
  <c r="H24" i="17" s="1"/>
  <c r="N15" i="17"/>
  <c r="J15" i="17"/>
  <c r="H15" i="17"/>
  <c r="M134" i="16"/>
  <c r="N129" i="16"/>
  <c r="L129" i="16"/>
  <c r="J129" i="16"/>
  <c r="H129" i="16"/>
  <c r="F129" i="16"/>
  <c r="D129" i="16"/>
  <c r="N127" i="16"/>
  <c r="N125" i="16" s="1"/>
  <c r="H127" i="16"/>
  <c r="N126" i="16"/>
  <c r="H126" i="16"/>
  <c r="H125" i="16" s="1"/>
  <c r="L125" i="16"/>
  <c r="L134" i="16" s="1"/>
  <c r="J125" i="16"/>
  <c r="F125" i="16"/>
  <c r="D125" i="16"/>
  <c r="N110" i="16"/>
  <c r="L110" i="16"/>
  <c r="M110" i="16" s="1"/>
  <c r="J110" i="16"/>
  <c r="H110" i="16"/>
  <c r="G110" i="16"/>
  <c r="F110" i="16"/>
  <c r="D110" i="16"/>
  <c r="D108" i="16"/>
  <c r="N106" i="16"/>
  <c r="M106" i="16"/>
  <c r="L106" i="16"/>
  <c r="J106" i="16"/>
  <c r="H106" i="16"/>
  <c r="F106" i="16"/>
  <c r="G106" i="16" s="1"/>
  <c r="D106" i="16"/>
  <c r="N104" i="16"/>
  <c r="H104" i="16"/>
  <c r="N103" i="16"/>
  <c r="M103" i="16"/>
  <c r="L103" i="16"/>
  <c r="J103" i="16"/>
  <c r="H103" i="16"/>
  <c r="F103" i="16"/>
  <c r="G103" i="16" s="1"/>
  <c r="D103" i="16"/>
  <c r="N93" i="16"/>
  <c r="M93" i="16"/>
  <c r="L93" i="16"/>
  <c r="J93" i="16"/>
  <c r="H93" i="16"/>
  <c r="F93" i="16"/>
  <c r="G93" i="16" s="1"/>
  <c r="D93" i="16"/>
  <c r="N87" i="16"/>
  <c r="M87" i="16"/>
  <c r="L87" i="16"/>
  <c r="J87" i="16"/>
  <c r="H87" i="16"/>
  <c r="F87" i="16"/>
  <c r="G87" i="16" s="1"/>
  <c r="D87" i="16"/>
  <c r="D85" i="16"/>
  <c r="D78" i="16" s="1"/>
  <c r="K83" i="16"/>
  <c r="E83" i="16"/>
  <c r="K81" i="16"/>
  <c r="E81" i="16"/>
  <c r="N78" i="16"/>
  <c r="L78" i="16"/>
  <c r="M78" i="16" s="1"/>
  <c r="J78" i="16"/>
  <c r="H78" i="16"/>
  <c r="G78" i="16"/>
  <c r="F78" i="16"/>
  <c r="N76" i="16"/>
  <c r="M76" i="16"/>
  <c r="J76" i="16"/>
  <c r="K76" i="16" s="1"/>
  <c r="H76" i="16"/>
  <c r="I76" i="16" s="1"/>
  <c r="D76" i="16"/>
  <c r="G75" i="16"/>
  <c r="G73" i="16"/>
  <c r="G72" i="16"/>
  <c r="G71" i="16"/>
  <c r="D71" i="16"/>
  <c r="N70" i="16"/>
  <c r="L70" i="16"/>
  <c r="M70" i="16" s="1"/>
  <c r="J70" i="16"/>
  <c r="H70" i="16"/>
  <c r="I70" i="16" s="1"/>
  <c r="F70" i="16"/>
  <c r="G70" i="16" s="1"/>
  <c r="D70" i="16"/>
  <c r="L58" i="16"/>
  <c r="J58" i="16"/>
  <c r="J134" i="16" s="1"/>
  <c r="K134" i="16" s="1"/>
  <c r="F58" i="16"/>
  <c r="D58" i="16"/>
  <c r="N57" i="16"/>
  <c r="H57" i="16"/>
  <c r="N56" i="16"/>
  <c r="H56" i="16"/>
  <c r="N55" i="16"/>
  <c r="H55" i="16"/>
  <c r="N54" i="16"/>
  <c r="H54" i="16"/>
  <c r="N53" i="16"/>
  <c r="N58" i="16" s="1"/>
  <c r="H53" i="16"/>
  <c r="H58" i="16" s="1"/>
  <c r="N52" i="16"/>
  <c r="H52" i="16"/>
  <c r="N51" i="16"/>
  <c r="H51" i="16"/>
  <c r="N48" i="16"/>
  <c r="L48" i="16"/>
  <c r="J48" i="16"/>
  <c r="K49" i="16" s="1"/>
  <c r="N46" i="16"/>
  <c r="L46" i="16"/>
  <c r="J46" i="16"/>
  <c r="K46" i="16" s="1"/>
  <c r="H46" i="16"/>
  <c r="H48" i="16" s="1"/>
  <c r="I49" i="16" s="1"/>
  <c r="F46" i="16"/>
  <c r="F48" i="16" s="1"/>
  <c r="G49" i="16" s="1"/>
  <c r="J45" i="16"/>
  <c r="J42" i="16"/>
  <c r="L29" i="16"/>
  <c r="M75" i="16" s="1"/>
  <c r="F29" i="16"/>
  <c r="F49" i="16" s="1"/>
  <c r="D29" i="16"/>
  <c r="E110" i="16" s="1"/>
  <c r="J26" i="16"/>
  <c r="J29" i="16" s="1"/>
  <c r="D26" i="16"/>
  <c r="D21" i="16"/>
  <c r="D15" i="16" s="1"/>
  <c r="M19" i="16"/>
  <c r="N18" i="16"/>
  <c r="N16" i="16" s="1"/>
  <c r="M18" i="16"/>
  <c r="H18" i="16"/>
  <c r="H26" i="16" s="1"/>
  <c r="H29" i="16" s="1"/>
  <c r="G18" i="16"/>
  <c r="H16" i="16"/>
  <c r="J15" i="16"/>
  <c r="N131" i="15"/>
  <c r="J131" i="15"/>
  <c r="H131" i="15"/>
  <c r="D131" i="15"/>
  <c r="N127" i="15"/>
  <c r="L127" i="15"/>
  <c r="J127" i="15"/>
  <c r="H127" i="15"/>
  <c r="F127" i="15"/>
  <c r="D127" i="15"/>
  <c r="G106" i="15"/>
  <c r="N104" i="15"/>
  <c r="L104" i="15"/>
  <c r="J104" i="15"/>
  <c r="H104" i="15"/>
  <c r="F104" i="15"/>
  <c r="D104" i="15"/>
  <c r="N100" i="15"/>
  <c r="L100" i="15"/>
  <c r="J100" i="15"/>
  <c r="H100" i="15"/>
  <c r="F100" i="15"/>
  <c r="D100" i="15"/>
  <c r="N97" i="15"/>
  <c r="L97" i="15"/>
  <c r="J97" i="15"/>
  <c r="H97" i="15"/>
  <c r="F97" i="15"/>
  <c r="D97" i="15"/>
  <c r="J90" i="15"/>
  <c r="J89" i="15"/>
  <c r="N86" i="15"/>
  <c r="L86" i="15"/>
  <c r="J86" i="15"/>
  <c r="H86" i="15"/>
  <c r="F86" i="15"/>
  <c r="D86" i="15"/>
  <c r="N80" i="15"/>
  <c r="L80" i="15"/>
  <c r="J80" i="15"/>
  <c r="H80" i="15"/>
  <c r="F80" i="15"/>
  <c r="D80" i="15"/>
  <c r="M76" i="15"/>
  <c r="L76" i="15"/>
  <c r="L73" i="15" s="1"/>
  <c r="G76" i="15"/>
  <c r="F76" i="15"/>
  <c r="F73" i="15" s="1"/>
  <c r="N73" i="15"/>
  <c r="J73" i="15"/>
  <c r="H73" i="15"/>
  <c r="D73" i="15"/>
  <c r="N65" i="15"/>
  <c r="L65" i="15"/>
  <c r="J65" i="15"/>
  <c r="H65" i="15"/>
  <c r="F65" i="15"/>
  <c r="D65" i="15"/>
  <c r="N62" i="15"/>
  <c r="J62" i="15"/>
  <c r="J136" i="15" s="1"/>
  <c r="H62" i="15"/>
  <c r="D62" i="15"/>
  <c r="D136" i="15" s="1"/>
  <c r="F61" i="15"/>
  <c r="J48" i="15"/>
  <c r="N47" i="15"/>
  <c r="N49" i="15" s="1"/>
  <c r="H47" i="15"/>
  <c r="H49" i="15" s="1"/>
  <c r="F46" i="15"/>
  <c r="L45" i="15"/>
  <c r="F45" i="15"/>
  <c r="L44" i="15"/>
  <c r="F44" i="15"/>
  <c r="L43" i="15"/>
  <c r="N29" i="15"/>
  <c r="J29" i="15"/>
  <c r="F29" i="15"/>
  <c r="G82" i="15" s="1"/>
  <c r="N26" i="15"/>
  <c r="L26" i="15"/>
  <c r="L42" i="15" s="1"/>
  <c r="J26" i="15"/>
  <c r="H26" i="15"/>
  <c r="H29" i="15" s="1"/>
  <c r="F26" i="15"/>
  <c r="F43" i="15" s="1"/>
  <c r="D26" i="15"/>
  <c r="D29" i="15" s="1"/>
  <c r="O21" i="15"/>
  <c r="K21" i="15"/>
  <c r="I21" i="15"/>
  <c r="I15" i="15" s="1"/>
  <c r="E21" i="15"/>
  <c r="M20" i="15"/>
  <c r="G20" i="15"/>
  <c r="M19" i="15"/>
  <c r="G19" i="15"/>
  <c r="M18" i="15"/>
  <c r="G18" i="15"/>
  <c r="M17" i="15"/>
  <c r="G17" i="15"/>
  <c r="M16" i="15"/>
  <c r="G16" i="15"/>
  <c r="G15" i="15" s="1"/>
  <c r="M15" i="15"/>
  <c r="L15" i="15"/>
  <c r="J15" i="15"/>
  <c r="H15" i="15"/>
  <c r="F15" i="15"/>
  <c r="E15" i="15"/>
  <c r="D15" i="15"/>
  <c r="D12" i="15"/>
  <c r="D11" i="15"/>
  <c r="J9" i="15"/>
  <c r="J12" i="15" s="1"/>
  <c r="D9" i="15"/>
  <c r="J8" i="15"/>
  <c r="J11" i="15" s="1"/>
  <c r="D8" i="15"/>
  <c r="D10" i="15" s="1"/>
  <c r="N121" i="14"/>
  <c r="H121" i="14"/>
  <c r="N120" i="14"/>
  <c r="N119" i="14" s="1"/>
  <c r="K120" i="14"/>
  <c r="H120" i="14"/>
  <c r="L119" i="14"/>
  <c r="J119" i="14"/>
  <c r="D16" i="24" s="1"/>
  <c r="H119" i="14"/>
  <c r="F119" i="14"/>
  <c r="D119" i="14"/>
  <c r="N117" i="14"/>
  <c r="H117" i="14"/>
  <c r="N116" i="14"/>
  <c r="H116" i="14"/>
  <c r="N115" i="14"/>
  <c r="L115" i="14"/>
  <c r="J115" i="14"/>
  <c r="H115" i="14"/>
  <c r="F115" i="14"/>
  <c r="D115" i="14"/>
  <c r="N113" i="14"/>
  <c r="H113" i="14"/>
  <c r="N112" i="14"/>
  <c r="M112" i="14"/>
  <c r="H112" i="14"/>
  <c r="N111" i="14"/>
  <c r="M111" i="14"/>
  <c r="H111" i="14"/>
  <c r="N110" i="14"/>
  <c r="M110" i="14"/>
  <c r="H110" i="14"/>
  <c r="N109" i="14"/>
  <c r="M109" i="14"/>
  <c r="H109" i="14"/>
  <c r="N108" i="14"/>
  <c r="M108" i="14"/>
  <c r="H108" i="14"/>
  <c r="N107" i="14"/>
  <c r="M107" i="14"/>
  <c r="H107" i="14"/>
  <c r="N105" i="14"/>
  <c r="M105" i="14"/>
  <c r="K105" i="14"/>
  <c r="H105" i="14"/>
  <c r="N104" i="14"/>
  <c r="M104" i="14"/>
  <c r="K104" i="14"/>
  <c r="H104" i="14"/>
  <c r="N103" i="14"/>
  <c r="M103" i="14"/>
  <c r="N102" i="14"/>
  <c r="M102" i="14"/>
  <c r="H102" i="14"/>
  <c r="N101" i="14"/>
  <c r="M101" i="14"/>
  <c r="H101" i="14"/>
  <c r="N100" i="14"/>
  <c r="M100" i="14"/>
  <c r="H100" i="14"/>
  <c r="H99" i="14" s="1"/>
  <c r="M99" i="14"/>
  <c r="L99" i="14"/>
  <c r="J99" i="14"/>
  <c r="K99" i="14" s="1"/>
  <c r="F99" i="14"/>
  <c r="D99" i="14"/>
  <c r="N95" i="14"/>
  <c r="M95" i="14"/>
  <c r="L95" i="14"/>
  <c r="J95" i="14"/>
  <c r="H95" i="14"/>
  <c r="F95" i="14"/>
  <c r="G95" i="14" s="1"/>
  <c r="D95" i="14"/>
  <c r="N92" i="14"/>
  <c r="L92" i="14"/>
  <c r="M92" i="14" s="1"/>
  <c r="J92" i="14"/>
  <c r="H92" i="14"/>
  <c r="F92" i="14"/>
  <c r="D92" i="14"/>
  <c r="C24" i="20" s="1"/>
  <c r="I24" i="20" s="1"/>
  <c r="J88" i="14"/>
  <c r="N81" i="14"/>
  <c r="L81" i="14"/>
  <c r="M81" i="14" s="1"/>
  <c r="J81" i="14"/>
  <c r="K81" i="14" s="1"/>
  <c r="H81" i="14"/>
  <c r="F81" i="14"/>
  <c r="D81" i="14"/>
  <c r="C23" i="20" s="1"/>
  <c r="I23" i="20" s="1"/>
  <c r="K78" i="14"/>
  <c r="N77" i="14"/>
  <c r="H77" i="14"/>
  <c r="N76" i="14"/>
  <c r="N75" i="14"/>
  <c r="M75" i="14"/>
  <c r="L75" i="14"/>
  <c r="J75" i="14"/>
  <c r="H75" i="14"/>
  <c r="F75" i="14"/>
  <c r="G75" i="14" s="1"/>
  <c r="D75" i="14"/>
  <c r="M73" i="14"/>
  <c r="L73" i="14"/>
  <c r="H73" i="14"/>
  <c r="F73" i="14"/>
  <c r="N72" i="14"/>
  <c r="M72" i="14"/>
  <c r="L72" i="14"/>
  <c r="F72" i="14"/>
  <c r="H72" i="14" s="1"/>
  <c r="N71" i="14"/>
  <c r="H71" i="14"/>
  <c r="H69" i="14" s="1"/>
  <c r="N70" i="14"/>
  <c r="H70" i="14"/>
  <c r="K69" i="14"/>
  <c r="J69" i="14"/>
  <c r="F69" i="14"/>
  <c r="D69" i="14"/>
  <c r="M66" i="14"/>
  <c r="G66" i="14"/>
  <c r="N65" i="14"/>
  <c r="M65" i="14"/>
  <c r="H65" i="14"/>
  <c r="N64" i="14"/>
  <c r="H64" i="14"/>
  <c r="H61" i="14" s="1"/>
  <c r="I61" i="14" s="1"/>
  <c r="M63" i="14"/>
  <c r="G63" i="14"/>
  <c r="N62" i="14"/>
  <c r="I62" i="14"/>
  <c r="H62" i="14"/>
  <c r="N61" i="14"/>
  <c r="M61" i="14"/>
  <c r="L61" i="14"/>
  <c r="J61" i="14"/>
  <c r="G61" i="14"/>
  <c r="F61" i="14"/>
  <c r="D61" i="14"/>
  <c r="L59" i="14"/>
  <c r="K59" i="14"/>
  <c r="J59" i="14"/>
  <c r="F59" i="14"/>
  <c r="D59" i="14"/>
  <c r="N58" i="14"/>
  <c r="H58" i="14"/>
  <c r="N57" i="14"/>
  <c r="H57" i="14"/>
  <c r="N56" i="14"/>
  <c r="H56" i="14"/>
  <c r="N55" i="14"/>
  <c r="H55" i="14"/>
  <c r="N54" i="14"/>
  <c r="N59" i="14" s="1"/>
  <c r="H54" i="14"/>
  <c r="N53" i="14"/>
  <c r="H53" i="14"/>
  <c r="N52" i="14"/>
  <c r="H52" i="14"/>
  <c r="L50" i="14"/>
  <c r="L49" i="14"/>
  <c r="M50" i="14" s="1"/>
  <c r="F49" i="14"/>
  <c r="J48" i="14"/>
  <c r="L47" i="14"/>
  <c r="F47" i="14"/>
  <c r="N46" i="14"/>
  <c r="H46" i="14"/>
  <c r="N45" i="14"/>
  <c r="H45" i="14"/>
  <c r="N44" i="14"/>
  <c r="H44" i="14"/>
  <c r="N43" i="14"/>
  <c r="H43" i="14"/>
  <c r="L29" i="14"/>
  <c r="M77" i="14" s="1"/>
  <c r="J29" i="14"/>
  <c r="K95" i="14" s="1"/>
  <c r="L26" i="14"/>
  <c r="J26" i="14"/>
  <c r="F26" i="14"/>
  <c r="F29" i="14" s="1"/>
  <c r="D21" i="14"/>
  <c r="D20" i="14"/>
  <c r="N16" i="14"/>
  <c r="N26" i="14" s="1"/>
  <c r="N29" i="14" s="1"/>
  <c r="J16" i="14"/>
  <c r="H16" i="14"/>
  <c r="H26" i="14" s="1"/>
  <c r="H29" i="14" s="1"/>
  <c r="D16" i="14"/>
  <c r="J15" i="14"/>
  <c r="J9" i="14"/>
  <c r="D9" i="14"/>
  <c r="J8" i="14"/>
  <c r="J133" i="13"/>
  <c r="F133" i="13"/>
  <c r="N128" i="13"/>
  <c r="N133" i="13" s="1"/>
  <c r="L128" i="13"/>
  <c r="J128" i="13"/>
  <c r="H128" i="13"/>
  <c r="H133" i="13" s="1"/>
  <c r="H135" i="13" s="1"/>
  <c r="F128" i="13"/>
  <c r="D128" i="13"/>
  <c r="N124" i="13"/>
  <c r="L124" i="13"/>
  <c r="L133" i="13" s="1"/>
  <c r="J124" i="13"/>
  <c r="H124" i="13"/>
  <c r="F124" i="13"/>
  <c r="D124" i="13"/>
  <c r="N106" i="13"/>
  <c r="L106" i="13"/>
  <c r="J106" i="13"/>
  <c r="H106" i="13"/>
  <c r="F106" i="13"/>
  <c r="D106" i="13"/>
  <c r="N102" i="13"/>
  <c r="L102" i="13"/>
  <c r="J102" i="13"/>
  <c r="H102" i="13"/>
  <c r="F102" i="13"/>
  <c r="D102" i="13"/>
  <c r="N99" i="13"/>
  <c r="L99" i="13"/>
  <c r="J99" i="13"/>
  <c r="H99" i="13"/>
  <c r="F99" i="13"/>
  <c r="D99" i="13"/>
  <c r="N89" i="13"/>
  <c r="L89" i="13"/>
  <c r="J89" i="13"/>
  <c r="H89" i="13"/>
  <c r="F89" i="13"/>
  <c r="D89" i="13"/>
  <c r="N83" i="13"/>
  <c r="L83" i="13"/>
  <c r="J83" i="13"/>
  <c r="H83" i="13"/>
  <c r="F83" i="13"/>
  <c r="D83" i="13"/>
  <c r="N76" i="13"/>
  <c r="L76" i="13"/>
  <c r="J76" i="13"/>
  <c r="H76" i="13"/>
  <c r="F76" i="13"/>
  <c r="D76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D133" i="13" s="1"/>
  <c r="N58" i="13"/>
  <c r="L58" i="13"/>
  <c r="J58" i="13"/>
  <c r="H58" i="13"/>
  <c r="F58" i="13"/>
  <c r="D58" i="13"/>
  <c r="M49" i="13"/>
  <c r="L49" i="13"/>
  <c r="N48" i="13"/>
  <c r="L48" i="13"/>
  <c r="F48" i="13"/>
  <c r="D48" i="13"/>
  <c r="N46" i="13"/>
  <c r="L46" i="13"/>
  <c r="J46" i="13"/>
  <c r="J48" i="13" s="1"/>
  <c r="H46" i="13"/>
  <c r="H48" i="13" s="1"/>
  <c r="F46" i="13"/>
  <c r="D46" i="13"/>
  <c r="N28" i="13"/>
  <c r="N49" i="13" s="1"/>
  <c r="O49" i="13" s="1"/>
  <c r="L28" i="13"/>
  <c r="L135" i="13" s="1"/>
  <c r="J28" i="13"/>
  <c r="H28" i="13"/>
  <c r="F28" i="13"/>
  <c r="F135" i="13" s="1"/>
  <c r="D28" i="13"/>
  <c r="D49" i="13" s="1"/>
  <c r="N16" i="13"/>
  <c r="L16" i="13"/>
  <c r="J16" i="13"/>
  <c r="H16" i="13"/>
  <c r="F16" i="13"/>
  <c r="D16" i="13"/>
  <c r="J9" i="13"/>
  <c r="D9" i="13"/>
  <c r="J8" i="13"/>
  <c r="D8" i="13"/>
  <c r="N135" i="12"/>
  <c r="L135" i="12"/>
  <c r="J135" i="12"/>
  <c r="H135" i="12"/>
  <c r="F135" i="12"/>
  <c r="D135" i="12"/>
  <c r="C27" i="25" s="1"/>
  <c r="O133" i="12"/>
  <c r="N133" i="12"/>
  <c r="N131" i="12"/>
  <c r="L131" i="12"/>
  <c r="K131" i="12"/>
  <c r="J131" i="12"/>
  <c r="H131" i="12"/>
  <c r="F131" i="12"/>
  <c r="D131" i="12"/>
  <c r="C26" i="25" s="1"/>
  <c r="O128" i="12"/>
  <c r="N128" i="12"/>
  <c r="N127" i="12"/>
  <c r="O127" i="12" s="1"/>
  <c r="K127" i="12"/>
  <c r="H127" i="12"/>
  <c r="I127" i="12" s="1"/>
  <c r="N126" i="12"/>
  <c r="O126" i="12" s="1"/>
  <c r="H126" i="12"/>
  <c r="I126" i="12" s="1"/>
  <c r="N125" i="12"/>
  <c r="O125" i="12" s="1"/>
  <c r="N124" i="12"/>
  <c r="O124" i="12" s="1"/>
  <c r="H124" i="12"/>
  <c r="I124" i="12" s="1"/>
  <c r="N123" i="12"/>
  <c r="O123" i="12" s="1"/>
  <c r="I123" i="12"/>
  <c r="H123" i="12"/>
  <c r="N122" i="12"/>
  <c r="O122" i="12" s="1"/>
  <c r="K122" i="12"/>
  <c r="H122" i="12"/>
  <c r="I122" i="12" s="1"/>
  <c r="N121" i="12"/>
  <c r="O121" i="12" s="1"/>
  <c r="N120" i="12"/>
  <c r="O120" i="12" s="1"/>
  <c r="H120" i="12"/>
  <c r="I120" i="12" s="1"/>
  <c r="N119" i="12"/>
  <c r="O119" i="12" s="1"/>
  <c r="H119" i="12"/>
  <c r="I119" i="12" s="1"/>
  <c r="N118" i="12"/>
  <c r="O118" i="12" s="1"/>
  <c r="O117" i="12"/>
  <c r="N117" i="12"/>
  <c r="N116" i="12"/>
  <c r="K116" i="12"/>
  <c r="H116" i="12"/>
  <c r="I116" i="12" s="1"/>
  <c r="L114" i="12"/>
  <c r="J114" i="12"/>
  <c r="F114" i="12"/>
  <c r="D114" i="12"/>
  <c r="O112" i="12"/>
  <c r="N112" i="12"/>
  <c r="N111" i="12"/>
  <c r="O111" i="12" s="1"/>
  <c r="H111" i="12"/>
  <c r="I111" i="12" s="1"/>
  <c r="N110" i="12"/>
  <c r="L110" i="12"/>
  <c r="J110" i="12"/>
  <c r="H110" i="12"/>
  <c r="F110" i="12"/>
  <c r="D110" i="12"/>
  <c r="N108" i="12"/>
  <c r="I108" i="12"/>
  <c r="H108" i="12"/>
  <c r="L107" i="12"/>
  <c r="K107" i="12"/>
  <c r="J107" i="12"/>
  <c r="H107" i="12"/>
  <c r="F107" i="12"/>
  <c r="D107" i="12"/>
  <c r="C23" i="25" s="1"/>
  <c r="N105" i="12"/>
  <c r="O105" i="12" s="1"/>
  <c r="I105" i="12"/>
  <c r="H105" i="12"/>
  <c r="N104" i="12"/>
  <c r="O104" i="12" s="1"/>
  <c r="K104" i="12"/>
  <c r="I104" i="12"/>
  <c r="H104" i="12"/>
  <c r="N102" i="12"/>
  <c r="O102" i="12" s="1"/>
  <c r="H102" i="12"/>
  <c r="I102" i="12" s="1"/>
  <c r="N101" i="12"/>
  <c r="O101" i="12" s="1"/>
  <c r="I101" i="12"/>
  <c r="H101" i="12"/>
  <c r="N100" i="12"/>
  <c r="O100" i="12" s="1"/>
  <c r="I100" i="12"/>
  <c r="H100" i="12"/>
  <c r="O99" i="12"/>
  <c r="N99" i="12"/>
  <c r="I99" i="12"/>
  <c r="H99" i="12"/>
  <c r="O98" i="12"/>
  <c r="N98" i="12"/>
  <c r="H98" i="12"/>
  <c r="I98" i="12" s="1"/>
  <c r="N97" i="12"/>
  <c r="I97" i="12"/>
  <c r="H97" i="12"/>
  <c r="H96" i="12" s="1"/>
  <c r="L96" i="12"/>
  <c r="K96" i="12"/>
  <c r="J96" i="12"/>
  <c r="F96" i="12"/>
  <c r="D96" i="12"/>
  <c r="D140" i="12" s="1"/>
  <c r="N94" i="12"/>
  <c r="O94" i="12" s="1"/>
  <c r="H94" i="12"/>
  <c r="I94" i="12" s="1"/>
  <c r="N93" i="12"/>
  <c r="O93" i="12" s="1"/>
  <c r="K93" i="12"/>
  <c r="H93" i="12"/>
  <c r="I93" i="12" s="1"/>
  <c r="N92" i="12"/>
  <c r="H92" i="12"/>
  <c r="K90" i="12"/>
  <c r="N89" i="12"/>
  <c r="N88" i="12" s="1"/>
  <c r="K89" i="12"/>
  <c r="H89" i="12"/>
  <c r="L88" i="12"/>
  <c r="J88" i="12"/>
  <c r="H88" i="12"/>
  <c r="F88" i="12"/>
  <c r="D88" i="12"/>
  <c r="N85" i="12"/>
  <c r="O85" i="12" s="1"/>
  <c r="J85" i="12"/>
  <c r="I85" i="12"/>
  <c r="H85" i="12"/>
  <c r="O84" i="12"/>
  <c r="N84" i="12"/>
  <c r="H84" i="12"/>
  <c r="I84" i="12" s="1"/>
  <c r="O83" i="12"/>
  <c r="N83" i="12"/>
  <c r="I83" i="12"/>
  <c r="H83" i="12"/>
  <c r="N82" i="12"/>
  <c r="O82" i="12" s="1"/>
  <c r="I82" i="12"/>
  <c r="H82" i="12"/>
  <c r="L81" i="12"/>
  <c r="J81" i="12"/>
  <c r="K81" i="12" s="1"/>
  <c r="F81" i="12"/>
  <c r="D81" i="12"/>
  <c r="C20" i="25" s="1"/>
  <c r="O79" i="12"/>
  <c r="N79" i="12"/>
  <c r="H79" i="12"/>
  <c r="I79" i="12" s="1"/>
  <c r="K78" i="12"/>
  <c r="N77" i="12"/>
  <c r="O77" i="12" s="1"/>
  <c r="I77" i="12"/>
  <c r="H77" i="12"/>
  <c r="O76" i="12"/>
  <c r="N76" i="12"/>
  <c r="H76" i="12"/>
  <c r="I76" i="12" s="1"/>
  <c r="O75" i="12"/>
  <c r="N75" i="12"/>
  <c r="I75" i="12"/>
  <c r="H75" i="12"/>
  <c r="N74" i="12"/>
  <c r="O74" i="12" s="1"/>
  <c r="I74" i="12"/>
  <c r="H74" i="12"/>
  <c r="O73" i="12"/>
  <c r="N73" i="12"/>
  <c r="I73" i="12"/>
  <c r="H73" i="12"/>
  <c r="O72" i="12"/>
  <c r="N72" i="12"/>
  <c r="M72" i="12"/>
  <c r="I72" i="12"/>
  <c r="H72" i="12"/>
  <c r="N71" i="12"/>
  <c r="I71" i="12"/>
  <c r="H71" i="12"/>
  <c r="L70" i="12"/>
  <c r="J70" i="12"/>
  <c r="K70" i="12" s="1"/>
  <c r="F70" i="12"/>
  <c r="D70" i="12"/>
  <c r="C19" i="25" s="1"/>
  <c r="N58" i="12"/>
  <c r="L58" i="12"/>
  <c r="J58" i="12"/>
  <c r="F58" i="12"/>
  <c r="D58" i="12"/>
  <c r="C18" i="25" s="1"/>
  <c r="N57" i="12"/>
  <c r="O57" i="12" s="1"/>
  <c r="H57" i="12"/>
  <c r="I57" i="12" s="1"/>
  <c r="O56" i="12"/>
  <c r="N56" i="12"/>
  <c r="K56" i="12"/>
  <c r="H56" i="12"/>
  <c r="I56" i="12" s="1"/>
  <c r="N55" i="12"/>
  <c r="O55" i="12" s="1"/>
  <c r="K55" i="12"/>
  <c r="H55" i="12"/>
  <c r="I55" i="12" s="1"/>
  <c r="N54" i="12"/>
  <c r="O54" i="12" s="1"/>
  <c r="H54" i="12"/>
  <c r="I54" i="12" s="1"/>
  <c r="O53" i="12"/>
  <c r="N53" i="12"/>
  <c r="K53" i="12"/>
  <c r="H53" i="12"/>
  <c r="I53" i="12" s="1"/>
  <c r="J48" i="12"/>
  <c r="N48" i="12" s="1"/>
  <c r="O48" i="12" s="1"/>
  <c r="I48" i="12"/>
  <c r="H48" i="12"/>
  <c r="L47" i="12"/>
  <c r="M47" i="12" s="1"/>
  <c r="F47" i="12"/>
  <c r="N45" i="12"/>
  <c r="O45" i="12" s="1"/>
  <c r="I45" i="12"/>
  <c r="H45" i="12"/>
  <c r="N44" i="12"/>
  <c r="O44" i="12" s="1"/>
  <c r="J44" i="12"/>
  <c r="I44" i="12"/>
  <c r="H44" i="12"/>
  <c r="J43" i="12"/>
  <c r="H43" i="12"/>
  <c r="I43" i="12" s="1"/>
  <c r="N37" i="12"/>
  <c r="L37" i="12"/>
  <c r="J37" i="12"/>
  <c r="H37" i="12"/>
  <c r="F37" i="12"/>
  <c r="D37" i="12"/>
  <c r="J29" i="12"/>
  <c r="K110" i="12" s="1"/>
  <c r="L28" i="12"/>
  <c r="L29" i="12" s="1"/>
  <c r="F28" i="12"/>
  <c r="O27" i="12"/>
  <c r="I27" i="12"/>
  <c r="O26" i="12"/>
  <c r="N26" i="12"/>
  <c r="N25" i="12"/>
  <c r="O25" i="12" s="1"/>
  <c r="H25" i="12"/>
  <c r="I25" i="12" s="1"/>
  <c r="O24" i="12"/>
  <c r="N24" i="12"/>
  <c r="K24" i="12"/>
  <c r="H24" i="12"/>
  <c r="I24" i="12" s="1"/>
  <c r="O22" i="12"/>
  <c r="I22" i="12"/>
  <c r="N21" i="12"/>
  <c r="O21" i="12" s="1"/>
  <c r="M21" i="12"/>
  <c r="K21" i="12"/>
  <c r="H21" i="12"/>
  <c r="I21" i="12" s="1"/>
  <c r="G21" i="12"/>
  <c r="E21" i="12"/>
  <c r="N20" i="12"/>
  <c r="O20" i="12" s="1"/>
  <c r="M20" i="12"/>
  <c r="K20" i="12"/>
  <c r="H20" i="12"/>
  <c r="I20" i="12" s="1"/>
  <c r="G20" i="12"/>
  <c r="E20" i="12"/>
  <c r="N19" i="12"/>
  <c r="O19" i="12" s="1"/>
  <c r="M19" i="12"/>
  <c r="K19" i="12"/>
  <c r="G19" i="12"/>
  <c r="D19" i="12"/>
  <c r="H19" i="12" s="1"/>
  <c r="I19" i="12" s="1"/>
  <c r="O18" i="12"/>
  <c r="M18" i="12"/>
  <c r="K18" i="12"/>
  <c r="I18" i="12"/>
  <c r="G18" i="12"/>
  <c r="E18" i="12"/>
  <c r="O17" i="12"/>
  <c r="N17" i="12"/>
  <c r="M17" i="12"/>
  <c r="K17" i="12"/>
  <c r="J17" i="12"/>
  <c r="J26" i="12" s="1"/>
  <c r="K26" i="12" s="1"/>
  <c r="G17" i="12"/>
  <c r="D17" i="12"/>
  <c r="E17" i="12" s="1"/>
  <c r="N16" i="12"/>
  <c r="O16" i="12" s="1"/>
  <c r="M16" i="12"/>
  <c r="K16" i="12"/>
  <c r="I16" i="12"/>
  <c r="H16" i="12"/>
  <c r="G16" i="12"/>
  <c r="E16" i="12"/>
  <c r="L15" i="12"/>
  <c r="F15" i="12"/>
  <c r="J8" i="12"/>
  <c r="J11" i="12" s="1"/>
  <c r="D8" i="12"/>
  <c r="D11" i="12" s="1"/>
  <c r="J141" i="11"/>
  <c r="K141" i="11" s="1"/>
  <c r="D141" i="11"/>
  <c r="N136" i="11"/>
  <c r="L136" i="11"/>
  <c r="M136" i="11" s="1"/>
  <c r="J136" i="11"/>
  <c r="H136" i="11"/>
  <c r="F136" i="11"/>
  <c r="G136" i="11" s="1"/>
  <c r="D136" i="11"/>
  <c r="M134" i="11"/>
  <c r="G134" i="11"/>
  <c r="N132" i="11"/>
  <c r="M132" i="11"/>
  <c r="L132" i="11"/>
  <c r="J132" i="11"/>
  <c r="K132" i="11" s="1"/>
  <c r="H132" i="11"/>
  <c r="F132" i="11"/>
  <c r="G132" i="11" s="1"/>
  <c r="D132" i="11"/>
  <c r="M131" i="11"/>
  <c r="G131" i="11"/>
  <c r="O129" i="11"/>
  <c r="N129" i="11"/>
  <c r="H129" i="11"/>
  <c r="I129" i="11" s="1"/>
  <c r="G129" i="11"/>
  <c r="N128" i="11"/>
  <c r="O128" i="11" s="1"/>
  <c r="M128" i="11"/>
  <c r="H128" i="11"/>
  <c r="I128" i="11" s="1"/>
  <c r="G128" i="11"/>
  <c r="N127" i="11"/>
  <c r="O127" i="11" s="1"/>
  <c r="M127" i="11"/>
  <c r="K127" i="11"/>
  <c r="N126" i="11"/>
  <c r="O126" i="11" s="1"/>
  <c r="M126" i="11"/>
  <c r="K126" i="11"/>
  <c r="H126" i="11"/>
  <c r="I126" i="11" s="1"/>
  <c r="G126" i="11"/>
  <c r="N125" i="11"/>
  <c r="O125" i="11" s="1"/>
  <c r="M125" i="11"/>
  <c r="I125" i="11"/>
  <c r="H125" i="11"/>
  <c r="G125" i="11"/>
  <c r="O124" i="11"/>
  <c r="N124" i="11"/>
  <c r="H124" i="11"/>
  <c r="I124" i="11" s="1"/>
  <c r="N123" i="11"/>
  <c r="O123" i="11" s="1"/>
  <c r="H123" i="11"/>
  <c r="I123" i="11" s="1"/>
  <c r="N122" i="11"/>
  <c r="O122" i="11" s="1"/>
  <c r="M122" i="11"/>
  <c r="I122" i="11"/>
  <c r="H122" i="11"/>
  <c r="G122" i="11"/>
  <c r="N121" i="11"/>
  <c r="O121" i="11" s="1"/>
  <c r="M121" i="11"/>
  <c r="H121" i="11"/>
  <c r="I121" i="11" s="1"/>
  <c r="G121" i="11"/>
  <c r="N120" i="11"/>
  <c r="O120" i="11" s="1"/>
  <c r="M120" i="11"/>
  <c r="K120" i="11"/>
  <c r="H120" i="11"/>
  <c r="I120" i="11" s="1"/>
  <c r="G120" i="11"/>
  <c r="N119" i="11"/>
  <c r="O119" i="11" s="1"/>
  <c r="O118" i="11"/>
  <c r="N118" i="11"/>
  <c r="M118" i="11"/>
  <c r="I118" i="11"/>
  <c r="H118" i="11"/>
  <c r="G118" i="11"/>
  <c r="N117" i="11"/>
  <c r="O117" i="11" s="1"/>
  <c r="I117" i="11"/>
  <c r="H117" i="11"/>
  <c r="M116" i="11"/>
  <c r="L116" i="11"/>
  <c r="J116" i="11"/>
  <c r="H116" i="11"/>
  <c r="F116" i="11"/>
  <c r="G116" i="11" s="1"/>
  <c r="D116" i="11"/>
  <c r="O115" i="11"/>
  <c r="I115" i="11"/>
  <c r="N114" i="11"/>
  <c r="N113" i="11"/>
  <c r="O113" i="11" s="1"/>
  <c r="M113" i="11"/>
  <c r="H113" i="11"/>
  <c r="H112" i="11" s="1"/>
  <c r="G113" i="11"/>
  <c r="L112" i="11"/>
  <c r="M112" i="11" s="1"/>
  <c r="J112" i="11"/>
  <c r="G112" i="11"/>
  <c r="F112" i="11"/>
  <c r="D112" i="11"/>
  <c r="N110" i="11"/>
  <c r="H110" i="11"/>
  <c r="H109" i="11" s="1"/>
  <c r="N109" i="11"/>
  <c r="L109" i="11"/>
  <c r="J109" i="11"/>
  <c r="K109" i="11" s="1"/>
  <c r="F109" i="11"/>
  <c r="G109" i="11" s="1"/>
  <c r="D109" i="11"/>
  <c r="K108" i="11"/>
  <c r="O107" i="11"/>
  <c r="N107" i="11"/>
  <c r="H107" i="11"/>
  <c r="I107" i="11" s="1"/>
  <c r="O106" i="11"/>
  <c r="N106" i="11"/>
  <c r="K106" i="11"/>
  <c r="H106" i="11"/>
  <c r="I106" i="11" s="1"/>
  <c r="N105" i="11"/>
  <c r="O105" i="11" s="1"/>
  <c r="M105" i="11"/>
  <c r="H105" i="11"/>
  <c r="I105" i="11" s="1"/>
  <c r="G105" i="11"/>
  <c r="O104" i="11"/>
  <c r="N104" i="11"/>
  <c r="K104" i="11"/>
  <c r="H104" i="11"/>
  <c r="I104" i="11" s="1"/>
  <c r="G104" i="11"/>
  <c r="N103" i="11"/>
  <c r="O103" i="11" s="1"/>
  <c r="M103" i="11"/>
  <c r="H103" i="11"/>
  <c r="I103" i="11" s="1"/>
  <c r="O102" i="11"/>
  <c r="N102" i="11"/>
  <c r="M102" i="11"/>
  <c r="I102" i="11"/>
  <c r="H102" i="11"/>
  <c r="O101" i="11"/>
  <c r="N101" i="11"/>
  <c r="K101" i="11"/>
  <c r="H101" i="11"/>
  <c r="I101" i="11" s="1"/>
  <c r="N100" i="11"/>
  <c r="O100" i="11" s="1"/>
  <c r="I100" i="11"/>
  <c r="H100" i="11"/>
  <c r="H99" i="11" s="1"/>
  <c r="L99" i="11"/>
  <c r="M99" i="11" s="1"/>
  <c r="J99" i="11"/>
  <c r="K99" i="11" s="1"/>
  <c r="G99" i="11"/>
  <c r="F99" i="11"/>
  <c r="D99" i="11"/>
  <c r="N97" i="11"/>
  <c r="O97" i="11" s="1"/>
  <c r="K97" i="11"/>
  <c r="H97" i="11"/>
  <c r="I97" i="11" s="1"/>
  <c r="N96" i="11"/>
  <c r="O96" i="11" s="1"/>
  <c r="H96" i="11"/>
  <c r="I96" i="11" s="1"/>
  <c r="G96" i="11"/>
  <c r="O95" i="11"/>
  <c r="N95" i="11"/>
  <c r="M95" i="11"/>
  <c r="H95" i="11"/>
  <c r="I95" i="11" s="1"/>
  <c r="G95" i="11"/>
  <c r="N94" i="11"/>
  <c r="H94" i="11"/>
  <c r="O93" i="11"/>
  <c r="N93" i="11"/>
  <c r="N92" i="11" s="1"/>
  <c r="M93" i="11"/>
  <c r="J93" i="11"/>
  <c r="K93" i="11" s="1"/>
  <c r="H93" i="11"/>
  <c r="I93" i="11" s="1"/>
  <c r="M92" i="11"/>
  <c r="L92" i="11"/>
  <c r="J92" i="11"/>
  <c r="K92" i="11" s="1"/>
  <c r="G92" i="11"/>
  <c r="F92" i="11"/>
  <c r="D92" i="11"/>
  <c r="O89" i="11"/>
  <c r="N89" i="11"/>
  <c r="I89" i="11"/>
  <c r="H89" i="11"/>
  <c r="G89" i="11"/>
  <c r="O88" i="11"/>
  <c r="N88" i="11"/>
  <c r="M88" i="11"/>
  <c r="I88" i="11"/>
  <c r="H88" i="11"/>
  <c r="O87" i="11"/>
  <c r="N87" i="11"/>
  <c r="M87" i="11"/>
  <c r="I87" i="11"/>
  <c r="H87" i="11"/>
  <c r="G87" i="11"/>
  <c r="N86" i="11"/>
  <c r="N85" i="11" s="1"/>
  <c r="H86" i="11"/>
  <c r="G86" i="11"/>
  <c r="M85" i="11"/>
  <c r="L85" i="11"/>
  <c r="K85" i="11"/>
  <c r="J85" i="11"/>
  <c r="H85" i="11"/>
  <c r="G85" i="11"/>
  <c r="F85" i="11"/>
  <c r="D85" i="11"/>
  <c r="O83" i="11"/>
  <c r="N83" i="11"/>
  <c r="K83" i="11"/>
  <c r="H83" i="11"/>
  <c r="I83" i="11" s="1"/>
  <c r="E83" i="11"/>
  <c r="O81" i="11"/>
  <c r="N81" i="11"/>
  <c r="I81" i="11"/>
  <c r="H81" i="11"/>
  <c r="G81" i="11"/>
  <c r="O80" i="11"/>
  <c r="N80" i="11"/>
  <c r="M80" i="11"/>
  <c r="H80" i="11"/>
  <c r="I80" i="11" s="1"/>
  <c r="O79" i="11"/>
  <c r="N79" i="11"/>
  <c r="K79" i="11"/>
  <c r="H79" i="11"/>
  <c r="O77" i="11"/>
  <c r="N77" i="11"/>
  <c r="I77" i="11"/>
  <c r="H77" i="11"/>
  <c r="G77" i="11"/>
  <c r="O76" i="11"/>
  <c r="N76" i="11"/>
  <c r="M76" i="11"/>
  <c r="I76" i="11"/>
  <c r="H76" i="11"/>
  <c r="O75" i="11"/>
  <c r="N75" i="11"/>
  <c r="M75" i="11"/>
  <c r="I75" i="11"/>
  <c r="H75" i="11"/>
  <c r="G75" i="11"/>
  <c r="O74" i="11"/>
  <c r="N74" i="11"/>
  <c r="I74" i="11"/>
  <c r="H74" i="11"/>
  <c r="G74" i="11"/>
  <c r="N73" i="11"/>
  <c r="N72" i="11" s="1"/>
  <c r="H73" i="11"/>
  <c r="G73" i="11"/>
  <c r="L72" i="11"/>
  <c r="M72" i="11" s="1"/>
  <c r="J72" i="11"/>
  <c r="G72" i="11"/>
  <c r="F72" i="11"/>
  <c r="D72" i="11"/>
  <c r="J61" i="11"/>
  <c r="K61" i="11" s="1"/>
  <c r="D61" i="11"/>
  <c r="N60" i="11"/>
  <c r="H60" i="11"/>
  <c r="L59" i="11"/>
  <c r="N59" i="11" s="1"/>
  <c r="O59" i="11" s="1"/>
  <c r="H59" i="11"/>
  <c r="I59" i="11" s="1"/>
  <c r="F59" i="11"/>
  <c r="L58" i="11"/>
  <c r="N58" i="11" s="1"/>
  <c r="O58" i="11" s="1"/>
  <c r="L57" i="11"/>
  <c r="N57" i="11" s="1"/>
  <c r="O57" i="11" s="1"/>
  <c r="L55" i="11"/>
  <c r="F55" i="11"/>
  <c r="L51" i="11"/>
  <c r="M51" i="11" s="1"/>
  <c r="G51" i="11"/>
  <c r="F51" i="11"/>
  <c r="F52" i="11" s="1"/>
  <c r="N50" i="11"/>
  <c r="O50" i="11" s="1"/>
  <c r="K50" i="11"/>
  <c r="H50" i="11"/>
  <c r="I50" i="11" s="1"/>
  <c r="M49" i="11"/>
  <c r="G49" i="11"/>
  <c r="M48" i="11"/>
  <c r="G48" i="11"/>
  <c r="J46" i="11"/>
  <c r="N46" i="11" s="1"/>
  <c r="O46" i="11" s="1"/>
  <c r="H46" i="11"/>
  <c r="I46" i="11" s="1"/>
  <c r="J45" i="11"/>
  <c r="I45" i="11"/>
  <c r="H45" i="11"/>
  <c r="B38" i="11"/>
  <c r="B36" i="11"/>
  <c r="B34" i="11"/>
  <c r="L29" i="11"/>
  <c r="M129" i="11" s="1"/>
  <c r="J29" i="11"/>
  <c r="K136" i="11" s="1"/>
  <c r="F29" i="11"/>
  <c r="G101" i="11" s="1"/>
  <c r="N28" i="11"/>
  <c r="O28" i="11" s="1"/>
  <c r="H28" i="11"/>
  <c r="I28" i="11" s="1"/>
  <c r="M26" i="11"/>
  <c r="J26" i="11"/>
  <c r="N26" i="11" s="1"/>
  <c r="O26" i="11" s="1"/>
  <c r="G26" i="11"/>
  <c r="D26" i="11"/>
  <c r="O25" i="11"/>
  <c r="M25" i="11"/>
  <c r="I25" i="11"/>
  <c r="O24" i="11"/>
  <c r="N24" i="11"/>
  <c r="M24" i="11"/>
  <c r="H24" i="11"/>
  <c r="I24" i="11" s="1"/>
  <c r="G24" i="11"/>
  <c r="O22" i="11"/>
  <c r="K22" i="11"/>
  <c r="I22" i="11"/>
  <c r="E22" i="11"/>
  <c r="N21" i="11"/>
  <c r="O21" i="11" s="1"/>
  <c r="M21" i="11"/>
  <c r="K21" i="11"/>
  <c r="H21" i="11"/>
  <c r="I21" i="11" s="1"/>
  <c r="G21" i="11"/>
  <c r="E21" i="11"/>
  <c r="N20" i="11"/>
  <c r="O20" i="11" s="1"/>
  <c r="M20" i="11"/>
  <c r="K20" i="11"/>
  <c r="H20" i="11"/>
  <c r="I20" i="11" s="1"/>
  <c r="G20" i="11"/>
  <c r="E20" i="11"/>
  <c r="M19" i="11"/>
  <c r="K19" i="11"/>
  <c r="G19" i="11"/>
  <c r="E19" i="11"/>
  <c r="M18" i="11"/>
  <c r="K18" i="11"/>
  <c r="G18" i="11"/>
  <c r="E18" i="11"/>
  <c r="N17" i="11"/>
  <c r="O17" i="11" s="1"/>
  <c r="M17" i="11"/>
  <c r="K17" i="11"/>
  <c r="J17" i="11"/>
  <c r="I17" i="11"/>
  <c r="H17" i="11"/>
  <c r="G17" i="11"/>
  <c r="D17" i="11"/>
  <c r="E17" i="11" s="1"/>
  <c r="N16" i="11"/>
  <c r="O16" i="11" s="1"/>
  <c r="M16" i="11"/>
  <c r="K16" i="11"/>
  <c r="I16" i="11"/>
  <c r="H16" i="11"/>
  <c r="G16" i="11"/>
  <c r="E16" i="11"/>
  <c r="L15" i="11"/>
  <c r="J15" i="11"/>
  <c r="F15" i="11"/>
  <c r="D15" i="11"/>
  <c r="J12" i="11"/>
  <c r="D12" i="11"/>
  <c r="J10" i="11"/>
  <c r="J9" i="11"/>
  <c r="D9" i="11"/>
  <c r="J8" i="11"/>
  <c r="J11" i="11" s="1"/>
  <c r="D8" i="11"/>
  <c r="D11" i="11" s="1"/>
  <c r="J134" i="10"/>
  <c r="H134" i="10"/>
  <c r="G134" i="10"/>
  <c r="D134" i="10"/>
  <c r="M130" i="10"/>
  <c r="J130" i="10"/>
  <c r="H130" i="10"/>
  <c r="G130" i="10"/>
  <c r="D130" i="10"/>
  <c r="H127" i="10"/>
  <c r="I127" i="10" s="1"/>
  <c r="I126" i="10"/>
  <c r="H126" i="10"/>
  <c r="G126" i="10"/>
  <c r="M124" i="10"/>
  <c r="H124" i="10"/>
  <c r="I124" i="10" s="1"/>
  <c r="G124" i="10"/>
  <c r="H123" i="10"/>
  <c r="H122" i="10"/>
  <c r="I122" i="10" s="1"/>
  <c r="G121" i="10"/>
  <c r="M120" i="10"/>
  <c r="H120" i="10"/>
  <c r="I120" i="10" s="1"/>
  <c r="I119" i="10"/>
  <c r="H119" i="10"/>
  <c r="I116" i="10"/>
  <c r="H116" i="10"/>
  <c r="I115" i="10"/>
  <c r="H115" i="10"/>
  <c r="G115" i="10"/>
  <c r="J114" i="10"/>
  <c r="D114" i="10"/>
  <c r="H111" i="10"/>
  <c r="I111" i="10" s="1"/>
  <c r="J110" i="10"/>
  <c r="H110" i="10"/>
  <c r="D110" i="10"/>
  <c r="H108" i="10"/>
  <c r="H107" i="10" s="1"/>
  <c r="L107" i="10"/>
  <c r="M107" i="10" s="1"/>
  <c r="J107" i="10"/>
  <c r="K107" i="10" s="1"/>
  <c r="G107" i="10"/>
  <c r="F107" i="10"/>
  <c r="D107" i="10"/>
  <c r="G105" i="10"/>
  <c r="H104" i="10"/>
  <c r="G104" i="10"/>
  <c r="M103" i="10"/>
  <c r="H103" i="10"/>
  <c r="G103" i="10"/>
  <c r="H102" i="10"/>
  <c r="G102" i="10"/>
  <c r="H101" i="10"/>
  <c r="I101" i="10" s="1"/>
  <c r="M100" i="10"/>
  <c r="H100" i="10"/>
  <c r="G100" i="10"/>
  <c r="M99" i="10"/>
  <c r="H99" i="10"/>
  <c r="I99" i="10" s="1"/>
  <c r="G99" i="10"/>
  <c r="H98" i="10"/>
  <c r="H97" i="10" s="1"/>
  <c r="M97" i="10"/>
  <c r="L97" i="10"/>
  <c r="K97" i="10"/>
  <c r="J97" i="10"/>
  <c r="F97" i="10"/>
  <c r="G97" i="10" s="1"/>
  <c r="D97" i="10"/>
  <c r="M95" i="10"/>
  <c r="I95" i="10"/>
  <c r="H95" i="10"/>
  <c r="G95" i="10"/>
  <c r="M94" i="10"/>
  <c r="H94" i="10"/>
  <c r="I94" i="10" s="1"/>
  <c r="G94" i="10"/>
  <c r="I93" i="10"/>
  <c r="H93" i="10"/>
  <c r="L91" i="10"/>
  <c r="M91" i="10" s="1"/>
  <c r="J91" i="10"/>
  <c r="H91" i="10"/>
  <c r="F91" i="10"/>
  <c r="D91" i="10"/>
  <c r="L88" i="10"/>
  <c r="M88" i="10" s="1"/>
  <c r="F88" i="10"/>
  <c r="G88" i="10" s="1"/>
  <c r="L87" i="10"/>
  <c r="F87" i="10"/>
  <c r="M86" i="10"/>
  <c r="H86" i="10"/>
  <c r="I86" i="10" s="1"/>
  <c r="G86" i="10"/>
  <c r="I85" i="10"/>
  <c r="H85" i="10"/>
  <c r="G85" i="10"/>
  <c r="G84" i="10" s="1"/>
  <c r="J84" i="10"/>
  <c r="I84" i="10"/>
  <c r="D84" i="10"/>
  <c r="M82" i="10"/>
  <c r="K82" i="10"/>
  <c r="I82" i="10"/>
  <c r="H82" i="10"/>
  <c r="G82" i="10"/>
  <c r="E82" i="10"/>
  <c r="M81" i="10"/>
  <c r="I80" i="10"/>
  <c r="H80" i="10"/>
  <c r="G80" i="10"/>
  <c r="H79" i="10"/>
  <c r="G79" i="10"/>
  <c r="M78" i="10"/>
  <c r="H78" i="10"/>
  <c r="I78" i="10" s="1"/>
  <c r="G78" i="10"/>
  <c r="G77" i="10"/>
  <c r="M76" i="10"/>
  <c r="I76" i="10"/>
  <c r="H76" i="10"/>
  <c r="H75" i="10"/>
  <c r="I75" i="10" s="1"/>
  <c r="G75" i="10"/>
  <c r="M74" i="10"/>
  <c r="I74" i="10"/>
  <c r="H74" i="10"/>
  <c r="H73" i="10"/>
  <c r="H72" i="10" s="1"/>
  <c r="G73" i="10"/>
  <c r="M72" i="10"/>
  <c r="L72" i="10"/>
  <c r="J72" i="10"/>
  <c r="G72" i="10"/>
  <c r="F72" i="10"/>
  <c r="D72" i="10"/>
  <c r="L60" i="10"/>
  <c r="M60" i="10" s="1"/>
  <c r="J60" i="10"/>
  <c r="H60" i="10"/>
  <c r="G60" i="10"/>
  <c r="F60" i="10"/>
  <c r="D60" i="10"/>
  <c r="L49" i="10"/>
  <c r="F49" i="10"/>
  <c r="G49" i="10" s="1"/>
  <c r="H48" i="10"/>
  <c r="I48" i="10" s="1"/>
  <c r="H45" i="10"/>
  <c r="I45" i="10" s="1"/>
  <c r="J44" i="10"/>
  <c r="H44" i="10"/>
  <c r="I44" i="10" s="1"/>
  <c r="J43" i="10"/>
  <c r="H43" i="10"/>
  <c r="I43" i="10" s="1"/>
  <c r="L29" i="10"/>
  <c r="M119" i="10" s="1"/>
  <c r="K127" i="10"/>
  <c r="F29" i="10"/>
  <c r="G119" i="10" s="1"/>
  <c r="M26" i="10"/>
  <c r="J26" i="10"/>
  <c r="G26" i="10"/>
  <c r="I25" i="10"/>
  <c r="H25" i="10"/>
  <c r="G25" i="10"/>
  <c r="M24" i="10"/>
  <c r="H24" i="10"/>
  <c r="I24" i="10" s="1"/>
  <c r="G24" i="10"/>
  <c r="I22" i="10"/>
  <c r="M21" i="10"/>
  <c r="G21" i="10"/>
  <c r="D21" i="10"/>
  <c r="D26" i="10" s="1"/>
  <c r="H20" i="10"/>
  <c r="G20" i="10"/>
  <c r="D20" i="10"/>
  <c r="M19" i="10"/>
  <c r="H19" i="10"/>
  <c r="I19" i="10" s="1"/>
  <c r="D19" i="10"/>
  <c r="H18" i="10"/>
  <c r="G18" i="10"/>
  <c r="M17" i="10"/>
  <c r="J17" i="10"/>
  <c r="G17" i="10"/>
  <c r="M16" i="10"/>
  <c r="H16" i="10"/>
  <c r="I16" i="10" s="1"/>
  <c r="G16" i="10"/>
  <c r="L15" i="10"/>
  <c r="M20" i="10" s="1"/>
  <c r="J15" i="10"/>
  <c r="F15" i="10"/>
  <c r="M18" i="10" s="1"/>
  <c r="J11" i="10"/>
  <c r="J9" i="10"/>
  <c r="J12" i="10" s="1"/>
  <c r="D9" i="10"/>
  <c r="D12" i="10" s="1"/>
  <c r="J8" i="10"/>
  <c r="D8" i="10"/>
  <c r="D11" i="10" s="1"/>
  <c r="N120" i="9"/>
  <c r="L120" i="9"/>
  <c r="J120" i="9"/>
  <c r="H120" i="9"/>
  <c r="F120" i="9"/>
  <c r="G120" i="9" s="1"/>
  <c r="D120" i="9"/>
  <c r="N116" i="9"/>
  <c r="L116" i="9"/>
  <c r="J116" i="9"/>
  <c r="H116" i="9"/>
  <c r="G116" i="9"/>
  <c r="F116" i="9"/>
  <c r="D116" i="9"/>
  <c r="K110" i="9"/>
  <c r="E110" i="9"/>
  <c r="K104" i="9"/>
  <c r="N103" i="9"/>
  <c r="L103" i="9"/>
  <c r="J103" i="9"/>
  <c r="H103" i="9"/>
  <c r="F103" i="9"/>
  <c r="D103" i="9"/>
  <c r="N99" i="9"/>
  <c r="L99" i="9"/>
  <c r="J99" i="9"/>
  <c r="I99" i="9"/>
  <c r="H99" i="9"/>
  <c r="G99" i="9"/>
  <c r="F99" i="9"/>
  <c r="E99" i="9"/>
  <c r="D99" i="9"/>
  <c r="N96" i="9"/>
  <c r="L96" i="9"/>
  <c r="J96" i="9"/>
  <c r="K96" i="9" s="1"/>
  <c r="H96" i="9"/>
  <c r="F96" i="9"/>
  <c r="D96" i="9"/>
  <c r="E96" i="9" s="1"/>
  <c r="G93" i="9"/>
  <c r="M92" i="9"/>
  <c r="M91" i="9"/>
  <c r="J91" i="9"/>
  <c r="G91" i="9"/>
  <c r="E89" i="9"/>
  <c r="M88" i="9"/>
  <c r="G88" i="9"/>
  <c r="K87" i="9"/>
  <c r="N86" i="9"/>
  <c r="L86" i="9"/>
  <c r="M86" i="9" s="1"/>
  <c r="J86" i="9"/>
  <c r="K86" i="9" s="1"/>
  <c r="H86" i="9"/>
  <c r="G86" i="9"/>
  <c r="F86" i="9"/>
  <c r="D86" i="9"/>
  <c r="E86" i="9" s="1"/>
  <c r="G82" i="9"/>
  <c r="G80" i="9" s="1"/>
  <c r="N80" i="9"/>
  <c r="M80" i="9"/>
  <c r="J80" i="9"/>
  <c r="K80" i="9" s="1"/>
  <c r="I80" i="9"/>
  <c r="H80" i="9"/>
  <c r="F80" i="9"/>
  <c r="D80" i="9"/>
  <c r="E77" i="9"/>
  <c r="G75" i="9"/>
  <c r="N74" i="9"/>
  <c r="J74" i="9"/>
  <c r="K74" i="9" s="1"/>
  <c r="H74" i="9"/>
  <c r="G74" i="9"/>
  <c r="D74" i="9"/>
  <c r="M71" i="9"/>
  <c r="G71" i="9"/>
  <c r="K70" i="9"/>
  <c r="M68" i="9"/>
  <c r="G68" i="9"/>
  <c r="K67" i="9"/>
  <c r="E67" i="9"/>
  <c r="N64" i="9"/>
  <c r="L64" i="9"/>
  <c r="J64" i="9"/>
  <c r="H64" i="9"/>
  <c r="F64" i="9"/>
  <c r="G64" i="9" s="1"/>
  <c r="D64" i="9"/>
  <c r="N52" i="9"/>
  <c r="M52" i="9"/>
  <c r="L52" i="9"/>
  <c r="J52" i="9"/>
  <c r="H52" i="9"/>
  <c r="F52" i="9"/>
  <c r="D52" i="9"/>
  <c r="K48" i="9"/>
  <c r="E47" i="9"/>
  <c r="F43" i="9"/>
  <c r="L42" i="9"/>
  <c r="G42" i="9"/>
  <c r="F42" i="9"/>
  <c r="N40" i="9"/>
  <c r="N42" i="9" s="1"/>
  <c r="L40" i="9"/>
  <c r="H40" i="9"/>
  <c r="H42" i="9" s="1"/>
  <c r="G40" i="9"/>
  <c r="F40" i="9"/>
  <c r="L29" i="9"/>
  <c r="L43" i="9" s="1"/>
  <c r="F29" i="9"/>
  <c r="G92" i="9" s="1"/>
  <c r="D29" i="9"/>
  <c r="E70" i="9" s="1"/>
  <c r="N26" i="9"/>
  <c r="N29" i="9" s="1"/>
  <c r="N43" i="9" s="1"/>
  <c r="O43" i="9" s="1"/>
  <c r="J26" i="9"/>
  <c r="J29" i="9" s="1"/>
  <c r="K106" i="9" s="1"/>
  <c r="H26" i="9"/>
  <c r="H29" i="9" s="1"/>
  <c r="H43" i="9" s="1"/>
  <c r="I43" i="9" s="1"/>
  <c r="D26" i="9"/>
  <c r="N22" i="9"/>
  <c r="O22" i="9" s="1"/>
  <c r="K22" i="9"/>
  <c r="I22" i="9"/>
  <c r="H22" i="9"/>
  <c r="N18" i="9"/>
  <c r="N15" i="9" s="1"/>
  <c r="M18" i="9"/>
  <c r="K18" i="9"/>
  <c r="H18" i="9"/>
  <c r="G18" i="9"/>
  <c r="E18" i="9"/>
  <c r="L15" i="9"/>
  <c r="J15" i="9"/>
  <c r="H15" i="9"/>
  <c r="F15" i="9"/>
  <c r="D15" i="9"/>
  <c r="E22" i="9" s="1"/>
  <c r="J12" i="9"/>
  <c r="J11" i="9"/>
  <c r="J9" i="9"/>
  <c r="D9" i="9"/>
  <c r="D12" i="9" s="1"/>
  <c r="J8" i="9"/>
  <c r="D8" i="9"/>
  <c r="D11" i="9" s="1"/>
  <c r="O127" i="8"/>
  <c r="I127" i="8"/>
  <c r="N126" i="8"/>
  <c r="L126" i="8"/>
  <c r="J126" i="8"/>
  <c r="H126" i="8"/>
  <c r="F126" i="8"/>
  <c r="D126" i="8"/>
  <c r="O125" i="8"/>
  <c r="I125" i="8"/>
  <c r="O123" i="8"/>
  <c r="I123" i="8"/>
  <c r="N122" i="8"/>
  <c r="L122" i="8"/>
  <c r="J122" i="8"/>
  <c r="H122" i="8"/>
  <c r="F122" i="8"/>
  <c r="G122" i="8" s="1"/>
  <c r="D122" i="8"/>
  <c r="O118" i="8"/>
  <c r="N118" i="8"/>
  <c r="H118" i="8"/>
  <c r="I118" i="8" s="1"/>
  <c r="N116" i="8"/>
  <c r="O116" i="8" s="1"/>
  <c r="I116" i="8"/>
  <c r="H116" i="8"/>
  <c r="G116" i="8"/>
  <c r="N114" i="8"/>
  <c r="O114" i="8" s="1"/>
  <c r="H114" i="8"/>
  <c r="I114" i="8" s="1"/>
  <c r="O112" i="8"/>
  <c r="N112" i="8"/>
  <c r="H112" i="8"/>
  <c r="I112" i="8" s="1"/>
  <c r="N106" i="8"/>
  <c r="O106" i="8" s="1"/>
  <c r="L106" i="8"/>
  <c r="J106" i="8"/>
  <c r="H106" i="8"/>
  <c r="I106" i="8" s="1"/>
  <c r="F106" i="8"/>
  <c r="D106" i="8"/>
  <c r="C30" i="27" s="1"/>
  <c r="N104" i="8"/>
  <c r="O104" i="8" s="1"/>
  <c r="N103" i="8"/>
  <c r="O103" i="8" s="1"/>
  <c r="N101" i="8"/>
  <c r="O101" i="8" s="1"/>
  <c r="I101" i="8"/>
  <c r="H101" i="8"/>
  <c r="N100" i="8"/>
  <c r="H100" i="8"/>
  <c r="I100" i="8" s="1"/>
  <c r="L99" i="8"/>
  <c r="M99" i="8" s="1"/>
  <c r="J99" i="8"/>
  <c r="H99" i="8"/>
  <c r="D99" i="8"/>
  <c r="O96" i="8"/>
  <c r="N96" i="8"/>
  <c r="N95" i="8" s="1"/>
  <c r="H96" i="8"/>
  <c r="I96" i="8" s="1"/>
  <c r="L95" i="8"/>
  <c r="J95" i="8"/>
  <c r="F95" i="8"/>
  <c r="D95" i="8"/>
  <c r="C28" i="27" s="1"/>
  <c r="N93" i="8"/>
  <c r="O93" i="8" s="1"/>
  <c r="L93" i="8"/>
  <c r="L92" i="8" s="1"/>
  <c r="H93" i="8"/>
  <c r="H92" i="8" s="1"/>
  <c r="F93" i="8"/>
  <c r="J92" i="8"/>
  <c r="F92" i="8"/>
  <c r="D92" i="8"/>
  <c r="O90" i="8"/>
  <c r="I90" i="8"/>
  <c r="N89" i="8"/>
  <c r="O89" i="8" s="1"/>
  <c r="I89" i="8"/>
  <c r="H89" i="8"/>
  <c r="G89" i="8"/>
  <c r="E89" i="8"/>
  <c r="N88" i="8"/>
  <c r="O88" i="8" s="1"/>
  <c r="J88" i="8"/>
  <c r="H88" i="8"/>
  <c r="I88" i="8" s="1"/>
  <c r="G88" i="8"/>
  <c r="E88" i="8"/>
  <c r="N87" i="8"/>
  <c r="O87" i="8" s="1"/>
  <c r="H87" i="8"/>
  <c r="I87" i="8" s="1"/>
  <c r="G87" i="8"/>
  <c r="O85" i="8"/>
  <c r="N85" i="8"/>
  <c r="I85" i="8"/>
  <c r="H85" i="8"/>
  <c r="E85" i="8"/>
  <c r="O84" i="8"/>
  <c r="N84" i="8"/>
  <c r="H84" i="8"/>
  <c r="I84" i="8" s="1"/>
  <c r="K83" i="8"/>
  <c r="O82" i="8"/>
  <c r="N82" i="8"/>
  <c r="N81" i="8" s="1"/>
  <c r="K82" i="8"/>
  <c r="E82" i="8"/>
  <c r="D82" i="8"/>
  <c r="H82" i="8" s="1"/>
  <c r="I82" i="8" s="1"/>
  <c r="L81" i="8"/>
  <c r="M81" i="8" s="1"/>
  <c r="J81" i="8"/>
  <c r="H81" i="8"/>
  <c r="F81" i="8"/>
  <c r="G81" i="8" s="1"/>
  <c r="D81" i="8"/>
  <c r="O79" i="8"/>
  <c r="N79" i="8"/>
  <c r="H79" i="8"/>
  <c r="I79" i="8" s="1"/>
  <c r="N78" i="8"/>
  <c r="O78" i="8" s="1"/>
  <c r="I78" i="8"/>
  <c r="H78" i="8"/>
  <c r="N77" i="8"/>
  <c r="O77" i="8" s="1"/>
  <c r="H77" i="8"/>
  <c r="I77" i="8" s="1"/>
  <c r="O76" i="8"/>
  <c r="N76" i="8"/>
  <c r="L75" i="8"/>
  <c r="J75" i="8"/>
  <c r="H75" i="8"/>
  <c r="F75" i="8"/>
  <c r="D75" i="8"/>
  <c r="C25" i="27" s="1"/>
  <c r="N73" i="8"/>
  <c r="O73" i="8" s="1"/>
  <c r="M73" i="8"/>
  <c r="H73" i="8"/>
  <c r="I73" i="8" s="1"/>
  <c r="G73" i="8"/>
  <c r="O72" i="8"/>
  <c r="N72" i="8"/>
  <c r="K72" i="8"/>
  <c r="H72" i="8"/>
  <c r="I72" i="8" s="1"/>
  <c r="G72" i="8"/>
  <c r="E72" i="8"/>
  <c r="N71" i="8"/>
  <c r="O71" i="8" s="1"/>
  <c r="I71" i="8"/>
  <c r="H71" i="8"/>
  <c r="N70" i="8"/>
  <c r="H70" i="8"/>
  <c r="I70" i="8" s="1"/>
  <c r="M69" i="8"/>
  <c r="L69" i="8"/>
  <c r="J69" i="8"/>
  <c r="F69" i="8"/>
  <c r="D69" i="8"/>
  <c r="C24" i="27" s="1"/>
  <c r="O67" i="8"/>
  <c r="N67" i="8"/>
  <c r="M67" i="8"/>
  <c r="H67" i="8"/>
  <c r="I67" i="8" s="1"/>
  <c r="G67" i="8"/>
  <c r="N66" i="8"/>
  <c r="O66" i="8" s="1"/>
  <c r="I66" i="8"/>
  <c r="H66" i="8"/>
  <c r="G66" i="8"/>
  <c r="N65" i="8"/>
  <c r="H65" i="8"/>
  <c r="I65" i="8" s="1"/>
  <c r="O64" i="8"/>
  <c r="I64" i="8"/>
  <c r="O63" i="8"/>
  <c r="N63" i="8"/>
  <c r="H63" i="8"/>
  <c r="I63" i="8" s="1"/>
  <c r="G63" i="8"/>
  <c r="N62" i="8"/>
  <c r="O62" i="8" s="1"/>
  <c r="H62" i="8"/>
  <c r="I62" i="8" s="1"/>
  <c r="O61" i="8"/>
  <c r="N61" i="8"/>
  <c r="M61" i="8"/>
  <c r="H61" i="8"/>
  <c r="H60" i="8" s="1"/>
  <c r="L60" i="8"/>
  <c r="J60" i="8"/>
  <c r="G60" i="8"/>
  <c r="F60" i="8"/>
  <c r="D60" i="8"/>
  <c r="N51" i="8"/>
  <c r="L51" i="8"/>
  <c r="L130" i="8" s="1"/>
  <c r="M130" i="8" s="1"/>
  <c r="J51" i="8"/>
  <c r="H51" i="8"/>
  <c r="F51" i="8"/>
  <c r="Q19" i="6" s="1"/>
  <c r="D51" i="8"/>
  <c r="O50" i="8"/>
  <c r="M50" i="8"/>
  <c r="I50" i="8"/>
  <c r="G50" i="8"/>
  <c r="O49" i="8"/>
  <c r="I49" i="8"/>
  <c r="O48" i="8"/>
  <c r="M48" i="8"/>
  <c r="I48" i="8"/>
  <c r="O47" i="8"/>
  <c r="I47" i="8"/>
  <c r="O46" i="8"/>
  <c r="M46" i="8"/>
  <c r="I46" i="8"/>
  <c r="G46" i="8"/>
  <c r="O45" i="8"/>
  <c r="I45" i="8"/>
  <c r="L41" i="8"/>
  <c r="M41" i="8" s="1"/>
  <c r="L40" i="8"/>
  <c r="N40" i="8" s="1"/>
  <c r="O40" i="8" s="1"/>
  <c r="J40" i="8"/>
  <c r="H40" i="8"/>
  <c r="I40" i="8" s="1"/>
  <c r="F40" i="8"/>
  <c r="L39" i="8"/>
  <c r="G39" i="8"/>
  <c r="F39" i="8"/>
  <c r="F41" i="8" s="1"/>
  <c r="G41" i="8" s="1"/>
  <c r="M38" i="8"/>
  <c r="N37" i="8"/>
  <c r="O37" i="8" s="1"/>
  <c r="I37" i="8"/>
  <c r="H37" i="8"/>
  <c r="O36" i="8"/>
  <c r="J36" i="8"/>
  <c r="N36" i="8" s="1"/>
  <c r="I36" i="8"/>
  <c r="H36" i="8"/>
  <c r="G36" i="8"/>
  <c r="E36" i="8"/>
  <c r="N35" i="8"/>
  <c r="O35" i="8" s="1"/>
  <c r="M35" i="8"/>
  <c r="K35" i="8"/>
  <c r="J35" i="8"/>
  <c r="I35" i="8"/>
  <c r="H35" i="8"/>
  <c r="E35" i="8"/>
  <c r="M34" i="8"/>
  <c r="L29" i="8"/>
  <c r="M122" i="8" s="1"/>
  <c r="F29" i="8"/>
  <c r="G79" i="8" s="1"/>
  <c r="O28" i="8"/>
  <c r="N28" i="8"/>
  <c r="I28" i="8"/>
  <c r="H28" i="8"/>
  <c r="M26" i="8"/>
  <c r="J26" i="8"/>
  <c r="D26" i="8"/>
  <c r="N25" i="8"/>
  <c r="O25" i="8" s="1"/>
  <c r="I25" i="8"/>
  <c r="H25" i="8"/>
  <c r="O24" i="8"/>
  <c r="N24" i="8"/>
  <c r="H24" i="8"/>
  <c r="O22" i="8"/>
  <c r="N22" i="8"/>
  <c r="K22" i="8"/>
  <c r="H22" i="8"/>
  <c r="I22" i="8" s="1"/>
  <c r="O21" i="8"/>
  <c r="N21" i="8"/>
  <c r="M21" i="8"/>
  <c r="I21" i="8"/>
  <c r="H21" i="8"/>
  <c r="G21" i="8"/>
  <c r="O20" i="8"/>
  <c r="N20" i="8"/>
  <c r="M20" i="8"/>
  <c r="K20" i="8"/>
  <c r="I20" i="8"/>
  <c r="H20" i="8"/>
  <c r="G20" i="8"/>
  <c r="N19" i="8"/>
  <c r="M19" i="8"/>
  <c r="H19" i="8"/>
  <c r="G19" i="8"/>
  <c r="N18" i="8"/>
  <c r="M18" i="8"/>
  <c r="H18" i="8"/>
  <c r="E18" i="8"/>
  <c r="J17" i="8"/>
  <c r="N17" i="8" s="1"/>
  <c r="O17" i="8" s="1"/>
  <c r="H17" i="8"/>
  <c r="I17" i="8" s="1"/>
  <c r="G17" i="8"/>
  <c r="E17" i="8"/>
  <c r="D17" i="8"/>
  <c r="D15" i="8" s="1"/>
  <c r="K18" i="8" s="1"/>
  <c r="N16" i="8"/>
  <c r="K16" i="8"/>
  <c r="H16" i="8"/>
  <c r="I16" i="8" s="1"/>
  <c r="L15" i="8"/>
  <c r="J15" i="8"/>
  <c r="H15" i="8"/>
  <c r="I15" i="8" s="1"/>
  <c r="F15" i="8"/>
  <c r="M17" i="8" s="1"/>
  <c r="J12" i="8"/>
  <c r="J11" i="8"/>
  <c r="J9" i="8"/>
  <c r="D9" i="8"/>
  <c r="D12" i="8" s="1"/>
  <c r="J8" i="8"/>
  <c r="D8" i="8"/>
  <c r="D11" i="8" s="1"/>
  <c r="N123" i="7"/>
  <c r="H123" i="7"/>
  <c r="L117" i="7"/>
  <c r="J117" i="7"/>
  <c r="G28" i="5" s="1"/>
  <c r="F117" i="7"/>
  <c r="I28" i="6" s="1"/>
  <c r="D117" i="7"/>
  <c r="O113" i="7"/>
  <c r="L113" i="7"/>
  <c r="K113" i="7"/>
  <c r="J113" i="7"/>
  <c r="G27" i="5" s="1"/>
  <c r="I113" i="7"/>
  <c r="F113" i="7"/>
  <c r="E113" i="7"/>
  <c r="D113" i="7"/>
  <c r="N98" i="7"/>
  <c r="L98" i="7"/>
  <c r="J98" i="7"/>
  <c r="H98" i="7"/>
  <c r="F98" i="7"/>
  <c r="I26" i="6" s="1"/>
  <c r="I25" i="2" s="1"/>
  <c r="D98" i="7"/>
  <c r="L94" i="7"/>
  <c r="J94" i="7"/>
  <c r="F94" i="7"/>
  <c r="D94" i="7"/>
  <c r="N87" i="7"/>
  <c r="L87" i="7"/>
  <c r="J87" i="7"/>
  <c r="H87" i="7"/>
  <c r="F87" i="7"/>
  <c r="D87" i="7"/>
  <c r="N76" i="7"/>
  <c r="L76" i="7"/>
  <c r="J76" i="7"/>
  <c r="H76" i="7"/>
  <c r="F76" i="7"/>
  <c r="D76" i="7"/>
  <c r="L70" i="7"/>
  <c r="J70" i="7"/>
  <c r="F70" i="7"/>
  <c r="D70" i="7"/>
  <c r="D121" i="7" s="1"/>
  <c r="L63" i="7"/>
  <c r="J63" i="7"/>
  <c r="F63" i="7"/>
  <c r="D63" i="7"/>
  <c r="L52" i="7"/>
  <c r="L121" i="7" s="1"/>
  <c r="L123" i="7" s="1"/>
  <c r="J52" i="7"/>
  <c r="F52" i="7"/>
  <c r="D52" i="7"/>
  <c r="O50" i="7"/>
  <c r="J50" i="7"/>
  <c r="K50" i="7" s="1"/>
  <c r="I50" i="7"/>
  <c r="E50" i="7"/>
  <c r="D50" i="7"/>
  <c r="J43" i="7"/>
  <c r="D43" i="7"/>
  <c r="J32" i="7"/>
  <c r="J34" i="7" s="1"/>
  <c r="D32" i="7"/>
  <c r="D34" i="7" s="1"/>
  <c r="D35" i="7" s="1"/>
  <c r="J22" i="7"/>
  <c r="D22" i="7"/>
  <c r="D19" i="7"/>
  <c r="J16" i="7"/>
  <c r="J19" i="7" s="1"/>
  <c r="D16" i="7"/>
  <c r="J7" i="7"/>
  <c r="D7" i="7"/>
  <c r="BF31" i="6"/>
  <c r="BB31" i="6"/>
  <c r="BI28" i="6"/>
  <c r="BG28" i="6"/>
  <c r="BE28" i="6"/>
  <c r="BC28" i="6"/>
  <c r="BA28" i="6"/>
  <c r="AY28" i="6"/>
  <c r="AW28" i="6"/>
  <c r="AU28" i="6"/>
  <c r="AQ28" i="6"/>
  <c r="AO28" i="6"/>
  <c r="AM28" i="6"/>
  <c r="AK28" i="6"/>
  <c r="AI28" i="6"/>
  <c r="AG28" i="6"/>
  <c r="AE28" i="6"/>
  <c r="AC28" i="6"/>
  <c r="AB28" i="6"/>
  <c r="AA28" i="6"/>
  <c r="C26" i="26" s="1"/>
  <c r="Y28" i="6"/>
  <c r="W28" i="6"/>
  <c r="U28" i="6"/>
  <c r="S28" i="6"/>
  <c r="K28" i="6" s="1"/>
  <c r="Q28" i="6"/>
  <c r="O28" i="6"/>
  <c r="G28" i="6"/>
  <c r="C28" i="6" s="1"/>
  <c r="BI27" i="6"/>
  <c r="BG27" i="6"/>
  <c r="BE27" i="6"/>
  <c r="BC27" i="6"/>
  <c r="BA27" i="6"/>
  <c r="AY27" i="6"/>
  <c r="AW27" i="6"/>
  <c r="AU27" i="6"/>
  <c r="AS27" i="6"/>
  <c r="AQ27" i="6"/>
  <c r="AO27" i="6"/>
  <c r="AM27" i="6"/>
  <c r="AK27" i="6"/>
  <c r="AI27" i="6"/>
  <c r="AJ27" i="6" s="1"/>
  <c r="AG27" i="6"/>
  <c r="AE27" i="6"/>
  <c r="AC27" i="6"/>
  <c r="AA27" i="6"/>
  <c r="C25" i="26" s="1"/>
  <c r="Y27" i="6"/>
  <c r="W27" i="6"/>
  <c r="U27" i="6"/>
  <c r="S27" i="6"/>
  <c r="K27" i="6" s="1"/>
  <c r="O27" i="6"/>
  <c r="C36" i="27" s="1"/>
  <c r="I27" i="6"/>
  <c r="G27" i="6"/>
  <c r="BI26" i="6"/>
  <c r="BG26" i="6"/>
  <c r="BE26" i="6"/>
  <c r="BC26" i="6"/>
  <c r="BA26" i="6"/>
  <c r="AY26" i="6"/>
  <c r="AW26" i="6"/>
  <c r="AU26" i="6"/>
  <c r="AS26" i="6"/>
  <c r="AQ26" i="6"/>
  <c r="AO26" i="6"/>
  <c r="AM26" i="6"/>
  <c r="AK26" i="6"/>
  <c r="AI26" i="6"/>
  <c r="AG26" i="6"/>
  <c r="AE26" i="6"/>
  <c r="AC26" i="6"/>
  <c r="AA26" i="6"/>
  <c r="C24" i="26" s="1"/>
  <c r="Y26" i="6"/>
  <c r="W26" i="6"/>
  <c r="U26" i="6"/>
  <c r="S26" i="6"/>
  <c r="G26" i="6"/>
  <c r="BI25" i="6"/>
  <c r="BG25" i="6"/>
  <c r="BE25" i="6"/>
  <c r="BC25" i="6"/>
  <c r="BA25" i="6"/>
  <c r="AY25" i="6"/>
  <c r="AW25" i="6"/>
  <c r="AU25" i="6"/>
  <c r="AS25" i="6"/>
  <c r="AQ25" i="6"/>
  <c r="AO25" i="6"/>
  <c r="AM25" i="6"/>
  <c r="AK25" i="6"/>
  <c r="AI25" i="6"/>
  <c r="AG25" i="6"/>
  <c r="AE25" i="6"/>
  <c r="AC25" i="6"/>
  <c r="AA25" i="6"/>
  <c r="C23" i="26" s="1"/>
  <c r="Y25" i="6"/>
  <c r="W25" i="6"/>
  <c r="U25" i="6"/>
  <c r="S25" i="6"/>
  <c r="O25" i="6"/>
  <c r="K25" i="6" s="1"/>
  <c r="I25" i="6"/>
  <c r="G25" i="6"/>
  <c r="C25" i="6" s="1"/>
  <c r="BI24" i="6"/>
  <c r="BG24" i="6"/>
  <c r="BE24" i="6"/>
  <c r="BC24" i="6"/>
  <c r="BA24" i="6"/>
  <c r="AY24" i="6"/>
  <c r="AW24" i="6"/>
  <c r="AU24" i="6"/>
  <c r="AS24" i="6"/>
  <c r="AQ24" i="6"/>
  <c r="AO24" i="6"/>
  <c r="AM24" i="6"/>
  <c r="AK24" i="6"/>
  <c r="AI24" i="6"/>
  <c r="AG24" i="6"/>
  <c r="AE24" i="6"/>
  <c r="AC24" i="6"/>
  <c r="AA24" i="6"/>
  <c r="C22" i="26" s="1"/>
  <c r="Y24" i="6"/>
  <c r="Y29" i="6" s="1"/>
  <c r="W24" i="6"/>
  <c r="U24" i="6"/>
  <c r="S24" i="6"/>
  <c r="O24" i="6"/>
  <c r="K24" i="6" s="1"/>
  <c r="I24" i="6"/>
  <c r="G24" i="6"/>
  <c r="C24" i="6" s="1"/>
  <c r="BI23" i="6"/>
  <c r="BI29" i="6" s="1"/>
  <c r="BG23" i="6"/>
  <c r="BA23" i="6"/>
  <c r="AY23" i="6"/>
  <c r="AW23" i="6"/>
  <c r="AU23" i="6"/>
  <c r="AS23" i="6"/>
  <c r="AQ23" i="6"/>
  <c r="AO23" i="6"/>
  <c r="AM23" i="6"/>
  <c r="AK23" i="6"/>
  <c r="AI23" i="6"/>
  <c r="AG23" i="6"/>
  <c r="AE23" i="6"/>
  <c r="AC23" i="6"/>
  <c r="AD23" i="6" s="1"/>
  <c r="AA23" i="6"/>
  <c r="C21" i="26" s="1"/>
  <c r="Y23" i="6"/>
  <c r="W23" i="6"/>
  <c r="U23" i="6"/>
  <c r="S23" i="6"/>
  <c r="Q23" i="6"/>
  <c r="I23" i="6"/>
  <c r="G23" i="6"/>
  <c r="BI22" i="6"/>
  <c r="BG22" i="6"/>
  <c r="BA22" i="6"/>
  <c r="AY22" i="6"/>
  <c r="AW22" i="6"/>
  <c r="AU22" i="6"/>
  <c r="AS22" i="6"/>
  <c r="AQ22" i="6"/>
  <c r="AO22" i="6"/>
  <c r="AM22" i="6"/>
  <c r="AK22" i="6"/>
  <c r="AI22" i="6"/>
  <c r="AG22" i="6"/>
  <c r="AE22" i="6"/>
  <c r="AC22" i="6"/>
  <c r="AA22" i="6"/>
  <c r="C20" i="26" s="1"/>
  <c r="Y22" i="6"/>
  <c r="W22" i="6"/>
  <c r="U22" i="6"/>
  <c r="S22" i="6"/>
  <c r="Q22" i="6"/>
  <c r="M22" i="6" s="1"/>
  <c r="O22" i="6"/>
  <c r="I22" i="6"/>
  <c r="G22" i="6"/>
  <c r="BI21" i="6"/>
  <c r="BG21" i="6"/>
  <c r="BG29" i="6" s="1"/>
  <c r="BE21" i="6"/>
  <c r="BC21" i="6"/>
  <c r="BA21" i="6"/>
  <c r="AY21" i="6"/>
  <c r="AW21" i="6"/>
  <c r="AW29" i="6" s="1"/>
  <c r="AU21" i="6"/>
  <c r="AS21" i="6"/>
  <c r="AQ21" i="6"/>
  <c r="AQ29" i="6" s="1"/>
  <c r="AO21" i="6"/>
  <c r="AM21" i="6"/>
  <c r="AM29" i="6" s="1"/>
  <c r="AK21" i="6"/>
  <c r="AI21" i="6"/>
  <c r="AG21" i="6"/>
  <c r="AE21" i="6"/>
  <c r="AC21" i="6"/>
  <c r="AA21" i="6"/>
  <c r="C19" i="26" s="1"/>
  <c r="W21" i="6"/>
  <c r="W20" i="2" s="1"/>
  <c r="W20" i="1" s="1"/>
  <c r="U21" i="6"/>
  <c r="S21" i="6"/>
  <c r="Q21" i="6"/>
  <c r="R21" i="6" s="1"/>
  <c r="O21" i="6"/>
  <c r="G21" i="6"/>
  <c r="BI20" i="6"/>
  <c r="BG20" i="6"/>
  <c r="BE20" i="6"/>
  <c r="BC20" i="6"/>
  <c r="BA20" i="6"/>
  <c r="AY20" i="6"/>
  <c r="AY19" i="2" s="1"/>
  <c r="AW20" i="6"/>
  <c r="AU20" i="6"/>
  <c r="AS20" i="6"/>
  <c r="AQ20" i="6"/>
  <c r="AO20" i="6"/>
  <c r="AM20" i="6"/>
  <c r="AK20" i="6"/>
  <c r="AI20" i="6"/>
  <c r="AG20" i="6"/>
  <c r="AE20" i="6"/>
  <c r="AC20" i="6"/>
  <c r="AD20" i="6" s="1"/>
  <c r="AA20" i="6"/>
  <c r="C18" i="26" s="1"/>
  <c r="Y20" i="6"/>
  <c r="W20" i="6"/>
  <c r="U20" i="6"/>
  <c r="M20" i="6" s="1"/>
  <c r="S20" i="6"/>
  <c r="Q20" i="6"/>
  <c r="I20" i="6"/>
  <c r="G20" i="6"/>
  <c r="BI19" i="6"/>
  <c r="BG19" i="6"/>
  <c r="BE19" i="6"/>
  <c r="BE29" i="6" s="1"/>
  <c r="BC19" i="6"/>
  <c r="BC29" i="6" s="1"/>
  <c r="BA19" i="6"/>
  <c r="AY19" i="6"/>
  <c r="AW19" i="6"/>
  <c r="AU19" i="6"/>
  <c r="AU29" i="6" s="1"/>
  <c r="AQ19" i="6"/>
  <c r="AO19" i="6"/>
  <c r="AM19" i="6"/>
  <c r="AK19" i="6"/>
  <c r="AK29" i="6" s="1"/>
  <c r="AI19" i="6"/>
  <c r="AG19" i="6"/>
  <c r="AG29" i="6" s="1"/>
  <c r="AE19" i="6"/>
  <c r="AA19" i="6"/>
  <c r="C17" i="26" s="1"/>
  <c r="Y19" i="6"/>
  <c r="W19" i="6"/>
  <c r="K19" i="6" s="1"/>
  <c r="U19" i="6"/>
  <c r="U29" i="6" s="1"/>
  <c r="S19" i="6"/>
  <c r="O19" i="6"/>
  <c r="I19" i="6"/>
  <c r="G19" i="6"/>
  <c r="BI17" i="6"/>
  <c r="BF17" i="6"/>
  <c r="BE17" i="6"/>
  <c r="BB17" i="6"/>
  <c r="AW17" i="6"/>
  <c r="BJ15" i="6"/>
  <c r="BJ17" i="6" s="1"/>
  <c r="BJ31" i="6" s="1"/>
  <c r="BI15" i="6"/>
  <c r="BH15" i="6"/>
  <c r="BH17" i="6" s="1"/>
  <c r="BH31" i="6" s="1"/>
  <c r="BF15" i="6"/>
  <c r="BE15" i="6"/>
  <c r="BD15" i="6"/>
  <c r="BD17" i="6" s="1"/>
  <c r="BD31" i="6" s="1"/>
  <c r="BB15" i="6"/>
  <c r="BA15" i="6"/>
  <c r="AZ15" i="6"/>
  <c r="AZ17" i="6" s="1"/>
  <c r="AZ31" i="6" s="1"/>
  <c r="AX15" i="6"/>
  <c r="AX17" i="6" s="1"/>
  <c r="AX31" i="6" s="1"/>
  <c r="AW15" i="6"/>
  <c r="AV15" i="6"/>
  <c r="AV17" i="6" s="1"/>
  <c r="AV31" i="6" s="1"/>
  <c r="AL15" i="6"/>
  <c r="AK15" i="6"/>
  <c r="Y15" i="6"/>
  <c r="J15" i="6"/>
  <c r="H15" i="6"/>
  <c r="C14" i="6"/>
  <c r="BG13" i="6"/>
  <c r="BC13" i="6"/>
  <c r="AY13" i="6"/>
  <c r="AU13" i="6"/>
  <c r="AQ13" i="6"/>
  <c r="AO13" i="6"/>
  <c r="AM13" i="6"/>
  <c r="AK13" i="6"/>
  <c r="AI13" i="6"/>
  <c r="AG13" i="6"/>
  <c r="AE13" i="6"/>
  <c r="AD13" i="6"/>
  <c r="AC13" i="6"/>
  <c r="AA13" i="6"/>
  <c r="C11" i="26" s="1"/>
  <c r="Y13" i="6"/>
  <c r="Z13" i="6" s="1"/>
  <c r="W13" i="6"/>
  <c r="U13" i="6"/>
  <c r="S13" i="6"/>
  <c r="Q13" i="6"/>
  <c r="O13" i="6"/>
  <c r="I13" i="6"/>
  <c r="G13" i="6"/>
  <c r="BG12" i="6"/>
  <c r="BG15" i="6" s="1"/>
  <c r="AO12" i="6"/>
  <c r="AO15" i="6" s="1"/>
  <c r="AK12" i="6"/>
  <c r="AI12" i="6"/>
  <c r="AG12" i="6"/>
  <c r="AG15" i="6" s="1"/>
  <c r="AC12" i="6"/>
  <c r="AC15" i="6" s="1"/>
  <c r="Y12" i="6"/>
  <c r="U12" i="6"/>
  <c r="Q12" i="6"/>
  <c r="Q15" i="6" s="1"/>
  <c r="I12" i="6"/>
  <c r="G12" i="6"/>
  <c r="G15" i="6" s="1"/>
  <c r="BI10" i="6"/>
  <c r="BE10" i="6"/>
  <c r="BA10" i="6"/>
  <c r="BA17" i="6" s="1"/>
  <c r="AW10" i="6"/>
  <c r="AU10" i="6"/>
  <c r="AA10" i="6"/>
  <c r="AB25" i="6" s="1"/>
  <c r="AS9" i="6"/>
  <c r="AQ9" i="6"/>
  <c r="AG9" i="6"/>
  <c r="AE9" i="6"/>
  <c r="AC9" i="6"/>
  <c r="AA9" i="6"/>
  <c r="Y9" i="6"/>
  <c r="W9" i="6"/>
  <c r="Q9" i="6"/>
  <c r="M9" i="6" s="1"/>
  <c r="O9" i="6"/>
  <c r="BG8" i="6"/>
  <c r="AS8" i="6"/>
  <c r="AQ8" i="6"/>
  <c r="AO8" i="6"/>
  <c r="AM8" i="6"/>
  <c r="AK8" i="6"/>
  <c r="AI8" i="6"/>
  <c r="AG8" i="6"/>
  <c r="AE8" i="6"/>
  <c r="AC8" i="6"/>
  <c r="AA8" i="6"/>
  <c r="C7" i="26" s="1"/>
  <c r="Y8" i="6"/>
  <c r="W8" i="6"/>
  <c r="U8" i="6"/>
  <c r="S8" i="6"/>
  <c r="Q8" i="6"/>
  <c r="M8" i="6" s="1"/>
  <c r="O8" i="6"/>
  <c r="I8" i="6"/>
  <c r="G8" i="6"/>
  <c r="BC7" i="6"/>
  <c r="AU7" i="6"/>
  <c r="AS7" i="6"/>
  <c r="AQ7" i="6"/>
  <c r="AO7" i="6"/>
  <c r="AK7" i="6"/>
  <c r="AI7" i="6"/>
  <c r="AI10" i="6" s="1"/>
  <c r="AJ22" i="6" s="1"/>
  <c r="AG7" i="6"/>
  <c r="AC7" i="6"/>
  <c r="AD7" i="6" s="1"/>
  <c r="AA7" i="6"/>
  <c r="C6" i="26" s="1"/>
  <c r="Z7" i="6"/>
  <c r="Y7" i="6"/>
  <c r="U7" i="6"/>
  <c r="S7" i="6"/>
  <c r="Q7" i="6"/>
  <c r="O7" i="6"/>
  <c r="I7" i="6"/>
  <c r="G7" i="6"/>
  <c r="BG6" i="6"/>
  <c r="BC6" i="6"/>
  <c r="AY6" i="6"/>
  <c r="AU6" i="6"/>
  <c r="AS6" i="6"/>
  <c r="AQ6" i="6"/>
  <c r="AO6" i="6"/>
  <c r="AM6" i="6"/>
  <c r="AK6" i="6"/>
  <c r="AI6" i="6"/>
  <c r="AG6" i="6"/>
  <c r="AE6" i="6"/>
  <c r="C5" i="25" s="1"/>
  <c r="AC6" i="6"/>
  <c r="AA6" i="6"/>
  <c r="C5" i="26" s="1"/>
  <c r="Y6" i="6"/>
  <c r="Z6" i="6" s="1"/>
  <c r="W6" i="6"/>
  <c r="U6" i="6"/>
  <c r="S6" i="6"/>
  <c r="Q6" i="6"/>
  <c r="O6" i="6"/>
  <c r="I6" i="6"/>
  <c r="G6" i="6"/>
  <c r="BG5" i="6"/>
  <c r="BC5" i="6"/>
  <c r="BC10" i="6" s="1"/>
  <c r="AY5" i="6"/>
  <c r="AU5" i="6"/>
  <c r="AS5" i="6"/>
  <c r="AQ5" i="6"/>
  <c r="AQ10" i="6" s="1"/>
  <c r="AO5" i="6"/>
  <c r="AM5" i="6"/>
  <c r="AK5" i="6"/>
  <c r="AK10" i="6" s="1"/>
  <c r="AL23" i="6" s="1"/>
  <c r="AI5" i="6"/>
  <c r="AG5" i="6"/>
  <c r="AE5" i="6"/>
  <c r="C4" i="25" s="1"/>
  <c r="AC5" i="6"/>
  <c r="AC10" i="6" s="1"/>
  <c r="AB5" i="6"/>
  <c r="AA5" i="6"/>
  <c r="C4" i="26" s="1"/>
  <c r="Y5" i="6"/>
  <c r="Y10" i="6" s="1"/>
  <c r="W5" i="6"/>
  <c r="U5" i="6"/>
  <c r="S5" i="6"/>
  <c r="Q5" i="6"/>
  <c r="Q10" i="6" s="1"/>
  <c r="R13" i="6" s="1"/>
  <c r="O5" i="6"/>
  <c r="K5" i="6" s="1"/>
  <c r="I5" i="6"/>
  <c r="I10" i="6" s="1"/>
  <c r="G5" i="6"/>
  <c r="C5" i="6" s="1"/>
  <c r="Y29" i="5"/>
  <c r="Z29" i="5" s="1"/>
  <c r="BI28" i="5"/>
  <c r="BG28" i="5"/>
  <c r="BE28" i="5"/>
  <c r="BC28" i="5"/>
  <c r="BC27" i="2" s="1"/>
  <c r="BC27" i="1" s="1"/>
  <c r="BA28" i="5"/>
  <c r="AY28" i="5"/>
  <c r="AW28" i="5"/>
  <c r="AU28" i="5"/>
  <c r="AQ28" i="5"/>
  <c r="AO28" i="5"/>
  <c r="AM28" i="5"/>
  <c r="AK28" i="5"/>
  <c r="AI28" i="5"/>
  <c r="AG28" i="5"/>
  <c r="AE28" i="5"/>
  <c r="AF28" i="5" s="1"/>
  <c r="AC28" i="5"/>
  <c r="AA28" i="5"/>
  <c r="X28" i="5"/>
  <c r="W28" i="5"/>
  <c r="U28" i="5"/>
  <c r="S28" i="5"/>
  <c r="Q28" i="5"/>
  <c r="O28" i="5"/>
  <c r="I28" i="5"/>
  <c r="BI27" i="5"/>
  <c r="BG27" i="5"/>
  <c r="BE27" i="5"/>
  <c r="BC27" i="5"/>
  <c r="BA27" i="5"/>
  <c r="AY27" i="5"/>
  <c r="AW27" i="5"/>
  <c r="AU27" i="5"/>
  <c r="AS27" i="5"/>
  <c r="AQ27" i="5"/>
  <c r="AO27" i="5"/>
  <c r="AP27" i="5" s="1"/>
  <c r="AM27" i="5"/>
  <c r="AL27" i="5"/>
  <c r="AK27" i="5"/>
  <c r="AI27" i="5"/>
  <c r="AG27" i="5"/>
  <c r="AE27" i="5"/>
  <c r="AC27" i="5"/>
  <c r="AA27" i="5"/>
  <c r="Z27" i="5"/>
  <c r="W27" i="5"/>
  <c r="X27" i="5" s="1"/>
  <c r="S27" i="5"/>
  <c r="Q27" i="5"/>
  <c r="O27" i="5"/>
  <c r="I27" i="5"/>
  <c r="BI26" i="5"/>
  <c r="BG26" i="5"/>
  <c r="BE26" i="5"/>
  <c r="BC26" i="5"/>
  <c r="BA26" i="5"/>
  <c r="AY26" i="5"/>
  <c r="AW26" i="5"/>
  <c r="AU26" i="5"/>
  <c r="AS26" i="5"/>
  <c r="AQ26" i="5"/>
  <c r="AO26" i="5"/>
  <c r="AM26" i="5"/>
  <c r="AK26" i="5"/>
  <c r="AI26" i="5"/>
  <c r="AG26" i="5"/>
  <c r="AE26" i="5"/>
  <c r="AC26" i="5"/>
  <c r="AA26" i="5"/>
  <c r="X26" i="5"/>
  <c r="W26" i="5"/>
  <c r="V26" i="5"/>
  <c r="U26" i="5"/>
  <c r="S26" i="5"/>
  <c r="Q26" i="5"/>
  <c r="I26" i="5"/>
  <c r="G26" i="5"/>
  <c r="BI25" i="5"/>
  <c r="BG25" i="5"/>
  <c r="BE25" i="5"/>
  <c r="BC25" i="5"/>
  <c r="BA25" i="5"/>
  <c r="AY25" i="5"/>
  <c r="AW25" i="5"/>
  <c r="AU25" i="5"/>
  <c r="AS25" i="5"/>
  <c r="AQ25" i="5"/>
  <c r="AO25" i="5"/>
  <c r="AM25" i="5"/>
  <c r="AK25" i="5"/>
  <c r="AI25" i="5"/>
  <c r="AG25" i="5"/>
  <c r="AE25" i="5"/>
  <c r="AF25" i="5" s="1"/>
  <c r="AC25" i="5"/>
  <c r="AA25" i="5"/>
  <c r="W25" i="5"/>
  <c r="X25" i="5" s="1"/>
  <c r="U25" i="5"/>
  <c r="Q25" i="5"/>
  <c r="O25" i="5"/>
  <c r="I25" i="5"/>
  <c r="G25" i="5"/>
  <c r="G24" i="2" s="1"/>
  <c r="BI24" i="5"/>
  <c r="BG24" i="5"/>
  <c r="BE24" i="5"/>
  <c r="BC24" i="5"/>
  <c r="BA24" i="5"/>
  <c r="AY24" i="5"/>
  <c r="AW24" i="5"/>
  <c r="AU24" i="5"/>
  <c r="AS24" i="5"/>
  <c r="M24" i="5" s="1"/>
  <c r="AQ24" i="5"/>
  <c r="AO24" i="5"/>
  <c r="AP24" i="5" s="1"/>
  <c r="AM24" i="5"/>
  <c r="AN24" i="5" s="1"/>
  <c r="AK24" i="5"/>
  <c r="AI24" i="5"/>
  <c r="AI23" i="2" s="1"/>
  <c r="AI23" i="1" s="1"/>
  <c r="AG24" i="5"/>
  <c r="AE24" i="5"/>
  <c r="AC24" i="5"/>
  <c r="AA24" i="5"/>
  <c r="Z24" i="5"/>
  <c r="W24" i="5"/>
  <c r="V24" i="5"/>
  <c r="U24" i="5"/>
  <c r="S24" i="5"/>
  <c r="Q24" i="5"/>
  <c r="O24" i="5"/>
  <c r="I24" i="5"/>
  <c r="G24" i="5"/>
  <c r="BI23" i="5"/>
  <c r="BG23" i="5"/>
  <c r="BA23" i="5"/>
  <c r="AY23" i="5"/>
  <c r="AW23" i="5"/>
  <c r="AU23" i="5"/>
  <c r="AS23" i="5"/>
  <c r="AQ23" i="5"/>
  <c r="AO23" i="5"/>
  <c r="AP23" i="5" s="1"/>
  <c r="AM23" i="5"/>
  <c r="AK23" i="5"/>
  <c r="AI23" i="5"/>
  <c r="AG23" i="5"/>
  <c r="AF23" i="5"/>
  <c r="AE23" i="5"/>
  <c r="AC23" i="5"/>
  <c r="AA23" i="5"/>
  <c r="W23" i="5"/>
  <c r="U23" i="5"/>
  <c r="S23" i="5"/>
  <c r="Q23" i="5"/>
  <c r="O23" i="5"/>
  <c r="I23" i="5"/>
  <c r="G23" i="5"/>
  <c r="BI22" i="5"/>
  <c r="BG22" i="5"/>
  <c r="BA22" i="5"/>
  <c r="AY22" i="5"/>
  <c r="AW22" i="5"/>
  <c r="AU22" i="5"/>
  <c r="AS22" i="5"/>
  <c r="AQ22" i="5"/>
  <c r="AO22" i="5"/>
  <c r="AP22" i="5" s="1"/>
  <c r="AM22" i="5"/>
  <c r="AK22" i="5"/>
  <c r="AI22" i="5"/>
  <c r="AG22" i="5"/>
  <c r="AE22" i="5"/>
  <c r="AC22" i="5"/>
  <c r="AA22" i="5"/>
  <c r="Z22" i="5"/>
  <c r="W22" i="5"/>
  <c r="X22" i="5" s="1"/>
  <c r="U22" i="5"/>
  <c r="S22" i="5"/>
  <c r="Q22" i="5"/>
  <c r="P22" i="5"/>
  <c r="O22" i="5"/>
  <c r="I22" i="5"/>
  <c r="G22" i="5"/>
  <c r="BI21" i="5"/>
  <c r="BG21" i="5"/>
  <c r="BE21" i="5"/>
  <c r="BC21" i="5"/>
  <c r="BA21" i="5"/>
  <c r="AW21" i="5"/>
  <c r="AU21" i="5"/>
  <c r="AS21" i="5"/>
  <c r="AQ21" i="5"/>
  <c r="AM21" i="5"/>
  <c r="AK21" i="5"/>
  <c r="AI21" i="5"/>
  <c r="AG21" i="5"/>
  <c r="AE21" i="5"/>
  <c r="AC21" i="5"/>
  <c r="AA21" i="5"/>
  <c r="Z21" i="5"/>
  <c r="W21" i="5"/>
  <c r="U21" i="5"/>
  <c r="V21" i="5" s="1"/>
  <c r="S21" i="5"/>
  <c r="Q21" i="5"/>
  <c r="O21" i="5"/>
  <c r="O20" i="2" s="1"/>
  <c r="I21" i="5"/>
  <c r="G21" i="5"/>
  <c r="BI20" i="5"/>
  <c r="BG20" i="5"/>
  <c r="BE20" i="5"/>
  <c r="BC20" i="5"/>
  <c r="BA20" i="5"/>
  <c r="AY20" i="5"/>
  <c r="AW20" i="5"/>
  <c r="AU20" i="5"/>
  <c r="AS20" i="5"/>
  <c r="AQ20" i="5"/>
  <c r="AO20" i="5"/>
  <c r="AM20" i="5"/>
  <c r="AK20" i="5"/>
  <c r="AI20" i="5"/>
  <c r="AG20" i="5"/>
  <c r="AE20" i="5"/>
  <c r="AF20" i="5" s="1"/>
  <c r="AC20" i="5"/>
  <c r="AA20" i="5"/>
  <c r="AA29" i="5" s="1"/>
  <c r="X20" i="5"/>
  <c r="W20" i="5"/>
  <c r="U20" i="5"/>
  <c r="S20" i="5"/>
  <c r="Q20" i="5"/>
  <c r="O20" i="5"/>
  <c r="G20" i="5"/>
  <c r="BI19" i="5"/>
  <c r="BI29" i="5" s="1"/>
  <c r="BG19" i="5"/>
  <c r="BE19" i="5"/>
  <c r="BC19" i="5"/>
  <c r="BA19" i="5"/>
  <c r="AY19" i="5"/>
  <c r="AW19" i="5"/>
  <c r="AW29" i="5" s="1"/>
  <c r="AU19" i="5"/>
  <c r="AQ19" i="5"/>
  <c r="AQ29" i="5" s="1"/>
  <c r="AO19" i="5"/>
  <c r="AP19" i="5" s="1"/>
  <c r="AM19" i="5"/>
  <c r="AK19" i="5"/>
  <c r="AI19" i="5"/>
  <c r="AG19" i="5"/>
  <c r="AE19" i="5"/>
  <c r="AA19" i="5"/>
  <c r="Z19" i="5"/>
  <c r="W19" i="5"/>
  <c r="V19" i="5"/>
  <c r="U19" i="5"/>
  <c r="S19" i="5"/>
  <c r="Q19" i="5"/>
  <c r="P19" i="5"/>
  <c r="O19" i="5"/>
  <c r="I19" i="5"/>
  <c r="BJ17" i="5"/>
  <c r="BJ31" i="5" s="1"/>
  <c r="BH17" i="5"/>
  <c r="BH31" i="5" s="1"/>
  <c r="BD17" i="5"/>
  <c r="BD31" i="5" s="1"/>
  <c r="AV17" i="5"/>
  <c r="AV31" i="5" s="1"/>
  <c r="BJ15" i="5"/>
  <c r="BH15" i="5"/>
  <c r="BF15" i="5"/>
  <c r="BF17" i="5" s="1"/>
  <c r="BF31" i="5" s="1"/>
  <c r="BE15" i="5"/>
  <c r="BD15" i="5"/>
  <c r="BB15" i="5"/>
  <c r="BB17" i="5" s="1"/>
  <c r="BB31" i="5" s="1"/>
  <c r="AZ15" i="5"/>
  <c r="AZ17" i="5" s="1"/>
  <c r="AZ31" i="5" s="1"/>
  <c r="AX15" i="5"/>
  <c r="AX17" i="5" s="1"/>
  <c r="AX31" i="5" s="1"/>
  <c r="AV15" i="5"/>
  <c r="AL15" i="5"/>
  <c r="AG15" i="5"/>
  <c r="Y15" i="5"/>
  <c r="V15" i="5"/>
  <c r="J15" i="5"/>
  <c r="H15" i="5"/>
  <c r="M14" i="5"/>
  <c r="C14" i="5"/>
  <c r="BI13" i="5"/>
  <c r="BG13" i="5"/>
  <c r="BE13" i="5"/>
  <c r="BC13" i="5"/>
  <c r="BA13" i="5"/>
  <c r="AY13" i="5"/>
  <c r="AW13" i="5"/>
  <c r="AU13" i="5"/>
  <c r="AU15" i="5" s="1"/>
  <c r="AQ13" i="5"/>
  <c r="AO13" i="5"/>
  <c r="AO15" i="5" s="1"/>
  <c r="AM13" i="5"/>
  <c r="AK13" i="5"/>
  <c r="AI13" i="5"/>
  <c r="AG13" i="5"/>
  <c r="AE13" i="5"/>
  <c r="AC13" i="5"/>
  <c r="AA13" i="5"/>
  <c r="Z13" i="5"/>
  <c r="W13" i="5"/>
  <c r="U13" i="5"/>
  <c r="S13" i="5"/>
  <c r="Q13" i="5"/>
  <c r="Q15" i="5" s="1"/>
  <c r="P13" i="5"/>
  <c r="O13" i="5"/>
  <c r="I13" i="5"/>
  <c r="I15" i="5" s="1"/>
  <c r="G13" i="5"/>
  <c r="BI12" i="5"/>
  <c r="BI15" i="5" s="1"/>
  <c r="BG12" i="5"/>
  <c r="BE12" i="5"/>
  <c r="BA12" i="5"/>
  <c r="BA15" i="5" s="1"/>
  <c r="AW12" i="5"/>
  <c r="AW15" i="5" s="1"/>
  <c r="AU12" i="5"/>
  <c r="AO12" i="5"/>
  <c r="AK12" i="5"/>
  <c r="AI12" i="5"/>
  <c r="AG12" i="5"/>
  <c r="AC12" i="5"/>
  <c r="Z12" i="5"/>
  <c r="Z15" i="5" s="1"/>
  <c r="U12" i="5"/>
  <c r="V12" i="5" s="1"/>
  <c r="Q12" i="5"/>
  <c r="I12" i="5"/>
  <c r="G12" i="5"/>
  <c r="BC10" i="5"/>
  <c r="AU10" i="5"/>
  <c r="AU17" i="5" s="1"/>
  <c r="AQ10" i="5"/>
  <c r="AO10" i="5"/>
  <c r="AE10" i="5"/>
  <c r="AF24" i="5" s="1"/>
  <c r="Y10" i="5"/>
  <c r="Y17" i="5" s="1"/>
  <c r="Z17" i="5" s="1"/>
  <c r="W10" i="5"/>
  <c r="X21" i="5" s="1"/>
  <c r="AS9" i="5"/>
  <c r="M9" i="5" s="1"/>
  <c r="AQ9" i="5"/>
  <c r="AG9" i="5"/>
  <c r="AE9" i="5"/>
  <c r="AC9" i="5"/>
  <c r="AA9" i="5"/>
  <c r="Q9" i="5"/>
  <c r="O9" i="5"/>
  <c r="BI8" i="5"/>
  <c r="BG8" i="5"/>
  <c r="BG8" i="2" s="1"/>
  <c r="BG8" i="1" s="1"/>
  <c r="AW8" i="5"/>
  <c r="AS8" i="5"/>
  <c r="AQ8" i="5"/>
  <c r="AO8" i="5"/>
  <c r="AM8" i="5"/>
  <c r="AN8" i="5" s="1"/>
  <c r="AK8" i="5"/>
  <c r="AI8" i="5"/>
  <c r="AG8" i="5"/>
  <c r="AF8" i="5"/>
  <c r="AE8" i="5"/>
  <c r="AC8" i="5"/>
  <c r="AA8" i="5"/>
  <c r="Z8" i="5"/>
  <c r="W8" i="5"/>
  <c r="U8" i="5"/>
  <c r="S8" i="5"/>
  <c r="Q8" i="5"/>
  <c r="P8" i="5"/>
  <c r="O8" i="5"/>
  <c r="M8" i="5"/>
  <c r="E8" i="5" s="1"/>
  <c r="I8" i="5"/>
  <c r="G8" i="5"/>
  <c r="BI7" i="5"/>
  <c r="BG7" i="5"/>
  <c r="BE7" i="5"/>
  <c r="BC7" i="5"/>
  <c r="BA7" i="5"/>
  <c r="AY7" i="5"/>
  <c r="AW7" i="5"/>
  <c r="AU7" i="5"/>
  <c r="AS7" i="5"/>
  <c r="AQ7" i="5"/>
  <c r="AO7" i="5"/>
  <c r="AM7" i="5"/>
  <c r="AK7" i="5"/>
  <c r="AI7" i="5"/>
  <c r="AG7" i="5"/>
  <c r="AE7" i="5"/>
  <c r="AC7" i="5"/>
  <c r="AA7" i="5"/>
  <c r="Z7" i="5"/>
  <c r="X7" i="5"/>
  <c r="W7" i="5"/>
  <c r="U7" i="5"/>
  <c r="S7" i="5"/>
  <c r="Q7" i="5"/>
  <c r="M7" i="5" s="1"/>
  <c r="E7" i="5" s="1"/>
  <c r="O7" i="5"/>
  <c r="C7" i="5"/>
  <c r="I7" i="5"/>
  <c r="G7" i="5"/>
  <c r="BI6" i="5"/>
  <c r="BG6" i="5"/>
  <c r="BE6" i="5"/>
  <c r="BC6" i="5"/>
  <c r="BA6" i="5"/>
  <c r="AY6" i="5"/>
  <c r="AY10" i="5" s="1"/>
  <c r="AW6" i="5"/>
  <c r="AU6" i="5"/>
  <c r="AS6" i="5"/>
  <c r="AQ6" i="5"/>
  <c r="AP6" i="5"/>
  <c r="AO6" i="5"/>
  <c r="AM6" i="5"/>
  <c r="AK6" i="5"/>
  <c r="AI6" i="5"/>
  <c r="AG6" i="5"/>
  <c r="AE6" i="5"/>
  <c r="AC6" i="5"/>
  <c r="AA6" i="5"/>
  <c r="Z6" i="5"/>
  <c r="X6" i="5"/>
  <c r="W6" i="5"/>
  <c r="U6" i="5"/>
  <c r="S6" i="5"/>
  <c r="Q6" i="5"/>
  <c r="P6" i="5"/>
  <c r="O6" i="5"/>
  <c r="I6" i="5"/>
  <c r="I10" i="5" s="1"/>
  <c r="G6" i="5"/>
  <c r="BI5" i="5"/>
  <c r="BI10" i="5" s="1"/>
  <c r="BG5" i="5"/>
  <c r="BE5" i="5"/>
  <c r="BC5" i="5"/>
  <c r="BA5" i="5"/>
  <c r="BA10" i="5" s="1"/>
  <c r="BA17" i="5" s="1"/>
  <c r="AY5" i="5"/>
  <c r="AW5" i="5"/>
  <c r="AW10" i="5" s="1"/>
  <c r="AU5" i="5"/>
  <c r="AS5" i="5"/>
  <c r="AQ5" i="5"/>
  <c r="AO5" i="5"/>
  <c r="AM5" i="5"/>
  <c r="AM10" i="5" s="1"/>
  <c r="AN7" i="5" s="1"/>
  <c r="AK5" i="5"/>
  <c r="AK10" i="5" s="1"/>
  <c r="AL21" i="5" s="1"/>
  <c r="AI5" i="5"/>
  <c r="AG5" i="5"/>
  <c r="AE5" i="5"/>
  <c r="AC5" i="5"/>
  <c r="AA5" i="5"/>
  <c r="Z5" i="5"/>
  <c r="W5" i="5"/>
  <c r="V5" i="5"/>
  <c r="U5" i="5"/>
  <c r="U10" i="5" s="1"/>
  <c r="S5" i="5"/>
  <c r="Q5" i="5"/>
  <c r="O5" i="5"/>
  <c r="O10" i="5" s="1"/>
  <c r="P23" i="5" s="1"/>
  <c r="I5" i="5"/>
  <c r="G5" i="5"/>
  <c r="N37" i="4"/>
  <c r="M37" i="4"/>
  <c r="N36" i="4"/>
  <c r="M36" i="4"/>
  <c r="N35" i="4"/>
  <c r="N34" i="4"/>
  <c r="N40" i="4" s="1"/>
  <c r="M34" i="4"/>
  <c r="N33" i="4"/>
  <c r="M33" i="4"/>
  <c r="N32" i="4"/>
  <c r="M32" i="4"/>
  <c r="N31" i="4"/>
  <c r="M31" i="4"/>
  <c r="N28" i="4"/>
  <c r="L28" i="4"/>
  <c r="K28" i="4"/>
  <c r="J28" i="4"/>
  <c r="I28" i="4"/>
  <c r="H28" i="4"/>
  <c r="G28" i="4"/>
  <c r="F28" i="4"/>
  <c r="E28" i="4"/>
  <c r="D28" i="4"/>
  <c r="C28" i="4"/>
  <c r="N27" i="4"/>
  <c r="M27" i="4"/>
  <c r="L27" i="4"/>
  <c r="K27" i="4"/>
  <c r="J27" i="4"/>
  <c r="I27" i="4"/>
  <c r="H27" i="4"/>
  <c r="G27" i="4"/>
  <c r="F27" i="4"/>
  <c r="E27" i="4"/>
  <c r="D27" i="4"/>
  <c r="C27" i="4"/>
  <c r="N26" i="4"/>
  <c r="N23" i="4"/>
  <c r="M23" i="4"/>
  <c r="N22" i="4"/>
  <c r="M22" i="4"/>
  <c r="N19" i="4"/>
  <c r="M19" i="4"/>
  <c r="N18" i="4"/>
  <c r="M18" i="4"/>
  <c r="BJ17" i="4"/>
  <c r="BH17" i="4"/>
  <c r="AZ17" i="4"/>
  <c r="AX17" i="4"/>
  <c r="AP17" i="4"/>
  <c r="AN17" i="4"/>
  <c r="N17" i="4"/>
  <c r="N16" i="4"/>
  <c r="M16" i="4"/>
  <c r="N15" i="4"/>
  <c r="M15" i="4"/>
  <c r="N14" i="4"/>
  <c r="M14" i="4"/>
  <c r="N13" i="4"/>
  <c r="M13" i="4"/>
  <c r="N10" i="4"/>
  <c r="M10" i="4"/>
  <c r="N9" i="4"/>
  <c r="M9" i="4"/>
  <c r="N8" i="4"/>
  <c r="N7" i="4"/>
  <c r="M7" i="4"/>
  <c r="N6" i="4"/>
  <c r="M6" i="4"/>
  <c r="N5" i="4"/>
  <c r="M5" i="4"/>
  <c r="N4" i="4"/>
  <c r="M4" i="4"/>
  <c r="F29" i="3"/>
  <c r="E29" i="3"/>
  <c r="F28" i="3"/>
  <c r="E28" i="3"/>
  <c r="D28" i="3"/>
  <c r="F27" i="3"/>
  <c r="E27" i="3"/>
  <c r="D27" i="3"/>
  <c r="C27" i="3"/>
  <c r="F26" i="3"/>
  <c r="E26" i="3"/>
  <c r="D26" i="3"/>
  <c r="C26" i="3"/>
  <c r="H25" i="3"/>
  <c r="G25" i="3"/>
  <c r="F25" i="3"/>
  <c r="E25" i="3"/>
  <c r="D25" i="3"/>
  <c r="C25" i="3"/>
  <c r="H24" i="3"/>
  <c r="G24" i="3"/>
  <c r="F24" i="3"/>
  <c r="E24" i="3"/>
  <c r="D24" i="3"/>
  <c r="C24" i="3"/>
  <c r="H23" i="3"/>
  <c r="G23" i="3"/>
  <c r="F23" i="3"/>
  <c r="E23" i="3"/>
  <c r="D23" i="3"/>
  <c r="C23" i="3"/>
  <c r="H22" i="3"/>
  <c r="G22" i="3"/>
  <c r="F22" i="3"/>
  <c r="E22" i="3"/>
  <c r="D22" i="3"/>
  <c r="C22" i="3"/>
  <c r="H21" i="3"/>
  <c r="G21" i="3"/>
  <c r="F21" i="3"/>
  <c r="E21" i="3"/>
  <c r="D21" i="3"/>
  <c r="C21" i="3"/>
  <c r="H20" i="3"/>
  <c r="G20" i="3"/>
  <c r="F20" i="3"/>
  <c r="E20" i="3"/>
  <c r="D20" i="3"/>
  <c r="H19" i="3"/>
  <c r="G19" i="3"/>
  <c r="F19" i="3"/>
  <c r="E19" i="3"/>
  <c r="D19" i="3"/>
  <c r="H18" i="3"/>
  <c r="H28" i="3" s="1"/>
  <c r="G18" i="3"/>
  <c r="G28" i="3" s="1"/>
  <c r="F18" i="3"/>
  <c r="E18" i="3"/>
  <c r="D18" i="3"/>
  <c r="F17" i="3"/>
  <c r="E17" i="3"/>
  <c r="D17" i="3"/>
  <c r="C17" i="3"/>
  <c r="F14" i="3"/>
  <c r="E14" i="3"/>
  <c r="H13" i="3"/>
  <c r="G13" i="3"/>
  <c r="F13" i="3"/>
  <c r="E13" i="3"/>
  <c r="D13" i="3"/>
  <c r="C13" i="3"/>
  <c r="F12" i="3"/>
  <c r="E12" i="3"/>
  <c r="H11" i="3"/>
  <c r="G11" i="3"/>
  <c r="G12" i="3" s="1"/>
  <c r="F11" i="3"/>
  <c r="E11" i="3"/>
  <c r="D11" i="3"/>
  <c r="C11" i="3"/>
  <c r="H10" i="3"/>
  <c r="H12" i="3" s="1"/>
  <c r="G10" i="3"/>
  <c r="F10" i="3"/>
  <c r="E10" i="3"/>
  <c r="D10" i="3"/>
  <c r="D12" i="3" s="1"/>
  <c r="F9" i="3"/>
  <c r="E9" i="3"/>
  <c r="D9" i="3"/>
  <c r="C9" i="3"/>
  <c r="H7" i="3"/>
  <c r="G7" i="3"/>
  <c r="F7" i="3"/>
  <c r="E7" i="3"/>
  <c r="D7" i="3"/>
  <c r="C7" i="3"/>
  <c r="H6" i="3"/>
  <c r="G6" i="3"/>
  <c r="F6" i="3"/>
  <c r="E6" i="3"/>
  <c r="D6" i="3"/>
  <c r="H5" i="3"/>
  <c r="G5" i="3"/>
  <c r="F5" i="3"/>
  <c r="E5" i="3"/>
  <c r="D5" i="3"/>
  <c r="C5" i="3"/>
  <c r="H4" i="3"/>
  <c r="H8" i="3" s="1"/>
  <c r="G4" i="3"/>
  <c r="G8" i="3" s="1"/>
  <c r="F4" i="3"/>
  <c r="F8" i="3" s="1"/>
  <c r="F15" i="3" s="1"/>
  <c r="E4" i="3"/>
  <c r="E8" i="3" s="1"/>
  <c r="E15" i="3" s="1"/>
  <c r="D4" i="3"/>
  <c r="D8" i="3" s="1"/>
  <c r="D15" i="3" s="1"/>
  <c r="C4" i="3"/>
  <c r="AW28" i="2"/>
  <c r="Y28" i="2"/>
  <c r="Y28" i="1" s="1"/>
  <c r="BI27" i="2"/>
  <c r="BG27" i="2"/>
  <c r="BE27" i="2"/>
  <c r="BE27" i="1" s="1"/>
  <c r="BA27" i="2"/>
  <c r="AY27" i="2"/>
  <c r="AW27" i="2"/>
  <c r="AU27" i="2"/>
  <c r="AQ27" i="2"/>
  <c r="AO27" i="2"/>
  <c r="AO27" i="1" s="1"/>
  <c r="AM27" i="2"/>
  <c r="AM27" i="1" s="1"/>
  <c r="AK27" i="2"/>
  <c r="AI27" i="2"/>
  <c r="AG27" i="2"/>
  <c r="AG27" i="1" s="1"/>
  <c r="AE27" i="2"/>
  <c r="AC27" i="2"/>
  <c r="AA27" i="2"/>
  <c r="Y27" i="2"/>
  <c r="W27" i="2"/>
  <c r="U27" i="2"/>
  <c r="S27" i="2"/>
  <c r="Q27" i="2"/>
  <c r="Q27" i="1" s="1"/>
  <c r="O27" i="2"/>
  <c r="K27" i="2" s="1"/>
  <c r="I27" i="2"/>
  <c r="G27" i="2"/>
  <c r="BI26" i="2"/>
  <c r="BG26" i="2"/>
  <c r="BE26" i="2"/>
  <c r="BC26" i="2"/>
  <c r="BA26" i="2"/>
  <c r="AY26" i="2"/>
  <c r="AW26" i="2"/>
  <c r="AU26" i="2"/>
  <c r="AS26" i="2"/>
  <c r="AQ26" i="2"/>
  <c r="AO26" i="2"/>
  <c r="AM26" i="2"/>
  <c r="AK26" i="2"/>
  <c r="AI26" i="2"/>
  <c r="AG26" i="2"/>
  <c r="AE26" i="2"/>
  <c r="AE26" i="1" s="1"/>
  <c r="AC26" i="2"/>
  <c r="AC26" i="1" s="1"/>
  <c r="AD26" i="1" s="1"/>
  <c r="AA26" i="2"/>
  <c r="Y26" i="2"/>
  <c r="W26" i="2"/>
  <c r="U26" i="2"/>
  <c r="S26" i="2"/>
  <c r="O26" i="2"/>
  <c r="I26" i="2"/>
  <c r="G26" i="2"/>
  <c r="BI25" i="2"/>
  <c r="BG25" i="2"/>
  <c r="BE25" i="2"/>
  <c r="BC25" i="2"/>
  <c r="BA25" i="2"/>
  <c r="AY25" i="2"/>
  <c r="AW25" i="2"/>
  <c r="AU25" i="2"/>
  <c r="AS25" i="2"/>
  <c r="AS25" i="1" s="1"/>
  <c r="AQ25" i="2"/>
  <c r="AQ25" i="1" s="1"/>
  <c r="AO25" i="2"/>
  <c r="AM25" i="2"/>
  <c r="AK25" i="2"/>
  <c r="AI25" i="2"/>
  <c r="AG25" i="2"/>
  <c r="AE25" i="2"/>
  <c r="AC25" i="2"/>
  <c r="AA25" i="2"/>
  <c r="Y25" i="2"/>
  <c r="W25" i="2"/>
  <c r="U25" i="2"/>
  <c r="U25" i="1" s="1"/>
  <c r="S25" i="2"/>
  <c r="S25" i="1" s="1"/>
  <c r="G25" i="2"/>
  <c r="BI24" i="2"/>
  <c r="BG24" i="2"/>
  <c r="BG24" i="1" s="1"/>
  <c r="BE24" i="2"/>
  <c r="BE24" i="1" s="1"/>
  <c r="BC24" i="2"/>
  <c r="BA24" i="2"/>
  <c r="AY24" i="2"/>
  <c r="AW24" i="2"/>
  <c r="AU24" i="2"/>
  <c r="AS24" i="2"/>
  <c r="AQ24" i="2"/>
  <c r="AO24" i="2"/>
  <c r="AM24" i="2"/>
  <c r="AK24" i="2"/>
  <c r="AI24" i="2"/>
  <c r="AG24" i="2"/>
  <c r="AG24" i="1" s="1"/>
  <c r="AE24" i="2"/>
  <c r="AC24" i="2"/>
  <c r="AA24" i="2"/>
  <c r="Y24" i="2"/>
  <c r="U24" i="2"/>
  <c r="O24" i="2"/>
  <c r="I24" i="2"/>
  <c r="BI23" i="2"/>
  <c r="BG23" i="2"/>
  <c r="BE23" i="2"/>
  <c r="BC23" i="2"/>
  <c r="BA23" i="2"/>
  <c r="AY23" i="2"/>
  <c r="AW23" i="2"/>
  <c r="AW23" i="1" s="1"/>
  <c r="AU23" i="2"/>
  <c r="AU23" i="1" s="1"/>
  <c r="AV23" i="1" s="1"/>
  <c r="AS23" i="2"/>
  <c r="AQ23" i="2"/>
  <c r="AO23" i="2"/>
  <c r="AM23" i="2"/>
  <c r="AK23" i="2"/>
  <c r="AG23" i="2"/>
  <c r="AE23" i="2"/>
  <c r="AC23" i="2"/>
  <c r="AA23" i="2"/>
  <c r="Y23" i="2"/>
  <c r="Y23" i="1" s="1"/>
  <c r="W23" i="2"/>
  <c r="W23" i="1" s="1"/>
  <c r="U23" i="2"/>
  <c r="S23" i="2"/>
  <c r="O23" i="2"/>
  <c r="I23" i="2"/>
  <c r="G23" i="2"/>
  <c r="BI22" i="2"/>
  <c r="BG22" i="2"/>
  <c r="BE22" i="2"/>
  <c r="BC22" i="2"/>
  <c r="BA22" i="2"/>
  <c r="AY22" i="2"/>
  <c r="AW22" i="2"/>
  <c r="AU22" i="2"/>
  <c r="AS22" i="2"/>
  <c r="AQ22" i="2"/>
  <c r="AO22" i="2"/>
  <c r="AM22" i="2"/>
  <c r="AM22" i="1" s="1"/>
  <c r="AK22" i="2"/>
  <c r="AK22" i="1" s="1"/>
  <c r="AI22" i="2"/>
  <c r="AG22" i="2"/>
  <c r="AE22" i="2"/>
  <c r="AC22" i="2"/>
  <c r="AA22" i="2"/>
  <c r="Y22" i="2"/>
  <c r="W22" i="2"/>
  <c r="U22" i="2"/>
  <c r="S22" i="2"/>
  <c r="Q22" i="2"/>
  <c r="I22" i="2"/>
  <c r="G22" i="2"/>
  <c r="BI21" i="2"/>
  <c r="BG21" i="2"/>
  <c r="BE21" i="2"/>
  <c r="BC21" i="2"/>
  <c r="BA21" i="2"/>
  <c r="BA21" i="1" s="1"/>
  <c r="AY21" i="2"/>
  <c r="AY21" i="1" s="1"/>
  <c r="AW21" i="2"/>
  <c r="AU21" i="2"/>
  <c r="AS21" i="2"/>
  <c r="AQ21" i="2"/>
  <c r="AO21" i="2"/>
  <c r="AM21" i="2"/>
  <c r="AK21" i="2"/>
  <c r="AI21" i="2"/>
  <c r="AG21" i="2"/>
  <c r="AE21" i="2"/>
  <c r="AC21" i="2"/>
  <c r="AC21" i="1" s="1"/>
  <c r="AA21" i="2"/>
  <c r="AA21" i="1" s="1"/>
  <c r="Y21" i="2"/>
  <c r="W21" i="2"/>
  <c r="K21" i="2" s="1"/>
  <c r="C21" i="2" s="1"/>
  <c r="U21" i="2"/>
  <c r="M21" i="2" s="1"/>
  <c r="E21" i="2" s="1"/>
  <c r="S21" i="2"/>
  <c r="Q21" i="2"/>
  <c r="O21" i="2"/>
  <c r="I21" i="2"/>
  <c r="G21" i="2"/>
  <c r="BI20" i="2"/>
  <c r="BG20" i="2"/>
  <c r="BE20" i="2"/>
  <c r="BC20" i="2"/>
  <c r="BA20" i="2"/>
  <c r="AW20" i="2"/>
  <c r="AU20" i="2"/>
  <c r="AS20" i="2"/>
  <c r="AQ20" i="2"/>
  <c r="AQ28" i="2" s="1"/>
  <c r="AO20" i="2"/>
  <c r="AO20" i="1" s="1"/>
  <c r="AM20" i="2"/>
  <c r="AK20" i="2"/>
  <c r="AI20" i="2"/>
  <c r="AG20" i="2"/>
  <c r="AE20" i="2"/>
  <c r="AC20" i="2"/>
  <c r="AA20" i="2"/>
  <c r="Y20" i="2"/>
  <c r="U20" i="2"/>
  <c r="S20" i="2"/>
  <c r="Q20" i="2"/>
  <c r="M20" i="2" s="1"/>
  <c r="G20" i="2"/>
  <c r="BI19" i="2"/>
  <c r="BG19" i="2"/>
  <c r="BE19" i="2"/>
  <c r="BE19" i="1" s="1"/>
  <c r="BC19" i="2"/>
  <c r="BC19" i="1" s="1"/>
  <c r="BA19" i="2"/>
  <c r="AW19" i="2"/>
  <c r="AU19" i="2"/>
  <c r="AS19" i="2"/>
  <c r="AQ19" i="2"/>
  <c r="AO19" i="2"/>
  <c r="AM19" i="2"/>
  <c r="AK19" i="2"/>
  <c r="AI19" i="2"/>
  <c r="AG19" i="2"/>
  <c r="AG28" i="2" s="1"/>
  <c r="AG28" i="1" s="1"/>
  <c r="AE19" i="2"/>
  <c r="AE28" i="2" s="1"/>
  <c r="AC19" i="2"/>
  <c r="AA19" i="2"/>
  <c r="Y19" i="2"/>
  <c r="W19" i="2"/>
  <c r="U19" i="2"/>
  <c r="S19" i="2"/>
  <c r="Q19" i="2"/>
  <c r="I19" i="2"/>
  <c r="G19" i="2"/>
  <c r="BI18" i="2"/>
  <c r="BI28" i="2" s="1"/>
  <c r="BG18" i="2"/>
  <c r="BG28" i="2" s="1"/>
  <c r="BE18" i="2"/>
  <c r="BC18" i="2"/>
  <c r="BA18" i="2"/>
  <c r="BA28" i="2" s="1"/>
  <c r="AY18" i="2"/>
  <c r="AW18" i="2"/>
  <c r="AU18" i="2"/>
  <c r="AU28" i="2" s="1"/>
  <c r="AQ18" i="2"/>
  <c r="AO18" i="2"/>
  <c r="AO28" i="2" s="1"/>
  <c r="AO28" i="1" s="1"/>
  <c r="AM18" i="2"/>
  <c r="AM28" i="2" s="1"/>
  <c r="AK18" i="2"/>
  <c r="AK28" i="2" s="1"/>
  <c r="AK28" i="1" s="1"/>
  <c r="AI18" i="2"/>
  <c r="AG18" i="2"/>
  <c r="AE18" i="2"/>
  <c r="AA18" i="2"/>
  <c r="Y18" i="2"/>
  <c r="W18" i="2"/>
  <c r="U18" i="2"/>
  <c r="U28" i="2" s="1"/>
  <c r="U28" i="1" s="1"/>
  <c r="V28" i="1" s="1"/>
  <c r="S18" i="2"/>
  <c r="Q18" i="2"/>
  <c r="O18" i="2"/>
  <c r="I18" i="2"/>
  <c r="AC16" i="2"/>
  <c r="Q16" i="2"/>
  <c r="AW14" i="2"/>
  <c r="AG14" i="2"/>
  <c r="AC14" i="2"/>
  <c r="Y14" i="2"/>
  <c r="U14" i="2"/>
  <c r="Q14" i="2"/>
  <c r="I14" i="2"/>
  <c r="BI13" i="2"/>
  <c r="BG13" i="2"/>
  <c r="BE13" i="2"/>
  <c r="BE14" i="2" s="1"/>
  <c r="BC13" i="2"/>
  <c r="BA13" i="2"/>
  <c r="AY13" i="2"/>
  <c r="AW13" i="2"/>
  <c r="AU13" i="2"/>
  <c r="AQ13" i="2"/>
  <c r="AO13" i="2"/>
  <c r="AO13" i="1" s="1"/>
  <c r="AM13" i="2"/>
  <c r="AM13" i="1" s="1"/>
  <c r="AK13" i="2"/>
  <c r="AG13" i="2"/>
  <c r="AE13" i="2"/>
  <c r="AC13" i="2"/>
  <c r="AA13" i="2"/>
  <c r="Y13" i="2"/>
  <c r="W13" i="2"/>
  <c r="U13" i="2"/>
  <c r="S13" i="2"/>
  <c r="Q13" i="2"/>
  <c r="Q13" i="1" s="1"/>
  <c r="O13" i="2"/>
  <c r="I13" i="2"/>
  <c r="G13" i="2"/>
  <c r="BI12" i="2"/>
  <c r="BI14" i="2" s="1"/>
  <c r="BG12" i="2"/>
  <c r="BG14" i="2" s="1"/>
  <c r="BE12" i="2"/>
  <c r="BA12" i="2"/>
  <c r="BA14" i="2" s="1"/>
  <c r="AW12" i="2"/>
  <c r="AO12" i="2"/>
  <c r="AO14" i="2" s="1"/>
  <c r="AK12" i="2"/>
  <c r="AK14" i="2" s="1"/>
  <c r="AK14" i="1" s="1"/>
  <c r="AI12" i="2"/>
  <c r="AG12" i="2"/>
  <c r="AC12" i="2"/>
  <c r="M12" i="2" s="1"/>
  <c r="E12" i="2" s="1"/>
  <c r="Y12" i="2"/>
  <c r="U12" i="2"/>
  <c r="Q12" i="2"/>
  <c r="I12" i="2"/>
  <c r="G12" i="2"/>
  <c r="AQ10" i="2"/>
  <c r="AK10" i="2"/>
  <c r="AC10" i="2"/>
  <c r="Y10" i="2"/>
  <c r="Y16" i="2" s="1"/>
  <c r="Q10" i="2"/>
  <c r="BI9" i="2"/>
  <c r="BI9" i="1" s="1"/>
  <c r="BG9" i="2"/>
  <c r="BG9" i="1" s="1"/>
  <c r="BE9" i="2"/>
  <c r="BC9" i="2"/>
  <c r="BA9" i="2"/>
  <c r="AY9" i="2"/>
  <c r="AW9" i="2"/>
  <c r="AU9" i="2"/>
  <c r="AS9" i="2"/>
  <c r="AQ9" i="2"/>
  <c r="AO9" i="2"/>
  <c r="AM9" i="2"/>
  <c r="AK9" i="2"/>
  <c r="AK9" i="1" s="1"/>
  <c r="AI9" i="2"/>
  <c r="AI9" i="1" s="1"/>
  <c r="AG9" i="2"/>
  <c r="AE9" i="2"/>
  <c r="AC9" i="2"/>
  <c r="AA9" i="2"/>
  <c r="Y9" i="2"/>
  <c r="W9" i="2"/>
  <c r="U9" i="2"/>
  <c r="S9" i="2"/>
  <c r="Q9" i="2"/>
  <c r="O9" i="2"/>
  <c r="M9" i="2"/>
  <c r="E9" i="2" s="1"/>
  <c r="K9" i="2"/>
  <c r="C9" i="2" s="1"/>
  <c r="BI8" i="2"/>
  <c r="BE8" i="2"/>
  <c r="BC8" i="2"/>
  <c r="BA8" i="2"/>
  <c r="AY8" i="2"/>
  <c r="AW8" i="2"/>
  <c r="AW8" i="1" s="1"/>
  <c r="AU8" i="2"/>
  <c r="AS8" i="2"/>
  <c r="AQ8" i="2"/>
  <c r="AO8" i="2"/>
  <c r="AM8" i="2"/>
  <c r="AK8" i="2"/>
  <c r="AI8" i="2"/>
  <c r="AG8" i="2"/>
  <c r="AE8" i="2"/>
  <c r="AC8" i="2"/>
  <c r="AA8" i="2"/>
  <c r="Y8" i="2"/>
  <c r="Y8" i="1" s="1"/>
  <c r="W8" i="2"/>
  <c r="W8" i="1" s="1"/>
  <c r="U8" i="2"/>
  <c r="S8" i="2"/>
  <c r="Q8" i="2"/>
  <c r="M8" i="2" s="1"/>
  <c r="O8" i="2"/>
  <c r="I8" i="2"/>
  <c r="E8" i="2" s="1"/>
  <c r="G8" i="2"/>
  <c r="BI7" i="2"/>
  <c r="BE7" i="2"/>
  <c r="BC7" i="2"/>
  <c r="BA7" i="2"/>
  <c r="AW7" i="2"/>
  <c r="AU7" i="2"/>
  <c r="AS7" i="2"/>
  <c r="AQ7" i="2"/>
  <c r="AO7" i="2"/>
  <c r="AO7" i="1" s="1"/>
  <c r="AK7" i="2"/>
  <c r="AI7" i="2"/>
  <c r="AG7" i="2"/>
  <c r="AC7" i="2"/>
  <c r="AA7" i="2"/>
  <c r="Y7" i="2"/>
  <c r="U7" i="2"/>
  <c r="S7" i="2"/>
  <c r="Q7" i="2"/>
  <c r="Q7" i="1" s="1"/>
  <c r="O7" i="2"/>
  <c r="I7" i="2"/>
  <c r="G7" i="2"/>
  <c r="BI6" i="2"/>
  <c r="BI10" i="2" s="1"/>
  <c r="BI16" i="2" s="1"/>
  <c r="BI30" i="2" s="1"/>
  <c r="BG6" i="2"/>
  <c r="BE6" i="2"/>
  <c r="BE6" i="1" s="1"/>
  <c r="BC6" i="2"/>
  <c r="BC6" i="1" s="1"/>
  <c r="BA6" i="2"/>
  <c r="AY6" i="2"/>
  <c r="AW6" i="2"/>
  <c r="AU6" i="2"/>
  <c r="AS6" i="2"/>
  <c r="AQ6" i="2"/>
  <c r="AO6" i="2"/>
  <c r="AM6" i="2"/>
  <c r="AK6" i="2"/>
  <c r="AI6" i="2"/>
  <c r="AG6" i="2"/>
  <c r="AG6" i="1" s="1"/>
  <c r="AE6" i="2"/>
  <c r="AE6" i="1" s="1"/>
  <c r="AC6" i="2"/>
  <c r="AA6" i="2"/>
  <c r="Y6" i="2"/>
  <c r="W6" i="2"/>
  <c r="U6" i="2"/>
  <c r="S6" i="2"/>
  <c r="Q6" i="2"/>
  <c r="O6" i="2"/>
  <c r="K6" i="2" s="1"/>
  <c r="I6" i="2"/>
  <c r="G6" i="2"/>
  <c r="C6" i="2" s="1"/>
  <c r="BI5" i="2"/>
  <c r="BG5" i="2"/>
  <c r="BE5" i="2"/>
  <c r="BE10" i="2" s="1"/>
  <c r="BC5" i="2"/>
  <c r="BC10" i="2" s="1"/>
  <c r="BA5" i="2"/>
  <c r="BA10" i="2" s="1"/>
  <c r="AY5" i="2"/>
  <c r="AW5" i="2"/>
  <c r="AW5" i="1" s="1"/>
  <c r="AU5" i="2"/>
  <c r="AS5" i="2"/>
  <c r="AQ5" i="2"/>
  <c r="AO5" i="2"/>
  <c r="AM5" i="2"/>
  <c r="AK5" i="2"/>
  <c r="AI5" i="2"/>
  <c r="AG5" i="2"/>
  <c r="AE5" i="2"/>
  <c r="AC5" i="2"/>
  <c r="AA5" i="2"/>
  <c r="Y5" i="2"/>
  <c r="W5" i="2"/>
  <c r="W5" i="1" s="1"/>
  <c r="U5" i="2"/>
  <c r="S5" i="2"/>
  <c r="K5" i="2" s="1"/>
  <c r="Q5" i="2"/>
  <c r="M5" i="2" s="1"/>
  <c r="O5" i="2"/>
  <c r="I5" i="2"/>
  <c r="I10" i="2" s="1"/>
  <c r="I16" i="2" s="1"/>
  <c r="G5" i="2"/>
  <c r="G10" i="2" s="1"/>
  <c r="BI27" i="1"/>
  <c r="BG27" i="1"/>
  <c r="BA27" i="1"/>
  <c r="AY27" i="1"/>
  <c r="AW27" i="1"/>
  <c r="AU27" i="1"/>
  <c r="AV27" i="1" s="1"/>
  <c r="AQ27" i="1"/>
  <c r="AR27" i="1" s="1"/>
  <c r="AK27" i="1"/>
  <c r="AI27" i="1"/>
  <c r="AE27" i="1"/>
  <c r="AC27" i="1"/>
  <c r="AD27" i="1" s="1"/>
  <c r="AA27" i="1"/>
  <c r="Y27" i="1"/>
  <c r="W27" i="1"/>
  <c r="U27" i="1"/>
  <c r="S27" i="1"/>
  <c r="I27" i="1"/>
  <c r="G27" i="1"/>
  <c r="BI26" i="1"/>
  <c r="BG26" i="1"/>
  <c r="BE26" i="1"/>
  <c r="BC26" i="1"/>
  <c r="BA26" i="1"/>
  <c r="AY26" i="1"/>
  <c r="AW26" i="1"/>
  <c r="AU26" i="1"/>
  <c r="AS26" i="1"/>
  <c r="AQ26" i="1"/>
  <c r="AO26" i="1"/>
  <c r="AM26" i="1"/>
  <c r="AK26" i="1"/>
  <c r="AI26" i="1"/>
  <c r="AG26" i="1"/>
  <c r="AA26" i="1"/>
  <c r="Y26" i="1"/>
  <c r="W26" i="1"/>
  <c r="U26" i="1"/>
  <c r="S26" i="1"/>
  <c r="O26" i="1"/>
  <c r="K26" i="1" s="1"/>
  <c r="I26" i="1"/>
  <c r="BI25" i="1"/>
  <c r="BG25" i="1"/>
  <c r="BE25" i="1"/>
  <c r="BC25" i="1"/>
  <c r="BA25" i="1"/>
  <c r="AY25" i="1"/>
  <c r="AW25" i="1"/>
  <c r="AU25" i="1"/>
  <c r="AV25" i="1" s="1"/>
  <c r="AO25" i="1"/>
  <c r="AM25" i="1"/>
  <c r="AK25" i="1"/>
  <c r="AI25" i="1"/>
  <c r="AG25" i="1"/>
  <c r="AE25" i="1"/>
  <c r="AD25" i="1"/>
  <c r="AC25" i="1"/>
  <c r="AA25" i="1"/>
  <c r="Y25" i="1"/>
  <c r="W25" i="1"/>
  <c r="G25" i="1"/>
  <c r="BI24" i="1"/>
  <c r="BC24" i="1"/>
  <c r="BA24" i="1"/>
  <c r="AY24" i="1"/>
  <c r="AW24" i="1"/>
  <c r="AU24" i="1"/>
  <c r="AV24" i="1" s="1"/>
  <c r="AS24" i="1"/>
  <c r="AQ24" i="1"/>
  <c r="AO24" i="1"/>
  <c r="AM24" i="1"/>
  <c r="AK24" i="1"/>
  <c r="AI24" i="1"/>
  <c r="AE24" i="1"/>
  <c r="AC24" i="1"/>
  <c r="AD24" i="1" s="1"/>
  <c r="AA24" i="1"/>
  <c r="Y24" i="1"/>
  <c r="U24" i="1"/>
  <c r="O24" i="1"/>
  <c r="BI23" i="1"/>
  <c r="BG23" i="1"/>
  <c r="BE23" i="1"/>
  <c r="BC23" i="1"/>
  <c r="BA23" i="1"/>
  <c r="AY23" i="1"/>
  <c r="AS23" i="1"/>
  <c r="AQ23" i="1"/>
  <c r="AO23" i="1"/>
  <c r="AM23" i="1"/>
  <c r="AK23" i="1"/>
  <c r="AG23" i="1"/>
  <c r="AE23" i="1"/>
  <c r="AC23" i="1"/>
  <c r="AD23" i="1" s="1"/>
  <c r="AA23" i="1"/>
  <c r="U23" i="1"/>
  <c r="V23" i="1" s="1"/>
  <c r="S23" i="1"/>
  <c r="T23" i="1" s="1"/>
  <c r="O23" i="1"/>
  <c r="I23" i="1"/>
  <c r="G23" i="1"/>
  <c r="BI22" i="1"/>
  <c r="BG22" i="1"/>
  <c r="BE22" i="1"/>
  <c r="BC22" i="1"/>
  <c r="BA22" i="1"/>
  <c r="AY22" i="1"/>
  <c r="AW22" i="1"/>
  <c r="AU22" i="1"/>
  <c r="AV22" i="1" s="1"/>
  <c r="AS22" i="1"/>
  <c r="AQ22" i="1"/>
  <c r="AO22" i="1"/>
  <c r="AI22" i="1"/>
  <c r="AG22" i="1"/>
  <c r="AE22" i="1"/>
  <c r="AD22" i="1"/>
  <c r="AC22" i="1"/>
  <c r="AA22" i="1"/>
  <c r="Y22" i="1"/>
  <c r="W22" i="1"/>
  <c r="U22" i="1"/>
  <c r="M22" i="1" s="1"/>
  <c r="S22" i="1"/>
  <c r="T22" i="1" s="1"/>
  <c r="Q22" i="1"/>
  <c r="I22" i="1"/>
  <c r="G22" i="1"/>
  <c r="BI21" i="1"/>
  <c r="BG21" i="1"/>
  <c r="BE21" i="1"/>
  <c r="BC21" i="1"/>
  <c r="AW21" i="1"/>
  <c r="AU21" i="1"/>
  <c r="AV21" i="1" s="1"/>
  <c r="AS21" i="1"/>
  <c r="AQ21" i="1"/>
  <c r="AO21" i="1"/>
  <c r="AM21" i="1"/>
  <c r="AK21" i="1"/>
  <c r="AI21" i="1"/>
  <c r="AG21" i="1"/>
  <c r="AE21" i="1"/>
  <c r="Y21" i="1"/>
  <c r="W21" i="1"/>
  <c r="U21" i="1"/>
  <c r="S21" i="1"/>
  <c r="Q21" i="1"/>
  <c r="O21" i="1"/>
  <c r="I21" i="1"/>
  <c r="G21" i="1"/>
  <c r="BI20" i="1"/>
  <c r="BG20" i="1"/>
  <c r="BE20" i="1"/>
  <c r="BC20" i="1"/>
  <c r="BA20" i="1"/>
  <c r="AW20" i="1"/>
  <c r="AU20" i="1"/>
  <c r="AS20" i="1"/>
  <c r="AM20" i="1"/>
  <c r="AK20" i="1"/>
  <c r="AI20" i="1"/>
  <c r="AG20" i="1"/>
  <c r="AE20" i="1"/>
  <c r="AC20" i="1"/>
  <c r="AD20" i="1" s="1"/>
  <c r="AA20" i="1"/>
  <c r="Y20" i="1"/>
  <c r="U20" i="1"/>
  <c r="G20" i="1"/>
  <c r="BI19" i="1"/>
  <c r="BI28" i="1" s="1"/>
  <c r="BG19" i="1"/>
  <c r="BA19" i="1"/>
  <c r="AW19" i="1"/>
  <c r="AU19" i="1"/>
  <c r="AV19" i="1" s="1"/>
  <c r="AS19" i="1"/>
  <c r="AQ19" i="1"/>
  <c r="AO19" i="1"/>
  <c r="AM19" i="1"/>
  <c r="AK19" i="1"/>
  <c r="AI19" i="1"/>
  <c r="AD19" i="1"/>
  <c r="AC19" i="1"/>
  <c r="AA19" i="1"/>
  <c r="Y19" i="1"/>
  <c r="W19" i="1"/>
  <c r="U19" i="1"/>
  <c r="S19" i="1"/>
  <c r="Q19" i="1"/>
  <c r="BI18" i="1"/>
  <c r="BG18" i="1"/>
  <c r="BE18" i="1"/>
  <c r="BC18" i="1"/>
  <c r="BA18" i="1"/>
  <c r="AY18" i="1"/>
  <c r="AW18" i="1"/>
  <c r="AU18" i="1"/>
  <c r="AQ18" i="1"/>
  <c r="AO18" i="1"/>
  <c r="AM18" i="1"/>
  <c r="AK18" i="1"/>
  <c r="AI18" i="1"/>
  <c r="AI28" i="1" s="1"/>
  <c r="AG18" i="1"/>
  <c r="AE18" i="1"/>
  <c r="AA18" i="1"/>
  <c r="Y18" i="1"/>
  <c r="W18" i="1"/>
  <c r="S18" i="1"/>
  <c r="Q18" i="1"/>
  <c r="O18" i="1"/>
  <c r="I18" i="1"/>
  <c r="AS17" i="1"/>
  <c r="AQ17" i="1"/>
  <c r="AO17" i="1"/>
  <c r="AM17" i="1"/>
  <c r="AK17" i="1"/>
  <c r="AI17" i="1"/>
  <c r="AG17" i="1"/>
  <c r="AE17" i="1"/>
  <c r="AA17" i="1"/>
  <c r="Y17" i="1"/>
  <c r="W17" i="1"/>
  <c r="U17" i="1"/>
  <c r="S17" i="1"/>
  <c r="O17" i="1"/>
  <c r="I17" i="1"/>
  <c r="G17" i="1"/>
  <c r="AC16" i="1"/>
  <c r="AD16" i="1" s="1"/>
  <c r="Q16" i="1"/>
  <c r="AS15" i="1"/>
  <c r="AQ15" i="1"/>
  <c r="AO15" i="1"/>
  <c r="AM15" i="1"/>
  <c r="AK15" i="1"/>
  <c r="AI15" i="1"/>
  <c r="AG15" i="1"/>
  <c r="AE15" i="1"/>
  <c r="AA15" i="1"/>
  <c r="Y15" i="1"/>
  <c r="W15" i="1"/>
  <c r="U15" i="1"/>
  <c r="S15" i="1"/>
  <c r="O15" i="1"/>
  <c r="I15" i="1"/>
  <c r="G15" i="1"/>
  <c r="BI14" i="1"/>
  <c r="BE14" i="1"/>
  <c r="U14" i="1"/>
  <c r="I14" i="1"/>
  <c r="BI13" i="1"/>
  <c r="BG13" i="1"/>
  <c r="BE13" i="1"/>
  <c r="BC13" i="1"/>
  <c r="BA13" i="1"/>
  <c r="AY13" i="1"/>
  <c r="AW13" i="1"/>
  <c r="AW14" i="1" s="1"/>
  <c r="AU13" i="1"/>
  <c r="AQ13" i="1"/>
  <c r="AK13" i="1"/>
  <c r="AG13" i="1"/>
  <c r="AE13" i="1"/>
  <c r="AC13" i="1"/>
  <c r="AD13" i="1" s="1"/>
  <c r="AA13" i="1"/>
  <c r="Y13" i="1"/>
  <c r="W13" i="1"/>
  <c r="U13" i="1"/>
  <c r="S13" i="1"/>
  <c r="I13" i="1"/>
  <c r="G13" i="1"/>
  <c r="BI12" i="1"/>
  <c r="BG12" i="1"/>
  <c r="BG14" i="1" s="1"/>
  <c r="BE12" i="1"/>
  <c r="AW12" i="1"/>
  <c r="AO12" i="1"/>
  <c r="AO14" i="1" s="1"/>
  <c r="AK12" i="1"/>
  <c r="AI12" i="1"/>
  <c r="AG12" i="1"/>
  <c r="AG14" i="1" s="1"/>
  <c r="Y12" i="1"/>
  <c r="U12" i="1"/>
  <c r="Q12" i="1"/>
  <c r="I12" i="1"/>
  <c r="AS11" i="1"/>
  <c r="AO11" i="1"/>
  <c r="AK11" i="1"/>
  <c r="AI11" i="1"/>
  <c r="AG11" i="1"/>
  <c r="O11" i="1"/>
  <c r="I11" i="1"/>
  <c r="G11" i="1"/>
  <c r="AU10" i="1"/>
  <c r="AV6" i="1" s="1"/>
  <c r="AC10" i="1"/>
  <c r="AD8" i="1" s="1"/>
  <c r="BE9" i="1"/>
  <c r="BC9" i="1"/>
  <c r="BA9" i="1"/>
  <c r="AY9" i="1"/>
  <c r="AW9" i="1"/>
  <c r="AS9" i="1"/>
  <c r="AQ9" i="1"/>
  <c r="AO9" i="1"/>
  <c r="AM9" i="1"/>
  <c r="AG9" i="1"/>
  <c r="AE9" i="1"/>
  <c r="AC9" i="1"/>
  <c r="AD9" i="1" s="1"/>
  <c r="AA9" i="1"/>
  <c r="Y9" i="1"/>
  <c r="W9" i="1"/>
  <c r="U9" i="1"/>
  <c r="V9" i="1" s="1"/>
  <c r="S9" i="1"/>
  <c r="Q9" i="1"/>
  <c r="O9" i="1"/>
  <c r="I9" i="1"/>
  <c r="G9" i="1"/>
  <c r="BI8" i="1"/>
  <c r="BE8" i="1"/>
  <c r="BC8" i="1"/>
  <c r="BA8" i="1"/>
  <c r="AY8" i="1"/>
  <c r="AS8" i="1"/>
  <c r="AQ8" i="1"/>
  <c r="AO8" i="1"/>
  <c r="AM8" i="1"/>
  <c r="AK8" i="1"/>
  <c r="AI8" i="1"/>
  <c r="AG8" i="1"/>
  <c r="AE8" i="1"/>
  <c r="AC8" i="1"/>
  <c r="AA8" i="1"/>
  <c r="U8" i="1"/>
  <c r="S8" i="1"/>
  <c r="Q8" i="1"/>
  <c r="O8" i="1"/>
  <c r="I8" i="1"/>
  <c r="G8" i="1"/>
  <c r="BI7" i="1"/>
  <c r="BE7" i="1"/>
  <c r="BC7" i="1"/>
  <c r="BA7" i="1"/>
  <c r="AW7" i="1"/>
  <c r="AV7" i="1"/>
  <c r="AU7" i="1"/>
  <c r="AS7" i="1"/>
  <c r="AQ7" i="1"/>
  <c r="AK7" i="1"/>
  <c r="AI7" i="1"/>
  <c r="AG7" i="1"/>
  <c r="AC7" i="1"/>
  <c r="AD7" i="1" s="1"/>
  <c r="AA7" i="1"/>
  <c r="Y7" i="1"/>
  <c r="U7" i="1"/>
  <c r="S7" i="1"/>
  <c r="I7" i="1"/>
  <c r="G7" i="1"/>
  <c r="BI6" i="1"/>
  <c r="BG6" i="1"/>
  <c r="BA6" i="1"/>
  <c r="AY6" i="1"/>
  <c r="AW6" i="1"/>
  <c r="AS6" i="1"/>
  <c r="AQ6" i="1"/>
  <c r="AO6" i="1"/>
  <c r="AM6" i="1"/>
  <c r="AK6" i="1"/>
  <c r="AI6" i="1"/>
  <c r="AC6" i="1"/>
  <c r="AA6" i="1"/>
  <c r="Y6" i="1"/>
  <c r="W6" i="1"/>
  <c r="U6" i="1"/>
  <c r="S6" i="1"/>
  <c r="Q6" i="1"/>
  <c r="O6" i="1"/>
  <c r="BI5" i="1"/>
  <c r="BI10" i="1" s="1"/>
  <c r="BI16" i="1" s="1"/>
  <c r="BG5" i="1"/>
  <c r="BE5" i="1"/>
  <c r="BC5" i="1"/>
  <c r="BC10" i="1" s="1"/>
  <c r="BA5" i="1"/>
  <c r="BA10" i="1" s="1"/>
  <c r="AY5" i="1"/>
  <c r="AS5" i="1"/>
  <c r="AQ5" i="1"/>
  <c r="AQ10" i="1" s="1"/>
  <c r="AO5" i="1"/>
  <c r="AM5" i="1"/>
  <c r="AK5" i="1"/>
  <c r="AI5" i="1"/>
  <c r="AG5" i="1"/>
  <c r="AE5" i="1"/>
  <c r="AC5" i="1"/>
  <c r="AA5" i="1"/>
  <c r="AA10" i="1" s="1"/>
  <c r="Y5" i="1"/>
  <c r="U5" i="1"/>
  <c r="U10" i="1" s="1"/>
  <c r="S5" i="1"/>
  <c r="S10" i="1" s="1"/>
  <c r="Q5" i="1"/>
  <c r="O5" i="1"/>
  <c r="I5" i="1"/>
  <c r="G5" i="1"/>
  <c r="I16" i="1" l="1"/>
  <c r="AR18" i="1"/>
  <c r="AJ9" i="1"/>
  <c r="AP13" i="1"/>
  <c r="V12" i="1"/>
  <c r="V5" i="1"/>
  <c r="V27" i="1"/>
  <c r="V21" i="1"/>
  <c r="V24" i="1"/>
  <c r="U11" i="1"/>
  <c r="AB6" i="1"/>
  <c r="R21" i="1"/>
  <c r="AB23" i="1"/>
  <c r="AB25" i="1"/>
  <c r="K8" i="2"/>
  <c r="C8" i="2" s="1"/>
  <c r="V8" i="1"/>
  <c r="AB9" i="1"/>
  <c r="Q14" i="1"/>
  <c r="R14" i="1" s="1"/>
  <c r="T18" i="1"/>
  <c r="AW28" i="1"/>
  <c r="AB19" i="1"/>
  <c r="T21" i="1"/>
  <c r="AR24" i="1"/>
  <c r="C5" i="2"/>
  <c r="AO10" i="1"/>
  <c r="AP7" i="1" s="1"/>
  <c r="AI14" i="2"/>
  <c r="AI14" i="1" s="1"/>
  <c r="AJ14" i="1" s="1"/>
  <c r="BC28" i="1"/>
  <c r="I17" i="5"/>
  <c r="BE10" i="1"/>
  <c r="BE16" i="1" s="1"/>
  <c r="V13" i="1"/>
  <c r="BA28" i="1"/>
  <c r="AH27" i="1"/>
  <c r="E24" i="5"/>
  <c r="AB22" i="1"/>
  <c r="Y16" i="1"/>
  <c r="Y30" i="2"/>
  <c r="Y31" i="2" s="1"/>
  <c r="V7" i="1"/>
  <c r="V20" i="1"/>
  <c r="AP26" i="1"/>
  <c r="AW10" i="1"/>
  <c r="M7" i="1"/>
  <c r="Q10" i="1"/>
  <c r="AI28" i="2"/>
  <c r="C27" i="2"/>
  <c r="I25" i="1"/>
  <c r="C9" i="1"/>
  <c r="AR26" i="1"/>
  <c r="T27" i="1"/>
  <c r="T25" i="1"/>
  <c r="AR25" i="1"/>
  <c r="E9" i="5"/>
  <c r="AG10" i="1"/>
  <c r="AH25" i="1" s="1"/>
  <c r="AH8" i="1"/>
  <c r="AJ25" i="1"/>
  <c r="AR6" i="1"/>
  <c r="AB13" i="1"/>
  <c r="BG28" i="1"/>
  <c r="AB20" i="1"/>
  <c r="AP23" i="1"/>
  <c r="AB24" i="1"/>
  <c r="BA16" i="2"/>
  <c r="BA30" i="2" s="1"/>
  <c r="V25" i="1"/>
  <c r="C13" i="5"/>
  <c r="BI30" i="1"/>
  <c r="BE28" i="1"/>
  <c r="AJ28" i="1"/>
  <c r="AJ21" i="1"/>
  <c r="AP28" i="1"/>
  <c r="D16" i="3"/>
  <c r="D30" i="3"/>
  <c r="D31" i="3" s="1"/>
  <c r="T26" i="1"/>
  <c r="T6" i="1"/>
  <c r="R9" i="1"/>
  <c r="AQ28" i="1"/>
  <c r="AR28" i="1" s="1"/>
  <c r="V26" i="1"/>
  <c r="BE16" i="2"/>
  <c r="BE30" i="2" s="1"/>
  <c r="K23" i="2"/>
  <c r="C23" i="2" s="1"/>
  <c r="E30" i="3"/>
  <c r="E31" i="3" s="1"/>
  <c r="E16" i="3"/>
  <c r="AR23" i="1"/>
  <c r="BC33" i="1"/>
  <c r="BC35" i="1" s="1"/>
  <c r="R27" i="1"/>
  <c r="M27" i="1"/>
  <c r="V6" i="1"/>
  <c r="AI10" i="1"/>
  <c r="AH13" i="1"/>
  <c r="V14" i="1"/>
  <c r="AH20" i="1"/>
  <c r="AR22" i="1"/>
  <c r="K23" i="1"/>
  <c r="AJ24" i="1"/>
  <c r="AB27" i="1"/>
  <c r="G33" i="1"/>
  <c r="F16" i="3"/>
  <c r="F30" i="3"/>
  <c r="F31" i="3" s="1"/>
  <c r="AY19" i="1"/>
  <c r="AR8" i="1"/>
  <c r="AJ20" i="1"/>
  <c r="AL24" i="1"/>
  <c r="AH6" i="1"/>
  <c r="M14" i="2"/>
  <c r="O20" i="1"/>
  <c r="AJ23" i="1"/>
  <c r="AB8" i="1"/>
  <c r="AP21" i="1"/>
  <c r="T13" i="1"/>
  <c r="T9" i="1"/>
  <c r="S11" i="1"/>
  <c r="T7" i="1"/>
  <c r="M6" i="1"/>
  <c r="AR21" i="1"/>
  <c r="AB26" i="1"/>
  <c r="W28" i="2"/>
  <c r="AB21" i="1"/>
  <c r="K21" i="1"/>
  <c r="AB18" i="1"/>
  <c r="AA11" i="1"/>
  <c r="AB7" i="1"/>
  <c r="AB5" i="1"/>
  <c r="AR7" i="1"/>
  <c r="AQ11" i="1"/>
  <c r="AR9" i="1"/>
  <c r="AR13" i="1"/>
  <c r="T8" i="1"/>
  <c r="AU28" i="1"/>
  <c r="AV28" i="1" s="1"/>
  <c r="AP24" i="1"/>
  <c r="AJ27" i="1"/>
  <c r="M13" i="1"/>
  <c r="E13" i="1" s="1"/>
  <c r="AD21" i="1"/>
  <c r="M21" i="1"/>
  <c r="G24" i="1"/>
  <c r="M22" i="2"/>
  <c r="E22" i="2" s="1"/>
  <c r="AA28" i="2"/>
  <c r="C13" i="6"/>
  <c r="AV5" i="1"/>
  <c r="G6" i="1"/>
  <c r="K6" i="1"/>
  <c r="U18" i="1"/>
  <c r="E22" i="1"/>
  <c r="I24" i="1"/>
  <c r="M7" i="2"/>
  <c r="E7" i="2" s="1"/>
  <c r="M13" i="2"/>
  <c r="E13" i="2" s="1"/>
  <c r="E14" i="2" s="1"/>
  <c r="M27" i="2"/>
  <c r="E27" i="2" s="1"/>
  <c r="G15" i="3"/>
  <c r="V22" i="5"/>
  <c r="V8" i="5"/>
  <c r="AN5" i="5"/>
  <c r="G10" i="5"/>
  <c r="AP25" i="5"/>
  <c r="AP5" i="5"/>
  <c r="AP28" i="5"/>
  <c r="AP7" i="5"/>
  <c r="U15" i="5"/>
  <c r="AL19" i="5"/>
  <c r="C20" i="5"/>
  <c r="AU29" i="5"/>
  <c r="AU31" i="5" s="1"/>
  <c r="AF21" i="5"/>
  <c r="T22" i="5"/>
  <c r="AN22" i="5"/>
  <c r="AL24" i="5"/>
  <c r="AP26" i="5"/>
  <c r="C28" i="5"/>
  <c r="Y31" i="5"/>
  <c r="Z31" i="5" s="1"/>
  <c r="Z28" i="6"/>
  <c r="Z27" i="6"/>
  <c r="Z26" i="6"/>
  <c r="Z25" i="6"/>
  <c r="Z24" i="6"/>
  <c r="Z5" i="6"/>
  <c r="Y17" i="6"/>
  <c r="Z20" i="6"/>
  <c r="Z19" i="6"/>
  <c r="Z12" i="6"/>
  <c r="Z15" i="6" s="1"/>
  <c r="Z22" i="6"/>
  <c r="Z21" i="6"/>
  <c r="AW31" i="6"/>
  <c r="BA29" i="6"/>
  <c r="BA30" i="6" s="1"/>
  <c r="M21" i="6"/>
  <c r="P22" i="6"/>
  <c r="C27" i="6"/>
  <c r="N55" i="11"/>
  <c r="H15" i="3"/>
  <c r="M49" i="10"/>
  <c r="L51" i="10"/>
  <c r="AV8" i="1"/>
  <c r="BA12" i="1"/>
  <c r="BA14" i="1" s="1"/>
  <c r="BA16" i="1" s="1"/>
  <c r="BA30" i="1" s="1"/>
  <c r="H26" i="10"/>
  <c r="E26" i="10"/>
  <c r="W7" i="6"/>
  <c r="K8" i="1"/>
  <c r="C8" i="1" s="1"/>
  <c r="AV9" i="1"/>
  <c r="G10" i="1"/>
  <c r="G35" i="1" s="1"/>
  <c r="AJ18" i="1"/>
  <c r="T19" i="1"/>
  <c r="AR19" i="1"/>
  <c r="E5" i="2"/>
  <c r="AU10" i="2"/>
  <c r="AS10" i="5"/>
  <c r="AF6" i="5"/>
  <c r="AF7" i="5"/>
  <c r="U17" i="5"/>
  <c r="W29" i="5"/>
  <c r="X29" i="5" s="1"/>
  <c r="X19" i="5"/>
  <c r="AH28" i="5"/>
  <c r="AD6" i="6"/>
  <c r="AD22" i="6"/>
  <c r="AD21" i="6"/>
  <c r="AD28" i="6"/>
  <c r="AD27" i="6"/>
  <c r="AD26" i="6"/>
  <c r="AD25" i="6"/>
  <c r="AD24" i="6"/>
  <c r="AD5" i="6"/>
  <c r="AC17" i="6"/>
  <c r="AG10" i="6"/>
  <c r="AH23" i="6" s="1"/>
  <c r="AH6" i="6"/>
  <c r="K8" i="6"/>
  <c r="T8" i="6"/>
  <c r="AH29" i="6"/>
  <c r="R23" i="6"/>
  <c r="AJ24" i="6"/>
  <c r="F121" i="7"/>
  <c r="F123" i="7" s="1"/>
  <c r="I21" i="6"/>
  <c r="I29" i="6" s="1"/>
  <c r="K18" i="1"/>
  <c r="AV18" i="1"/>
  <c r="AE19" i="1"/>
  <c r="M6" i="2"/>
  <c r="M10" i="2" s="1"/>
  <c r="M16" i="2" s="1"/>
  <c r="AW10" i="2"/>
  <c r="AW16" i="2" s="1"/>
  <c r="G14" i="2"/>
  <c r="G14" i="1" s="1"/>
  <c r="M19" i="2"/>
  <c r="E19" i="2" s="1"/>
  <c r="K26" i="2"/>
  <c r="C26" i="2" s="1"/>
  <c r="BC28" i="2"/>
  <c r="AA10" i="5"/>
  <c r="AH7" i="5"/>
  <c r="C9" i="5"/>
  <c r="M23" i="5"/>
  <c r="G10" i="6"/>
  <c r="G17" i="6" s="1"/>
  <c r="K13" i="6"/>
  <c r="BI31" i="6"/>
  <c r="AI29" i="6"/>
  <c r="AJ19" i="6"/>
  <c r="AH20" i="6"/>
  <c r="G92" i="8"/>
  <c r="Q24" i="6"/>
  <c r="P21" i="5"/>
  <c r="AJ7" i="1"/>
  <c r="Y10" i="1"/>
  <c r="Z18" i="1" s="1"/>
  <c r="AJ23" i="6"/>
  <c r="AJ7" i="6"/>
  <c r="AI17" i="6"/>
  <c r="AJ6" i="6"/>
  <c r="K9" i="1"/>
  <c r="I19" i="1"/>
  <c r="AG19" i="1"/>
  <c r="AH19" i="1" s="1"/>
  <c r="Q20" i="1"/>
  <c r="O7" i="1"/>
  <c r="M8" i="1"/>
  <c r="AC12" i="1"/>
  <c r="O13" i="1"/>
  <c r="Y14" i="1"/>
  <c r="V19" i="1"/>
  <c r="V22" i="1"/>
  <c r="AQ33" i="1"/>
  <c r="AQ35" i="1" s="1"/>
  <c r="BE28" i="2"/>
  <c r="AW17" i="5"/>
  <c r="M6" i="5"/>
  <c r="C22" i="5"/>
  <c r="AN23" i="5"/>
  <c r="AL28" i="5"/>
  <c r="AB13" i="6"/>
  <c r="AB8" i="6"/>
  <c r="AB23" i="6"/>
  <c r="AB7" i="6"/>
  <c r="C19" i="6"/>
  <c r="AJ20" i="6"/>
  <c r="AB26" i="6"/>
  <c r="AJ28" i="6"/>
  <c r="C26" i="27"/>
  <c r="E81" i="8"/>
  <c r="O23" i="6"/>
  <c r="C29" i="27"/>
  <c r="I123" i="10"/>
  <c r="H114" i="10"/>
  <c r="N112" i="11"/>
  <c r="O114" i="11"/>
  <c r="G19" i="5"/>
  <c r="J121" i="7"/>
  <c r="AD5" i="1"/>
  <c r="M9" i="1"/>
  <c r="R12" i="1"/>
  <c r="AP12" i="1"/>
  <c r="S20" i="1"/>
  <c r="T20" i="1" s="1"/>
  <c r="AQ20" i="1"/>
  <c r="AR20" i="1" s="1"/>
  <c r="C21" i="1"/>
  <c r="G26" i="1"/>
  <c r="O27" i="1"/>
  <c r="M5" i="5"/>
  <c r="AJ6" i="5"/>
  <c r="R7" i="5"/>
  <c r="Q10" i="5"/>
  <c r="R19" i="5" s="1"/>
  <c r="V13" i="5"/>
  <c r="M20" i="5"/>
  <c r="AK29" i="5"/>
  <c r="AL20" i="5"/>
  <c r="BG29" i="5"/>
  <c r="AN21" i="5"/>
  <c r="P25" i="5"/>
  <c r="AN28" i="5"/>
  <c r="O29" i="5"/>
  <c r="P29" i="5" s="1"/>
  <c r="AJ5" i="6"/>
  <c r="R7" i="6"/>
  <c r="Z8" i="6"/>
  <c r="K9" i="6"/>
  <c r="E20" i="6"/>
  <c r="R19" i="6"/>
  <c r="O65" i="8"/>
  <c r="N60" i="8"/>
  <c r="M116" i="9"/>
  <c r="L125" i="9"/>
  <c r="M125" i="9" s="1"/>
  <c r="U27" i="5"/>
  <c r="J138" i="10"/>
  <c r="K138" i="10" s="1"/>
  <c r="K60" i="10"/>
  <c r="M5" i="1"/>
  <c r="AV13" i="1"/>
  <c r="AH7" i="6"/>
  <c r="C20" i="3"/>
  <c r="AD6" i="1"/>
  <c r="G12" i="1"/>
  <c r="AF5" i="5"/>
  <c r="T8" i="5"/>
  <c r="S10" i="5"/>
  <c r="T27" i="5" s="1"/>
  <c r="G15" i="5"/>
  <c r="BG15" i="5"/>
  <c r="X13" i="5"/>
  <c r="BA29" i="5"/>
  <c r="BA30" i="5" s="1"/>
  <c r="AM29" i="5"/>
  <c r="AN29" i="5" s="1"/>
  <c r="AN20" i="5"/>
  <c r="M22" i="5"/>
  <c r="AF22" i="5"/>
  <c r="V23" i="5"/>
  <c r="R25" i="5"/>
  <c r="AN25" i="5"/>
  <c r="AF26" i="5"/>
  <c r="R28" i="5"/>
  <c r="AL28" i="6"/>
  <c r="AL27" i="6"/>
  <c r="AL26" i="6"/>
  <c r="AL25" i="6"/>
  <c r="AL24" i="6"/>
  <c r="AK17" i="6"/>
  <c r="AL20" i="6"/>
  <c r="AL19" i="6"/>
  <c r="AL22" i="6"/>
  <c r="AL21" i="6"/>
  <c r="AP6" i="6"/>
  <c r="E9" i="6"/>
  <c r="C21" i="6"/>
  <c r="AJ21" i="6"/>
  <c r="AJ25" i="6"/>
  <c r="J35" i="7"/>
  <c r="J123" i="7" s="1"/>
  <c r="J38" i="11"/>
  <c r="K38" i="11" s="1"/>
  <c r="T5" i="1"/>
  <c r="AR5" i="1"/>
  <c r="AK10" i="1"/>
  <c r="AL28" i="1" s="1"/>
  <c r="K18" i="2"/>
  <c r="W24" i="2"/>
  <c r="W24" i="1" s="1"/>
  <c r="P24" i="5"/>
  <c r="P5" i="5"/>
  <c r="P27" i="5"/>
  <c r="P28" i="5"/>
  <c r="P20" i="5"/>
  <c r="P7" i="5"/>
  <c r="AG10" i="5"/>
  <c r="AH25" i="5" s="1"/>
  <c r="AH5" i="5"/>
  <c r="V6" i="5"/>
  <c r="V7" i="5"/>
  <c r="X24" i="5"/>
  <c r="X5" i="5"/>
  <c r="AO17" i="5"/>
  <c r="AH19" i="5"/>
  <c r="BC29" i="5"/>
  <c r="V20" i="5"/>
  <c r="AH22" i="5"/>
  <c r="X23" i="5"/>
  <c r="R6" i="6"/>
  <c r="R22" i="6"/>
  <c r="R28" i="6"/>
  <c r="R5" i="6"/>
  <c r="Q17" i="6"/>
  <c r="K6" i="6"/>
  <c r="V7" i="6"/>
  <c r="AD8" i="6"/>
  <c r="R20" i="6"/>
  <c r="K21" i="6"/>
  <c r="Z23" i="6"/>
  <c r="N15" i="8"/>
  <c r="O15" i="8" s="1"/>
  <c r="O16" i="8"/>
  <c r="N26" i="8"/>
  <c r="S25" i="5"/>
  <c r="K99" i="9"/>
  <c r="G19" i="1"/>
  <c r="BE31" i="6"/>
  <c r="BE30" i="6"/>
  <c r="R5" i="5"/>
  <c r="AI10" i="5"/>
  <c r="BE10" i="5"/>
  <c r="BE17" i="5" s="1"/>
  <c r="X8" i="5"/>
  <c r="AP8" i="5"/>
  <c r="AI29" i="5"/>
  <c r="BE29" i="5"/>
  <c r="AP20" i="5"/>
  <c r="AH24" i="5"/>
  <c r="M25" i="5"/>
  <c r="E25" i="5" s="1"/>
  <c r="V25" i="5"/>
  <c r="V28" i="5"/>
  <c r="S10" i="6"/>
  <c r="M5" i="6"/>
  <c r="AO10" i="6"/>
  <c r="AP5" i="6" s="1"/>
  <c r="U10" i="6"/>
  <c r="M6" i="6"/>
  <c r="V6" i="6"/>
  <c r="C7" i="25"/>
  <c r="BA31" i="6"/>
  <c r="AI15" i="6"/>
  <c r="AJ12" i="6"/>
  <c r="AJ15" i="6" s="1"/>
  <c r="Z29" i="6"/>
  <c r="AJ26" i="6"/>
  <c r="AB27" i="6"/>
  <c r="M43" i="9"/>
  <c r="L127" i="9"/>
  <c r="M127" i="9" s="1"/>
  <c r="AV20" i="1"/>
  <c r="AV26" i="1"/>
  <c r="AA28" i="1"/>
  <c r="AB28" i="1" s="1"/>
  <c r="AM28" i="1"/>
  <c r="AK17" i="5"/>
  <c r="AK31" i="5" s="1"/>
  <c r="AL23" i="5"/>
  <c r="AL25" i="5"/>
  <c r="BG10" i="5"/>
  <c r="BG17" i="5" s="1"/>
  <c r="BG31" i="5" s="1"/>
  <c r="AC10" i="5"/>
  <c r="AI15" i="5"/>
  <c r="AC15" i="5"/>
  <c r="R24" i="5"/>
  <c r="P26" i="5"/>
  <c r="C26" i="5"/>
  <c r="AL26" i="5"/>
  <c r="AH27" i="5"/>
  <c r="E8" i="6"/>
  <c r="V29" i="6"/>
  <c r="E22" i="6"/>
  <c r="C27" i="5"/>
  <c r="T22" i="6"/>
  <c r="K5" i="1"/>
  <c r="C5" i="1" s="1"/>
  <c r="I6" i="1"/>
  <c r="AI13" i="2"/>
  <c r="AI13" i="1" s="1"/>
  <c r="AJ13" i="1" s="1"/>
  <c r="AN26" i="5"/>
  <c r="AN27" i="5"/>
  <c r="AN19" i="5"/>
  <c r="AN6" i="5"/>
  <c r="BI17" i="5"/>
  <c r="C8" i="5"/>
  <c r="AB8" i="5"/>
  <c r="AF27" i="5"/>
  <c r="AF19" i="5"/>
  <c r="AF13" i="5"/>
  <c r="AK15" i="5"/>
  <c r="AL22" i="5"/>
  <c r="M26" i="5"/>
  <c r="AS10" i="6"/>
  <c r="AJ8" i="6"/>
  <c r="W29" i="6"/>
  <c r="C18" i="3"/>
  <c r="C28" i="3" s="1"/>
  <c r="AY29" i="6"/>
  <c r="C19" i="3"/>
  <c r="AB24" i="6"/>
  <c r="D123" i="7"/>
  <c r="C23" i="27"/>
  <c r="O20" i="6"/>
  <c r="D130" i="8"/>
  <c r="G95" i="8"/>
  <c r="Q25" i="6"/>
  <c r="Z20" i="5"/>
  <c r="Z28" i="5"/>
  <c r="C8" i="26"/>
  <c r="T6" i="6"/>
  <c r="M7" i="6"/>
  <c r="R8" i="6"/>
  <c r="V12" i="6"/>
  <c r="V15" i="6" s="1"/>
  <c r="AH12" i="6"/>
  <c r="AH15" i="6" s="1"/>
  <c r="I15" i="6"/>
  <c r="I17" i="6" s="1"/>
  <c r="U15" i="6"/>
  <c r="V19" i="6"/>
  <c r="AH19" i="6"/>
  <c r="V20" i="6"/>
  <c r="V21" i="6"/>
  <c r="K22" i="6"/>
  <c r="M23" i="6"/>
  <c r="Y36" i="27"/>
  <c r="AA29" i="6"/>
  <c r="AB29" i="6" s="1"/>
  <c r="AO29" i="6"/>
  <c r="AW30" i="6"/>
  <c r="M16" i="8"/>
  <c r="M15" i="8" s="1"/>
  <c r="G18" i="8"/>
  <c r="G25" i="8"/>
  <c r="G37" i="8"/>
  <c r="I61" i="8"/>
  <c r="M65" i="8"/>
  <c r="M71" i="8"/>
  <c r="N75" i="8"/>
  <c r="G78" i="8"/>
  <c r="C27" i="27"/>
  <c r="K97" i="8"/>
  <c r="G101" i="8"/>
  <c r="F99" i="8"/>
  <c r="G106" i="8"/>
  <c r="M123" i="8"/>
  <c r="E87" i="9"/>
  <c r="E104" i="9"/>
  <c r="K116" i="9"/>
  <c r="K122" i="10"/>
  <c r="H55" i="11"/>
  <c r="K5" i="5"/>
  <c r="Z26" i="5"/>
  <c r="Q27" i="6"/>
  <c r="G28" i="8"/>
  <c r="G48" i="8"/>
  <c r="G70" i="8"/>
  <c r="M76" i="8"/>
  <c r="M82" i="8"/>
  <c r="M85" i="8"/>
  <c r="K88" i="8"/>
  <c r="H95" i="8"/>
  <c r="M40" i="9"/>
  <c r="E69" i="9"/>
  <c r="K75" i="9"/>
  <c r="K82" i="9"/>
  <c r="K73" i="10"/>
  <c r="K81" i="10"/>
  <c r="K130" i="10"/>
  <c r="Z25" i="5"/>
  <c r="Q29" i="5"/>
  <c r="R29" i="5" s="1"/>
  <c r="BI30" i="6"/>
  <c r="K19" i="8"/>
  <c r="E19" i="8"/>
  <c r="E16" i="8"/>
  <c r="E22" i="8"/>
  <c r="C22" i="27"/>
  <c r="E51" i="8"/>
  <c r="D25" i="27"/>
  <c r="Y25" i="27"/>
  <c r="AA25" i="27" s="1"/>
  <c r="K111" i="9"/>
  <c r="K105" i="9"/>
  <c r="K89" i="9"/>
  <c r="K83" i="9"/>
  <c r="K69" i="9"/>
  <c r="K65" i="9"/>
  <c r="K72" i="9"/>
  <c r="K50" i="9"/>
  <c r="K109" i="9"/>
  <c r="K88" i="9"/>
  <c r="K71" i="9"/>
  <c r="K68" i="9"/>
  <c r="K114" i="9"/>
  <c r="K108" i="9"/>
  <c r="K103" i="9"/>
  <c r="K81" i="9"/>
  <c r="K77" i="9"/>
  <c r="K64" i="9"/>
  <c r="K93" i="9"/>
  <c r="K47" i="9"/>
  <c r="K46" i="9"/>
  <c r="K92" i="9"/>
  <c r="K51" i="9"/>
  <c r="E46" i="9"/>
  <c r="E64" i="9"/>
  <c r="K76" i="9"/>
  <c r="K84" i="9"/>
  <c r="K107" i="9"/>
  <c r="M105" i="12"/>
  <c r="M93" i="12"/>
  <c r="M89" i="12"/>
  <c r="M98" i="12"/>
  <c r="M94" i="12"/>
  <c r="M24" i="12"/>
  <c r="M125" i="12"/>
  <c r="M123" i="12"/>
  <c r="M118" i="12"/>
  <c r="M126" i="12"/>
  <c r="M124" i="12"/>
  <c r="M119" i="12"/>
  <c r="M117" i="12"/>
  <c r="M112" i="12"/>
  <c r="M26" i="12"/>
  <c r="M84" i="12"/>
  <c r="M82" i="12"/>
  <c r="M77" i="12"/>
  <c r="M111" i="12"/>
  <c r="M75" i="12"/>
  <c r="M25" i="12"/>
  <c r="M114" i="12"/>
  <c r="M102" i="12"/>
  <c r="M92" i="12"/>
  <c r="M85" i="12"/>
  <c r="M73" i="12"/>
  <c r="M120" i="12"/>
  <c r="M71" i="12"/>
  <c r="M83" i="12"/>
  <c r="M79" i="12"/>
  <c r="M133" i="12"/>
  <c r="M110" i="12"/>
  <c r="M81" i="12"/>
  <c r="M107" i="12"/>
  <c r="M96" i="12"/>
  <c r="M76" i="12"/>
  <c r="M127" i="12"/>
  <c r="M122" i="12"/>
  <c r="M116" i="12"/>
  <c r="M74" i="12"/>
  <c r="M70" i="12"/>
  <c r="L49" i="12"/>
  <c r="M49" i="12" s="1"/>
  <c r="S29" i="6"/>
  <c r="T29" i="6" s="1"/>
  <c r="AE29" i="6"/>
  <c r="Y24" i="27"/>
  <c r="AA24" i="27" s="1"/>
  <c r="M78" i="8"/>
  <c r="K92" i="8"/>
  <c r="H21" i="10"/>
  <c r="D15" i="10"/>
  <c r="E110" i="10"/>
  <c r="K118" i="10"/>
  <c r="S29" i="5"/>
  <c r="T29" i="5" s="1"/>
  <c r="AE29" i="5"/>
  <c r="AF29" i="5" s="1"/>
  <c r="T5" i="6"/>
  <c r="C27" i="26"/>
  <c r="AB21" i="6"/>
  <c r="AB22" i="6"/>
  <c r="T27" i="6"/>
  <c r="T28" i="6"/>
  <c r="M28" i="8"/>
  <c r="G51" i="8"/>
  <c r="M70" i="8"/>
  <c r="N92" i="8"/>
  <c r="M106" i="8"/>
  <c r="C37" i="27"/>
  <c r="F130" i="8"/>
  <c r="G130" i="8" s="1"/>
  <c r="E76" i="9"/>
  <c r="E51" i="9"/>
  <c r="E111" i="9"/>
  <c r="E105" i="9"/>
  <c r="E92" i="9"/>
  <c r="E82" i="9"/>
  <c r="E80" i="9" s="1"/>
  <c r="E75" i="9"/>
  <c r="E49" i="9"/>
  <c r="E109" i="9"/>
  <c r="E120" i="9"/>
  <c r="E91" i="9"/>
  <c r="E88" i="9"/>
  <c r="E71" i="9"/>
  <c r="E68" i="9"/>
  <c r="E48" i="9"/>
  <c r="D10" i="9"/>
  <c r="E114" i="9"/>
  <c r="E108" i="9"/>
  <c r="E113" i="9"/>
  <c r="E107" i="9"/>
  <c r="E93" i="9"/>
  <c r="E112" i="9"/>
  <c r="E106" i="9"/>
  <c r="E90" i="9"/>
  <c r="O63" i="14"/>
  <c r="O64" i="14"/>
  <c r="R13" i="5"/>
  <c r="AB19" i="6"/>
  <c r="AB20" i="6"/>
  <c r="G29" i="6"/>
  <c r="I24" i="8"/>
  <c r="C9" i="27"/>
  <c r="D29" i="8"/>
  <c r="E92" i="8" s="1"/>
  <c r="G69" i="8"/>
  <c r="N69" i="8"/>
  <c r="O70" i="8"/>
  <c r="M72" i="8"/>
  <c r="G75" i="8"/>
  <c r="G77" i="8"/>
  <c r="K81" i="8"/>
  <c r="G84" i="8"/>
  <c r="M95" i="8"/>
  <c r="G126" i="8"/>
  <c r="J10" i="9"/>
  <c r="K49" i="9"/>
  <c r="K90" i="9"/>
  <c r="E103" i="9"/>
  <c r="K112" i="9"/>
  <c r="K120" i="9"/>
  <c r="K26" i="10"/>
  <c r="K56" i="10"/>
  <c r="K110" i="10"/>
  <c r="G88" i="12"/>
  <c r="M135" i="12"/>
  <c r="Z23" i="5"/>
  <c r="U29" i="5"/>
  <c r="V29" i="5" s="1"/>
  <c r="AG29" i="5"/>
  <c r="AH29" i="5" s="1"/>
  <c r="O10" i="6"/>
  <c r="P21" i="6" s="1"/>
  <c r="M60" i="8"/>
  <c r="M66" i="8"/>
  <c r="H69" i="8"/>
  <c r="M82" i="9"/>
  <c r="M75" i="9"/>
  <c r="M81" i="9"/>
  <c r="M77" i="9"/>
  <c r="M93" i="9"/>
  <c r="M74" i="9"/>
  <c r="M90" i="9"/>
  <c r="M87" i="9"/>
  <c r="M70" i="9"/>
  <c r="M67" i="9"/>
  <c r="M84" i="9"/>
  <c r="M76" i="9"/>
  <c r="M89" i="9"/>
  <c r="M83" i="9"/>
  <c r="M69" i="9"/>
  <c r="M65" i="9"/>
  <c r="E50" i="9"/>
  <c r="M64" i="9"/>
  <c r="E72" i="9"/>
  <c r="K113" i="9"/>
  <c r="M120" i="9"/>
  <c r="K91" i="10"/>
  <c r="G52" i="11"/>
  <c r="AB6" i="6"/>
  <c r="R12" i="6"/>
  <c r="R15" i="6" s="1"/>
  <c r="AD12" i="6"/>
  <c r="AD15" i="6" s="1"/>
  <c r="K17" i="8"/>
  <c r="K15" i="8" s="1"/>
  <c r="M24" i="8"/>
  <c r="H26" i="8"/>
  <c r="I26" i="8" s="1"/>
  <c r="E96" i="8"/>
  <c r="K86" i="8"/>
  <c r="K84" i="8"/>
  <c r="G82" i="8"/>
  <c r="G114" i="8"/>
  <c r="G100" i="8"/>
  <c r="M89" i="8"/>
  <c r="E97" i="8"/>
  <c r="K85" i="8"/>
  <c r="E84" i="8"/>
  <c r="M49" i="8"/>
  <c r="M47" i="8"/>
  <c r="M45" i="8"/>
  <c r="F42" i="8"/>
  <c r="M37" i="8"/>
  <c r="G24" i="8"/>
  <c r="M96" i="8"/>
  <c r="K87" i="8"/>
  <c r="G85" i="8"/>
  <c r="G64" i="8"/>
  <c r="G61" i="8"/>
  <c r="G49" i="8"/>
  <c r="G47" i="8"/>
  <c r="G45" i="8"/>
  <c r="G118" i="8"/>
  <c r="G112" i="8"/>
  <c r="M88" i="8"/>
  <c r="G123" i="8"/>
  <c r="G96" i="8"/>
  <c r="E87" i="8"/>
  <c r="M84" i="8"/>
  <c r="G62" i="8"/>
  <c r="G38" i="8"/>
  <c r="G34" i="8"/>
  <c r="G26" i="8"/>
  <c r="G35" i="8"/>
  <c r="K36" i="8"/>
  <c r="J130" i="8"/>
  <c r="G71" i="8"/>
  <c r="M87" i="8"/>
  <c r="K89" i="8"/>
  <c r="K126" i="8"/>
  <c r="D125" i="9"/>
  <c r="E125" i="9" s="1"/>
  <c r="E52" i="9"/>
  <c r="E74" i="9"/>
  <c r="E116" i="9"/>
  <c r="K104" i="10"/>
  <c r="E114" i="10"/>
  <c r="G65" i="14"/>
  <c r="G111" i="14"/>
  <c r="G109" i="14"/>
  <c r="G107" i="14"/>
  <c r="G112" i="14"/>
  <c r="G110" i="14"/>
  <c r="G108" i="14"/>
  <c r="G62" i="14"/>
  <c r="G105" i="14"/>
  <c r="F50" i="14"/>
  <c r="G77" i="14"/>
  <c r="G104" i="14"/>
  <c r="G101" i="14"/>
  <c r="G81" i="14"/>
  <c r="G73" i="14"/>
  <c r="G64" i="14"/>
  <c r="G100" i="14"/>
  <c r="G102" i="14"/>
  <c r="I20" i="5"/>
  <c r="E20" i="5" s="1"/>
  <c r="G16" i="8"/>
  <c r="G15" i="8" s="1"/>
  <c r="E20" i="8"/>
  <c r="M36" i="8"/>
  <c r="M39" i="8"/>
  <c r="G65" i="8"/>
  <c r="K75" i="8"/>
  <c r="M77" i="8"/>
  <c r="I93" i="8"/>
  <c r="K96" i="8"/>
  <c r="M104" i="8"/>
  <c r="M112" i="8"/>
  <c r="M42" i="9"/>
  <c r="F125" i="9"/>
  <c r="G125" i="9" s="1"/>
  <c r="G52" i="9"/>
  <c r="E65" i="9"/>
  <c r="K91" i="9"/>
  <c r="D138" i="10"/>
  <c r="E60" i="10"/>
  <c r="K92" i="10"/>
  <c r="K58" i="12"/>
  <c r="J140" i="12"/>
  <c r="M88" i="12"/>
  <c r="G69" i="14"/>
  <c r="J29" i="8"/>
  <c r="K26" i="8" s="1"/>
  <c r="M116" i="8"/>
  <c r="M101" i="8"/>
  <c r="M64" i="8"/>
  <c r="M25" i="8"/>
  <c r="M103" i="8"/>
  <c r="M62" i="8"/>
  <c r="M114" i="8"/>
  <c r="M100" i="8"/>
  <c r="M63" i="8"/>
  <c r="L42" i="8"/>
  <c r="M51" i="8"/>
  <c r="M79" i="8"/>
  <c r="M92" i="8"/>
  <c r="N99" i="8"/>
  <c r="O100" i="8"/>
  <c r="M126" i="8"/>
  <c r="K102" i="10"/>
  <c r="K95" i="10"/>
  <c r="K93" i="10"/>
  <c r="K132" i="10"/>
  <c r="K117" i="10"/>
  <c r="K101" i="10"/>
  <c r="K84" i="10"/>
  <c r="K77" i="10"/>
  <c r="J10" i="10"/>
  <c r="K125" i="10"/>
  <c r="K116" i="10"/>
  <c r="K79" i="10"/>
  <c r="K57" i="10"/>
  <c r="K124" i="10"/>
  <c r="K103" i="10"/>
  <c r="K119" i="10"/>
  <c r="K87" i="10"/>
  <c r="K76" i="10"/>
  <c r="K74" i="10"/>
  <c r="K98" i="10"/>
  <c r="K85" i="10"/>
  <c r="K72" i="10"/>
  <c r="K55" i="10"/>
  <c r="K134" i="10"/>
  <c r="K108" i="10"/>
  <c r="K100" i="10"/>
  <c r="K78" i="10"/>
  <c r="K126" i="10"/>
  <c r="K121" i="10"/>
  <c r="K115" i="10"/>
  <c r="K112" i="10"/>
  <c r="K105" i="10"/>
  <c r="K80" i="10"/>
  <c r="K54" i="10"/>
  <c r="K123" i="10"/>
  <c r="K111" i="10"/>
  <c r="K88" i="10"/>
  <c r="K59" i="10"/>
  <c r="K120" i="10"/>
  <c r="K99" i="10"/>
  <c r="K94" i="10"/>
  <c r="K86" i="10"/>
  <c r="K58" i="10"/>
  <c r="F138" i="10"/>
  <c r="G138" i="10" s="1"/>
  <c r="K75" i="10"/>
  <c r="F84" i="10"/>
  <c r="H87" i="10"/>
  <c r="G87" i="10"/>
  <c r="E107" i="10"/>
  <c r="K114" i="10"/>
  <c r="K128" i="10"/>
  <c r="D29" i="11"/>
  <c r="J36" i="11" s="1"/>
  <c r="K36" i="11" s="1"/>
  <c r="H26" i="11"/>
  <c r="I26" i="11" s="1"/>
  <c r="N130" i="8"/>
  <c r="O130" i="8" s="1"/>
  <c r="H130" i="8"/>
  <c r="I130" i="8" s="1"/>
  <c r="M75" i="8"/>
  <c r="M118" i="8"/>
  <c r="G43" i="9"/>
  <c r="F127" i="9"/>
  <c r="G127" i="9" s="1"/>
  <c r="K52" i="9"/>
  <c r="J125" i="9"/>
  <c r="K125" i="9" s="1"/>
  <c r="M87" i="10"/>
  <c r="L84" i="10"/>
  <c r="M84" i="10" s="1"/>
  <c r="E130" i="10"/>
  <c r="D36" i="11"/>
  <c r="E36" i="11" s="1"/>
  <c r="H72" i="11"/>
  <c r="I79" i="11"/>
  <c r="D7" i="23"/>
  <c r="E95" i="8"/>
  <c r="E106" i="8"/>
  <c r="G76" i="9"/>
  <c r="I73" i="10"/>
  <c r="M77" i="10"/>
  <c r="H88" i="10"/>
  <c r="I88" i="10" s="1"/>
  <c r="M101" i="10"/>
  <c r="M110" i="10"/>
  <c r="M117" i="10"/>
  <c r="G123" i="10"/>
  <c r="G128" i="10"/>
  <c r="K55" i="11"/>
  <c r="F57" i="11"/>
  <c r="H57" i="11" s="1"/>
  <c r="I57" i="11" s="1"/>
  <c r="K73" i="11"/>
  <c r="G79" i="11"/>
  <c r="G83" i="11"/>
  <c r="K95" i="11"/>
  <c r="G97" i="11"/>
  <c r="M109" i="11"/>
  <c r="K112" i="11"/>
  <c r="M114" i="11"/>
  <c r="M123" i="11"/>
  <c r="E136" i="11"/>
  <c r="J15" i="12"/>
  <c r="H17" i="12"/>
  <c r="I17" i="12" s="1"/>
  <c r="D26" i="12"/>
  <c r="N28" i="12"/>
  <c r="O28" i="12" s="1"/>
  <c r="H58" i="12"/>
  <c r="K72" i="12"/>
  <c r="K119" i="12"/>
  <c r="K124" i="12"/>
  <c r="K135" i="12"/>
  <c r="F49" i="13"/>
  <c r="G49" i="13" s="1"/>
  <c r="J10" i="14"/>
  <c r="K54" i="14"/>
  <c r="K57" i="14"/>
  <c r="K65" i="14"/>
  <c r="K116" i="14"/>
  <c r="F59" i="15"/>
  <c r="G67" i="9"/>
  <c r="G70" i="9"/>
  <c r="G87" i="9"/>
  <c r="G90" i="9"/>
  <c r="G19" i="10"/>
  <c r="M73" i="10"/>
  <c r="M75" i="10"/>
  <c r="M92" i="10"/>
  <c r="M104" i="10"/>
  <c r="M118" i="10"/>
  <c r="M128" i="10"/>
  <c r="L138" i="10"/>
  <c r="M138" i="10" s="1"/>
  <c r="K75" i="11"/>
  <c r="K87" i="11"/>
  <c r="H92" i="11"/>
  <c r="N116" i="11"/>
  <c r="K118" i="11"/>
  <c r="K125" i="11"/>
  <c r="L140" i="12"/>
  <c r="M140" i="12" s="1"/>
  <c r="M58" i="12"/>
  <c r="H81" i="12"/>
  <c r="K88" i="12"/>
  <c r="C25" i="25"/>
  <c r="M131" i="12"/>
  <c r="D15" i="14"/>
  <c r="D8" i="14"/>
  <c r="K48" i="14"/>
  <c r="I63" i="14"/>
  <c r="O65" i="14"/>
  <c r="G92" i="14"/>
  <c r="G68" i="15"/>
  <c r="N136" i="15"/>
  <c r="G100" i="15"/>
  <c r="G116" i="15"/>
  <c r="K127" i="16"/>
  <c r="K87" i="16"/>
  <c r="K75" i="16"/>
  <c r="K72" i="16"/>
  <c r="J49" i="16"/>
  <c r="J136" i="16" s="1"/>
  <c r="K136" i="16" s="1"/>
  <c r="K106" i="16"/>
  <c r="K93" i="16"/>
  <c r="K126" i="16"/>
  <c r="K19" i="16"/>
  <c r="K103" i="16"/>
  <c r="J10" i="16"/>
  <c r="K73" i="16"/>
  <c r="K71" i="16"/>
  <c r="K85" i="16"/>
  <c r="K104" i="16"/>
  <c r="M49" i="16"/>
  <c r="L49" i="16"/>
  <c r="L136" i="16" s="1"/>
  <c r="M136" i="16" s="1"/>
  <c r="K70" i="16"/>
  <c r="E78" i="16"/>
  <c r="O62" i="17"/>
  <c r="O59" i="17"/>
  <c r="O58" i="17"/>
  <c r="O60" i="17"/>
  <c r="N57" i="17"/>
  <c r="O57" i="17" s="1"/>
  <c r="O63" i="17"/>
  <c r="N53" i="18"/>
  <c r="N137" i="18" s="1"/>
  <c r="O79" i="18"/>
  <c r="O76" i="18"/>
  <c r="O77" i="18"/>
  <c r="O75" i="18"/>
  <c r="N99" i="11"/>
  <c r="K129" i="11"/>
  <c r="D9" i="12"/>
  <c r="D12" i="12" s="1"/>
  <c r="M28" i="4" s="1"/>
  <c r="K97" i="12"/>
  <c r="K76" i="12"/>
  <c r="K73" i="12"/>
  <c r="K100" i="12"/>
  <c r="K77" i="12"/>
  <c r="K74" i="12"/>
  <c r="K71" i="12"/>
  <c r="K84" i="12"/>
  <c r="K79" i="12"/>
  <c r="N29" i="12"/>
  <c r="O88" i="12" s="1"/>
  <c r="K133" i="12"/>
  <c r="K121" i="12"/>
  <c r="K101" i="12"/>
  <c r="K99" i="12"/>
  <c r="K82" i="12"/>
  <c r="K91" i="12"/>
  <c r="G114" i="12"/>
  <c r="O116" i="12"/>
  <c r="N114" i="12"/>
  <c r="K125" i="12"/>
  <c r="K102" i="14"/>
  <c r="K100" i="14"/>
  <c r="K67" i="14"/>
  <c r="K63" i="14"/>
  <c r="K111" i="14"/>
  <c r="K109" i="14"/>
  <c r="K107" i="14"/>
  <c r="K106" i="14"/>
  <c r="K101" i="14"/>
  <c r="K46" i="14"/>
  <c r="K112" i="14"/>
  <c r="K110" i="14"/>
  <c r="K108" i="14"/>
  <c r="K121" i="14"/>
  <c r="K61" i="14"/>
  <c r="K75" i="14"/>
  <c r="K113" i="14"/>
  <c r="G71" i="15"/>
  <c r="E18" i="16"/>
  <c r="E104" i="16"/>
  <c r="E127" i="16"/>
  <c r="E75" i="16"/>
  <c r="E72" i="16"/>
  <c r="E126" i="16"/>
  <c r="E19" i="16"/>
  <c r="D10" i="16"/>
  <c r="E73" i="16"/>
  <c r="E85" i="16"/>
  <c r="E106" i="16"/>
  <c r="G77" i="9"/>
  <c r="G74" i="10"/>
  <c r="G76" i="10"/>
  <c r="G93" i="10"/>
  <c r="M102" i="10"/>
  <c r="I108" i="10"/>
  <c r="M123" i="10"/>
  <c r="G106" i="11"/>
  <c r="G103" i="11"/>
  <c r="G100" i="11"/>
  <c r="F56" i="11"/>
  <c r="H56" i="11" s="1"/>
  <c r="I56" i="11" s="1"/>
  <c r="M79" i="11"/>
  <c r="M83" i="11"/>
  <c r="M97" i="11"/>
  <c r="M106" i="11"/>
  <c r="K110" i="11"/>
  <c r="G117" i="11"/>
  <c r="K122" i="11"/>
  <c r="G124" i="11"/>
  <c r="J9" i="12"/>
  <c r="J12" i="12" s="1"/>
  <c r="K83" i="12"/>
  <c r="H114" i="12"/>
  <c r="K117" i="12"/>
  <c r="K128" i="12"/>
  <c r="G50" i="14"/>
  <c r="K55" i="14"/>
  <c r="K58" i="14"/>
  <c r="K103" i="14"/>
  <c r="K117" i="14"/>
  <c r="E87" i="16"/>
  <c r="K110" i="16"/>
  <c r="F134" i="16"/>
  <c r="G134" i="16" s="1"/>
  <c r="K91" i="17"/>
  <c r="K114" i="17"/>
  <c r="K93" i="17"/>
  <c r="K59" i="17"/>
  <c r="K18" i="17"/>
  <c r="K72" i="17"/>
  <c r="K62" i="17"/>
  <c r="K17" i="17"/>
  <c r="K113" i="17"/>
  <c r="K58" i="17"/>
  <c r="K60" i="17"/>
  <c r="J10" i="17"/>
  <c r="K63" i="17"/>
  <c r="D9" i="23"/>
  <c r="M80" i="10"/>
  <c r="M105" i="10"/>
  <c r="M112" i="10"/>
  <c r="M115" i="10"/>
  <c r="M121" i="10"/>
  <c r="M126" i="10"/>
  <c r="K59" i="11"/>
  <c r="K72" i="11"/>
  <c r="K103" i="11"/>
  <c r="K54" i="12"/>
  <c r="K57" i="12"/>
  <c r="H70" i="12"/>
  <c r="K120" i="12"/>
  <c r="D135" i="13"/>
  <c r="K66" i="14"/>
  <c r="K92" i="14"/>
  <c r="N99" i="14"/>
  <c r="M90" i="15"/>
  <c r="E71" i="16"/>
  <c r="K80" i="11"/>
  <c r="K57" i="11"/>
  <c r="K74" i="11"/>
  <c r="K77" i="11"/>
  <c r="K81" i="11"/>
  <c r="K89" i="11"/>
  <c r="K94" i="11"/>
  <c r="K119" i="11"/>
  <c r="K124" i="11"/>
  <c r="J10" i="12"/>
  <c r="D11" i="23"/>
  <c r="N43" i="12"/>
  <c r="O43" i="12" s="1"/>
  <c r="K94" i="12"/>
  <c r="K105" i="12"/>
  <c r="K114" i="12"/>
  <c r="C19" i="20"/>
  <c r="O61" i="14"/>
  <c r="I64" i="14"/>
  <c r="C26" i="20"/>
  <c r="I26" i="20" s="1"/>
  <c r="D123" i="14"/>
  <c r="M92" i="15"/>
  <c r="E103" i="16"/>
  <c r="J121" i="17"/>
  <c r="K121" i="17" s="1"/>
  <c r="M25" i="10"/>
  <c r="G127" i="10"/>
  <c r="G120" i="10"/>
  <c r="G98" i="10"/>
  <c r="F51" i="10"/>
  <c r="G81" i="10"/>
  <c r="M85" i="10"/>
  <c r="G91" i="10"/>
  <c r="M93" i="10"/>
  <c r="M98" i="10"/>
  <c r="G116" i="10"/>
  <c r="G122" i="10"/>
  <c r="M107" i="11"/>
  <c r="M104" i="11"/>
  <c r="M101" i="11"/>
  <c r="M86" i="11"/>
  <c r="M73" i="11"/>
  <c r="L52" i="11"/>
  <c r="D10" i="23"/>
  <c r="K56" i="11"/>
  <c r="F58" i="11"/>
  <c r="H58" i="11" s="1"/>
  <c r="I58" i="11" s="1"/>
  <c r="M74" i="11"/>
  <c r="G76" i="11"/>
  <c r="M77" i="11"/>
  <c r="M81" i="11"/>
  <c r="G88" i="11"/>
  <c r="M89" i="11"/>
  <c r="K96" i="11"/>
  <c r="K100" i="11"/>
  <c r="G102" i="11"/>
  <c r="I113" i="11"/>
  <c r="K117" i="11"/>
  <c r="M119" i="11"/>
  <c r="M124" i="11"/>
  <c r="G130" i="11"/>
  <c r="K48" i="12"/>
  <c r="N70" i="12"/>
  <c r="O70" i="12" s="1"/>
  <c r="K85" i="12"/>
  <c r="K92" i="12"/>
  <c r="N96" i="12"/>
  <c r="O97" i="12"/>
  <c r="K102" i="12"/>
  <c r="K108" i="12"/>
  <c r="K118" i="12"/>
  <c r="K123" i="12"/>
  <c r="H49" i="13"/>
  <c r="I49" i="13" s="1"/>
  <c r="H59" i="14"/>
  <c r="F123" i="14"/>
  <c r="K64" i="14"/>
  <c r="K73" i="14"/>
  <c r="K76" i="14"/>
  <c r="G99" i="14"/>
  <c r="I75" i="16"/>
  <c r="I72" i="16"/>
  <c r="H49" i="16"/>
  <c r="H136" i="16" s="1"/>
  <c r="I73" i="16"/>
  <c r="I71" i="16"/>
  <c r="D134" i="16"/>
  <c r="E134" i="16" s="1"/>
  <c r="K78" i="16"/>
  <c r="G101" i="10"/>
  <c r="G110" i="10"/>
  <c r="G114" i="10"/>
  <c r="G25" i="11"/>
  <c r="N29" i="11"/>
  <c r="N45" i="11"/>
  <c r="O45" i="11" s="1"/>
  <c r="L56" i="11"/>
  <c r="N56" i="11" s="1"/>
  <c r="O56" i="11" s="1"/>
  <c r="G80" i="11"/>
  <c r="K86" i="11"/>
  <c r="G93" i="11"/>
  <c r="M96" i="11"/>
  <c r="M100" i="11"/>
  <c r="K105" i="11"/>
  <c r="G107" i="11"/>
  <c r="K113" i="11"/>
  <c r="M117" i="11"/>
  <c r="K121" i="11"/>
  <c r="G123" i="11"/>
  <c r="K128" i="11"/>
  <c r="M130" i="11"/>
  <c r="K25" i="12"/>
  <c r="K37" i="12"/>
  <c r="O71" i="12"/>
  <c r="K75" i="12"/>
  <c r="N107" i="12"/>
  <c r="O108" i="12"/>
  <c r="K111" i="12"/>
  <c r="K126" i="12"/>
  <c r="J49" i="13"/>
  <c r="N135" i="13"/>
  <c r="D26" i="14"/>
  <c r="K53" i="14"/>
  <c r="K56" i="14"/>
  <c r="J123" i="14"/>
  <c r="K123" i="14" s="1"/>
  <c r="C21" i="20"/>
  <c r="I21" i="20" s="1"/>
  <c r="L69" i="14"/>
  <c r="N73" i="14"/>
  <c r="N69" i="14" s="1"/>
  <c r="G97" i="15"/>
  <c r="K18" i="16"/>
  <c r="H28" i="12"/>
  <c r="I28" i="12" s="1"/>
  <c r="F29" i="12"/>
  <c r="G110" i="12" s="1"/>
  <c r="O92" i="12"/>
  <c r="C22" i="25"/>
  <c r="C24" i="25"/>
  <c r="C25" i="20"/>
  <c r="I25" i="20" s="1"/>
  <c r="G28" i="15"/>
  <c r="G24" i="15"/>
  <c r="G112" i="15"/>
  <c r="M94" i="15"/>
  <c r="M88" i="15"/>
  <c r="G80" i="15"/>
  <c r="F57" i="15"/>
  <c r="G94" i="15"/>
  <c r="G88" i="15"/>
  <c r="G110" i="15"/>
  <c r="M93" i="15"/>
  <c r="M87" i="15"/>
  <c r="G83" i="15"/>
  <c r="F56" i="15"/>
  <c r="G93" i="15"/>
  <c r="G87" i="15"/>
  <c r="G120" i="15"/>
  <c r="G109" i="15"/>
  <c r="G104" i="15"/>
  <c r="G92" i="15"/>
  <c r="G118" i="15"/>
  <c r="M91" i="15"/>
  <c r="G81" i="15"/>
  <c r="G69" i="15"/>
  <c r="F60" i="15"/>
  <c r="G91" i="15"/>
  <c r="F133" i="15"/>
  <c r="F131" i="15" s="1"/>
  <c r="G25" i="15"/>
  <c r="G114" i="15"/>
  <c r="G105" i="15"/>
  <c r="G90" i="15"/>
  <c r="G66" i="15"/>
  <c r="F58" i="15"/>
  <c r="G65" i="15"/>
  <c r="G73" i="15"/>
  <c r="G128" i="15"/>
  <c r="J65" i="17"/>
  <c r="K68" i="17"/>
  <c r="M79" i="18"/>
  <c r="M77" i="18"/>
  <c r="M75" i="18"/>
  <c r="M112" i="18"/>
  <c r="M80" i="18"/>
  <c r="L53" i="18"/>
  <c r="M105" i="18"/>
  <c r="M82" i="18"/>
  <c r="M76" i="18"/>
  <c r="G65" i="9"/>
  <c r="G69" i="9"/>
  <c r="G89" i="9"/>
  <c r="M134" i="10"/>
  <c r="M116" i="10"/>
  <c r="M114" i="10"/>
  <c r="M122" i="10"/>
  <c r="M127" i="10"/>
  <c r="K58" i="11"/>
  <c r="K76" i="11"/>
  <c r="K82" i="11"/>
  <c r="K88" i="11"/>
  <c r="K102" i="11"/>
  <c r="K134" i="11"/>
  <c r="D15" i="12"/>
  <c r="G47" i="12"/>
  <c r="F49" i="12"/>
  <c r="G49" i="12" s="1"/>
  <c r="F140" i="12"/>
  <c r="G140" i="12" s="1"/>
  <c r="C21" i="25"/>
  <c r="C28" i="25" s="1"/>
  <c r="O89" i="12"/>
  <c r="G96" i="12"/>
  <c r="G107" i="12"/>
  <c r="K115" i="12"/>
  <c r="K62" i="14"/>
  <c r="G72" i="14"/>
  <c r="C22" i="20"/>
  <c r="I22" i="20" s="1"/>
  <c r="G86" i="15"/>
  <c r="Y28" i="27"/>
  <c r="AA28" i="27" s="1"/>
  <c r="Y30" i="27"/>
  <c r="AA30" i="27" s="1"/>
  <c r="D30" i="27"/>
  <c r="M79" i="10"/>
  <c r="M125" i="10"/>
  <c r="K60" i="11"/>
  <c r="K78" i="11"/>
  <c r="K107" i="11"/>
  <c r="K114" i="11"/>
  <c r="K116" i="11"/>
  <c r="K123" i="11"/>
  <c r="N81" i="12"/>
  <c r="O81" i="12" s="1"/>
  <c r="K98" i="12"/>
  <c r="K112" i="12"/>
  <c r="E49" i="13"/>
  <c r="C20" i="20"/>
  <c r="I20" i="20" s="1"/>
  <c r="O62" i="14"/>
  <c r="I65" i="14"/>
  <c r="K72" i="14"/>
  <c r="K77" i="14"/>
  <c r="H136" i="15"/>
  <c r="E70" i="16"/>
  <c r="E76" i="16"/>
  <c r="E93" i="16"/>
  <c r="C16" i="24"/>
  <c r="C22" i="24" s="1"/>
  <c r="C33" i="24" s="1"/>
  <c r="D44" i="11" s="1"/>
  <c r="C28" i="20"/>
  <c r="I28" i="20" s="1"/>
  <c r="D135" i="18"/>
  <c r="E135" i="18" s="1"/>
  <c r="E137" i="18"/>
  <c r="D26" i="19"/>
  <c r="E67" i="19"/>
  <c r="D15" i="19"/>
  <c r="F17" i="20"/>
  <c r="F31" i="20"/>
  <c r="F32" i="20" s="1"/>
  <c r="D23" i="24"/>
  <c r="D34" i="24" s="1"/>
  <c r="J42" i="12" s="1"/>
  <c r="AA18" i="28"/>
  <c r="Y21" i="28"/>
  <c r="AA21" i="28" s="1"/>
  <c r="N43" i="28"/>
  <c r="M46" i="28"/>
  <c r="N26" i="16"/>
  <c r="N29" i="16" s="1"/>
  <c r="O49" i="16" s="1"/>
  <c r="K48" i="16"/>
  <c r="N55" i="17"/>
  <c r="M63" i="17"/>
  <c r="N62" i="18"/>
  <c r="L135" i="18"/>
  <c r="M135" i="18" s="1"/>
  <c r="K68" i="19"/>
  <c r="J42" i="19"/>
  <c r="J123" i="19" s="1"/>
  <c r="K123" i="19" s="1"/>
  <c r="K114" i="19"/>
  <c r="K92" i="19"/>
  <c r="K77" i="19"/>
  <c r="K113" i="19"/>
  <c r="K63" i="19"/>
  <c r="J10" i="19"/>
  <c r="K121" i="19"/>
  <c r="K70" i="19"/>
  <c r="K89" i="19"/>
  <c r="D16" i="25"/>
  <c r="D30" i="25"/>
  <c r="D31" i="25" s="1"/>
  <c r="J14" i="26"/>
  <c r="N28" i="27"/>
  <c r="N26" i="27"/>
  <c r="N15" i="27"/>
  <c r="N11" i="27"/>
  <c r="N12" i="27"/>
  <c r="N35" i="27"/>
  <c r="N34" i="27"/>
  <c r="N22" i="27"/>
  <c r="N36" i="27"/>
  <c r="N32" i="27"/>
  <c r="M20" i="27"/>
  <c r="N18" i="27"/>
  <c r="N30" i="27"/>
  <c r="T21" i="28"/>
  <c r="AA25" i="28"/>
  <c r="Y41" i="28"/>
  <c r="AA41" i="28" s="1"/>
  <c r="E16" i="25"/>
  <c r="E30" i="25"/>
  <c r="E31" i="25" s="1"/>
  <c r="E15" i="26"/>
  <c r="E29" i="26"/>
  <c r="E30" i="26" s="1"/>
  <c r="P26" i="27"/>
  <c r="P15" i="27"/>
  <c r="P11" i="27"/>
  <c r="P12" i="27"/>
  <c r="P10" i="27"/>
  <c r="P24" i="27"/>
  <c r="P9" i="27"/>
  <c r="P35" i="27"/>
  <c r="P34" i="27"/>
  <c r="P33" i="27"/>
  <c r="P36" i="27"/>
  <c r="P32" i="27"/>
  <c r="O20" i="27"/>
  <c r="P31" i="27"/>
  <c r="P30" i="27"/>
  <c r="R37" i="27"/>
  <c r="P37" i="27"/>
  <c r="P28" i="27"/>
  <c r="E43" i="28"/>
  <c r="F23" i="28"/>
  <c r="V21" i="28"/>
  <c r="G76" i="16"/>
  <c r="G60" i="17"/>
  <c r="G58" i="17"/>
  <c r="I58" i="17"/>
  <c r="K106" i="18"/>
  <c r="K79" i="18"/>
  <c r="K76" i="18"/>
  <c r="K129" i="18"/>
  <c r="K128" i="18"/>
  <c r="K112" i="18"/>
  <c r="K105" i="18"/>
  <c r="K77" i="18"/>
  <c r="K75" i="18"/>
  <c r="K18" i="18"/>
  <c r="J10" i="18"/>
  <c r="K87" i="18"/>
  <c r="O53" i="18"/>
  <c r="K89" i="18"/>
  <c r="M108" i="18"/>
  <c r="M121" i="19"/>
  <c r="L123" i="19"/>
  <c r="M123" i="19" s="1"/>
  <c r="F16" i="25"/>
  <c r="F30" i="25"/>
  <c r="F31" i="25" s="1"/>
  <c r="F15" i="26"/>
  <c r="F29" i="26"/>
  <c r="F30" i="26" s="1"/>
  <c r="I15" i="26"/>
  <c r="I29" i="26"/>
  <c r="I30" i="26" s="1"/>
  <c r="Y15" i="28"/>
  <c r="AA10" i="28"/>
  <c r="G46" i="28"/>
  <c r="H43" i="28"/>
  <c r="W23" i="28"/>
  <c r="X21" i="28"/>
  <c r="L121" i="17"/>
  <c r="M89" i="18"/>
  <c r="G30" i="25"/>
  <c r="G31" i="25" s="1"/>
  <c r="G16" i="25"/>
  <c r="D11" i="27"/>
  <c r="S23" i="28"/>
  <c r="T15" i="28"/>
  <c r="M62" i="14"/>
  <c r="M76" i="14"/>
  <c r="G26" i="15"/>
  <c r="L29" i="15"/>
  <c r="M86" i="15" s="1"/>
  <c r="F48" i="15"/>
  <c r="AS13" i="6" s="1"/>
  <c r="AS13" i="2" s="1"/>
  <c r="AS13" i="1" s="1"/>
  <c r="M71" i="16"/>
  <c r="M73" i="16"/>
  <c r="G62" i="17"/>
  <c r="H112" i="17"/>
  <c r="K137" i="18"/>
  <c r="H30" i="25"/>
  <c r="H31" i="25" s="1"/>
  <c r="H16" i="25"/>
  <c r="K15" i="26"/>
  <c r="K29" i="26"/>
  <c r="K30" i="26" s="1"/>
  <c r="U23" i="28"/>
  <c r="V15" i="28"/>
  <c r="G19" i="16"/>
  <c r="M74" i="17"/>
  <c r="M62" i="17"/>
  <c r="M59" i="17"/>
  <c r="I62" i="17"/>
  <c r="G65" i="17"/>
  <c r="G90" i="17"/>
  <c r="D121" i="17"/>
  <c r="T18" i="27"/>
  <c r="M64" i="14"/>
  <c r="J10" i="15"/>
  <c r="L48" i="15"/>
  <c r="AS13" i="5" s="1"/>
  <c r="M13" i="5" s="1"/>
  <c r="E106" i="18"/>
  <c r="E128" i="18"/>
  <c r="E18" i="18"/>
  <c r="D10" i="18"/>
  <c r="E108" i="18"/>
  <c r="E95" i="18"/>
  <c r="E112" i="18"/>
  <c r="E105" i="18"/>
  <c r="H80" i="18"/>
  <c r="E80" i="18"/>
  <c r="K54" i="19"/>
  <c r="K96" i="19"/>
  <c r="D14" i="26"/>
  <c r="C12" i="27"/>
  <c r="D24" i="27" s="1"/>
  <c r="N23" i="27"/>
  <c r="F42" i="15"/>
  <c r="F47" i="15" s="1"/>
  <c r="L46" i="15"/>
  <c r="L47" i="15" s="1"/>
  <c r="F121" i="17"/>
  <c r="D25" i="24"/>
  <c r="D36" i="24" s="1"/>
  <c r="D19" i="24"/>
  <c r="D24" i="24"/>
  <c r="D35" i="24" s="1"/>
  <c r="J42" i="14" s="1"/>
  <c r="D27" i="24"/>
  <c r="D38" i="24" s="1"/>
  <c r="J31" i="18" s="1"/>
  <c r="D21" i="24"/>
  <c r="D32" i="24" s="1"/>
  <c r="J42" i="10" s="1"/>
  <c r="D26" i="24"/>
  <c r="D37" i="24" s="1"/>
  <c r="D20" i="24"/>
  <c r="D31" i="24" s="1"/>
  <c r="J42" i="15" s="1"/>
  <c r="T8" i="27"/>
  <c r="T25" i="27"/>
  <c r="T29" i="27"/>
  <c r="O43" i="28"/>
  <c r="P23" i="28"/>
  <c r="G63" i="17"/>
  <c r="K90" i="17"/>
  <c r="M74" i="18"/>
  <c r="H31" i="20"/>
  <c r="H32" i="20" s="1"/>
  <c r="H17" i="20"/>
  <c r="J17" i="22"/>
  <c r="G27" i="22"/>
  <c r="C25" i="24"/>
  <c r="C36" i="24" s="1"/>
  <c r="D42" i="16" s="1"/>
  <c r="C19" i="24"/>
  <c r="D8" i="27"/>
  <c r="T30" i="27"/>
  <c r="T31" i="27"/>
  <c r="T33" i="27"/>
  <c r="T35" i="27"/>
  <c r="Q43" i="28"/>
  <c r="R23" i="28"/>
  <c r="D43" i="28"/>
  <c r="C46" i="28"/>
  <c r="O74" i="18"/>
  <c r="O80" i="18"/>
  <c r="D17" i="20"/>
  <c r="D31" i="20"/>
  <c r="D32" i="20" s="1"/>
  <c r="D22" i="24"/>
  <c r="D33" i="24" s="1"/>
  <c r="J44" i="11" s="1"/>
  <c r="G15" i="26"/>
  <c r="G29" i="26"/>
  <c r="G30" i="26" s="1"/>
  <c r="T23" i="27"/>
  <c r="M72" i="16"/>
  <c r="D15" i="17"/>
  <c r="D24" i="17"/>
  <c r="M95" i="18"/>
  <c r="D121" i="19"/>
  <c r="E17" i="20"/>
  <c r="E31" i="20"/>
  <c r="E32" i="20" s="1"/>
  <c r="H14" i="26"/>
  <c r="G17" i="20"/>
  <c r="B6" i="22"/>
  <c r="B12" i="22" s="1"/>
  <c r="J7" i="27"/>
  <c r="V7" i="27"/>
  <c r="F11" i="27"/>
  <c r="R11" i="27"/>
  <c r="G12" i="27"/>
  <c r="S12" i="27"/>
  <c r="F15" i="27"/>
  <c r="R15" i="27"/>
  <c r="F17" i="27"/>
  <c r="K20" i="27"/>
  <c r="W20" i="27"/>
  <c r="J22" i="27"/>
  <c r="V22" i="27"/>
  <c r="F26" i="27"/>
  <c r="R26" i="27"/>
  <c r="L32" i="27"/>
  <c r="X32" i="27"/>
  <c r="J34" i="27"/>
  <c r="V34" i="27"/>
  <c r="L36" i="27"/>
  <c r="F20" i="28"/>
  <c r="F41" i="28"/>
  <c r="S41" i="28"/>
  <c r="T41" i="28" s="1"/>
  <c r="D15" i="28"/>
  <c r="P15" i="28"/>
  <c r="H20" i="28"/>
  <c r="L7" i="27"/>
  <c r="X7" i="27"/>
  <c r="J17" i="27"/>
  <c r="L22" i="27"/>
  <c r="X22" i="27"/>
  <c r="J24" i="27"/>
  <c r="V24" i="27"/>
  <c r="L34" i="27"/>
  <c r="X34" i="27"/>
  <c r="Y7" i="27"/>
  <c r="L23" i="27"/>
  <c r="X23" i="27"/>
  <c r="J25" i="27"/>
  <c r="V25" i="27"/>
  <c r="Y34" i="27"/>
  <c r="AA34" i="27" s="1"/>
  <c r="F15" i="28"/>
  <c r="R15" i="28"/>
  <c r="N23" i="28"/>
  <c r="I43" i="28"/>
  <c r="G121" i="19"/>
  <c r="N7" i="27"/>
  <c r="Y8" i="27"/>
  <c r="AA8" i="27" s="1"/>
  <c r="J15" i="27"/>
  <c r="V15" i="27"/>
  <c r="L24" i="27"/>
  <c r="X24" i="27"/>
  <c r="J26" i="27"/>
  <c r="V26" i="27"/>
  <c r="Y35" i="27"/>
  <c r="F37" i="27"/>
  <c r="V37" i="27"/>
  <c r="D21" i="28"/>
  <c r="P21" i="28"/>
  <c r="F8" i="22"/>
  <c r="L12" i="27"/>
  <c r="X12" i="27"/>
  <c r="X37" i="27"/>
  <c r="D7" i="27"/>
  <c r="P7" i="27"/>
  <c r="L15" i="27"/>
  <c r="X15" i="27"/>
  <c r="Q20" i="27"/>
  <c r="P22" i="27"/>
  <c r="D23" i="28"/>
  <c r="Y11" i="27"/>
  <c r="E20" i="27"/>
  <c r="F36" i="27"/>
  <c r="J37" i="27"/>
  <c r="X30" i="28"/>
  <c r="X36" i="28"/>
  <c r="X40" i="28"/>
  <c r="N41" i="28"/>
  <c r="Y16" i="27"/>
  <c r="AA16" i="27" s="1"/>
  <c r="F22" i="27"/>
  <c r="R22" i="27"/>
  <c r="L28" i="27"/>
  <c r="X28" i="27"/>
  <c r="J30" i="27"/>
  <c r="V30" i="27"/>
  <c r="F34" i="27"/>
  <c r="R34" i="27"/>
  <c r="X19" i="28"/>
  <c r="H21" i="28"/>
  <c r="X25" i="28"/>
  <c r="V36" i="27"/>
  <c r="X15" i="28"/>
  <c r="X34" i="28"/>
  <c r="I20" i="27"/>
  <c r="U20" i="27"/>
  <c r="F24" i="27"/>
  <c r="R24" i="27"/>
  <c r="J32" i="27"/>
  <c r="F38" i="27"/>
  <c r="X27" i="28"/>
  <c r="D41" i="28"/>
  <c r="M47" i="15" l="1"/>
  <c r="L49" i="15"/>
  <c r="M49" i="15" s="1"/>
  <c r="AS12" i="5"/>
  <c r="H44" i="11"/>
  <c r="E44" i="11"/>
  <c r="I31" i="6"/>
  <c r="E13" i="5"/>
  <c r="H34" i="27"/>
  <c r="H22" i="27"/>
  <c r="G20" i="27"/>
  <c r="G40" i="27" s="1"/>
  <c r="H36" i="27"/>
  <c r="H32" i="27"/>
  <c r="H37" i="27"/>
  <c r="H28" i="27"/>
  <c r="H27" i="27"/>
  <c r="H16" i="27"/>
  <c r="H26" i="27"/>
  <c r="H15" i="27"/>
  <c r="H11" i="27"/>
  <c r="H17" i="27"/>
  <c r="H12" i="27"/>
  <c r="H38" i="27"/>
  <c r="H24" i="27"/>
  <c r="H9" i="27"/>
  <c r="M12" i="1"/>
  <c r="AC14" i="1"/>
  <c r="AD14" i="1" s="1"/>
  <c r="AD12" i="1"/>
  <c r="AB26" i="5"/>
  <c r="AB27" i="5"/>
  <c r="AB19" i="5"/>
  <c r="AB13" i="5"/>
  <c r="AB21" i="5"/>
  <c r="AB6" i="5"/>
  <c r="AA10" i="2"/>
  <c r="E46" i="28"/>
  <c r="F43" i="28"/>
  <c r="V23" i="28"/>
  <c r="U43" i="28"/>
  <c r="C27" i="24"/>
  <c r="C38" i="24" s="1"/>
  <c r="D31" i="18" s="1"/>
  <c r="D30" i="24"/>
  <c r="D40" i="24" s="1"/>
  <c r="D28" i="24"/>
  <c r="T34" i="27"/>
  <c r="T22" i="27"/>
  <c r="T36" i="27"/>
  <c r="T32" i="27"/>
  <c r="S20" i="27"/>
  <c r="T28" i="27"/>
  <c r="T27" i="27"/>
  <c r="T16" i="27"/>
  <c r="T37" i="27"/>
  <c r="T26" i="27"/>
  <c r="T15" i="27"/>
  <c r="T11" i="27"/>
  <c r="T12" i="27"/>
  <c r="T24" i="27"/>
  <c r="T9" i="27"/>
  <c r="H7" i="27"/>
  <c r="C24" i="24"/>
  <c r="C35" i="24" s="1"/>
  <c r="D42" i="14" s="1"/>
  <c r="H74" i="18"/>
  <c r="J15" i="26"/>
  <c r="J29" i="26"/>
  <c r="J30" i="26" s="1"/>
  <c r="I19" i="20"/>
  <c r="C29" i="20"/>
  <c r="I29" i="20" s="1"/>
  <c r="Y37" i="27"/>
  <c r="D37" i="27"/>
  <c r="K20" i="10"/>
  <c r="K18" i="10"/>
  <c r="E18" i="10"/>
  <c r="K21" i="10"/>
  <c r="K19" i="10"/>
  <c r="K17" i="10"/>
  <c r="E17" i="10"/>
  <c r="K16" i="10"/>
  <c r="E16" i="10"/>
  <c r="E19" i="10"/>
  <c r="E20" i="10"/>
  <c r="E132" i="11"/>
  <c r="D36" i="27"/>
  <c r="E7" i="6"/>
  <c r="E60" i="8"/>
  <c r="AS10" i="2"/>
  <c r="AS10" i="1" s="1"/>
  <c r="AD25" i="5"/>
  <c r="AD28" i="5"/>
  <c r="AD21" i="5"/>
  <c r="AC17" i="5"/>
  <c r="AD7" i="5"/>
  <c r="AD20" i="5"/>
  <c r="AJ28" i="5"/>
  <c r="AI17" i="5"/>
  <c r="AJ12" i="5"/>
  <c r="AJ15" i="5" s="1"/>
  <c r="AJ19" i="5"/>
  <c r="AJ7" i="5"/>
  <c r="AJ25" i="5"/>
  <c r="AJ20" i="5"/>
  <c r="AJ27" i="5"/>
  <c r="O26" i="8"/>
  <c r="N29" i="8"/>
  <c r="N9" i="1"/>
  <c r="E9" i="1"/>
  <c r="K23" i="6"/>
  <c r="P23" i="6"/>
  <c r="O22" i="2"/>
  <c r="AD22" i="5"/>
  <c r="K13" i="1"/>
  <c r="AI31" i="6"/>
  <c r="AJ17" i="6"/>
  <c r="E27" i="1"/>
  <c r="N27" i="1"/>
  <c r="AP20" i="1"/>
  <c r="AD23" i="5"/>
  <c r="Z24" i="1"/>
  <c r="R8" i="1"/>
  <c r="R6" i="1"/>
  <c r="R22" i="1"/>
  <c r="R19" i="1"/>
  <c r="R5" i="1"/>
  <c r="AH26" i="1"/>
  <c r="H23" i="27"/>
  <c r="H8" i="27"/>
  <c r="O99" i="8"/>
  <c r="V22" i="6"/>
  <c r="V28" i="6"/>
  <c r="V27" i="6"/>
  <c r="V26" i="6"/>
  <c r="V25" i="6"/>
  <c r="V24" i="6"/>
  <c r="V5" i="6"/>
  <c r="U17" i="6"/>
  <c r="V8" i="6"/>
  <c r="U10" i="2"/>
  <c r="U16" i="2" s="1"/>
  <c r="AB23" i="5"/>
  <c r="P6" i="6"/>
  <c r="T6" i="5"/>
  <c r="D26" i="27"/>
  <c r="Y26" i="27"/>
  <c r="AA26" i="27" s="1"/>
  <c r="AD12" i="5"/>
  <c r="AD15" i="5" s="1"/>
  <c r="AB5" i="5"/>
  <c r="C8" i="6"/>
  <c r="AD8" i="5"/>
  <c r="M19" i="1"/>
  <c r="N19" i="1" s="1"/>
  <c r="AH22" i="1"/>
  <c r="R7" i="1"/>
  <c r="G121" i="17"/>
  <c r="F123" i="17"/>
  <c r="G123" i="17" s="1"/>
  <c r="H18" i="27"/>
  <c r="E23" i="6"/>
  <c r="H138" i="10"/>
  <c r="I138" i="10" s="1"/>
  <c r="E138" i="10"/>
  <c r="K69" i="8"/>
  <c r="O92" i="8"/>
  <c r="C38" i="27"/>
  <c r="D38" i="27" s="1"/>
  <c r="D22" i="27"/>
  <c r="Y22" i="27"/>
  <c r="BI31" i="5"/>
  <c r="BI30" i="5"/>
  <c r="AJ22" i="5"/>
  <c r="AI10" i="2"/>
  <c r="M10" i="5"/>
  <c r="N13" i="5" s="1"/>
  <c r="E5" i="5"/>
  <c r="G29" i="5"/>
  <c r="C19" i="5"/>
  <c r="G18" i="2"/>
  <c r="Z9" i="1"/>
  <c r="Z7" i="1"/>
  <c r="Z20" i="1"/>
  <c r="Z13" i="1"/>
  <c r="Z26" i="1"/>
  <c r="Y11" i="1"/>
  <c r="R23" i="5"/>
  <c r="AB7" i="5"/>
  <c r="AH7" i="1"/>
  <c r="AL19" i="1"/>
  <c r="AH28" i="1"/>
  <c r="AP8" i="1"/>
  <c r="AP25" i="1"/>
  <c r="AP22" i="1"/>
  <c r="AP19" i="1"/>
  <c r="AP6" i="1"/>
  <c r="AP5" i="1"/>
  <c r="R43" i="28"/>
  <c r="Q46" i="28"/>
  <c r="K42" i="12"/>
  <c r="N42" i="12"/>
  <c r="L137" i="18"/>
  <c r="M137" i="18" s="1"/>
  <c r="E121" i="19"/>
  <c r="G47" i="15"/>
  <c r="F49" i="15"/>
  <c r="AS12" i="6"/>
  <c r="H10" i="27"/>
  <c r="H30" i="27"/>
  <c r="D28" i="27"/>
  <c r="P3" i="26"/>
  <c r="AB25" i="5"/>
  <c r="C22" i="6"/>
  <c r="AP8" i="6"/>
  <c r="AP22" i="6"/>
  <c r="AP21" i="6"/>
  <c r="AP7" i="6"/>
  <c r="AP28" i="6"/>
  <c r="AP27" i="6"/>
  <c r="AP26" i="6"/>
  <c r="AP25" i="6"/>
  <c r="AP24" i="6"/>
  <c r="AO17" i="6"/>
  <c r="AO10" i="2"/>
  <c r="R17" i="6"/>
  <c r="T28" i="5"/>
  <c r="T20" i="5"/>
  <c r="T7" i="5"/>
  <c r="K27" i="1"/>
  <c r="P27" i="1"/>
  <c r="P7" i="1"/>
  <c r="AH22" i="6"/>
  <c r="AH21" i="6"/>
  <c r="AH28" i="6"/>
  <c r="AH27" i="6"/>
  <c r="AH26" i="6"/>
  <c r="AH25" i="6"/>
  <c r="AH24" i="6"/>
  <c r="AH5" i="6"/>
  <c r="AG17" i="6"/>
  <c r="AH8" i="6"/>
  <c r="AG10" i="2"/>
  <c r="AG16" i="2" s="1"/>
  <c r="R27" i="5"/>
  <c r="L140" i="10"/>
  <c r="M140" i="10" s="1"/>
  <c r="M51" i="10"/>
  <c r="G17" i="5"/>
  <c r="G31" i="5" s="1"/>
  <c r="Z23" i="1"/>
  <c r="K13" i="2"/>
  <c r="C13" i="2" s="1"/>
  <c r="Z27" i="1"/>
  <c r="Z12" i="1"/>
  <c r="Z19" i="1"/>
  <c r="Z25" i="1"/>
  <c r="W43" i="28"/>
  <c r="X23" i="28"/>
  <c r="N7" i="1"/>
  <c r="E93" i="11"/>
  <c r="E82" i="11"/>
  <c r="E79" i="11"/>
  <c r="E59" i="11"/>
  <c r="E56" i="11"/>
  <c r="E50" i="11"/>
  <c r="K28" i="11"/>
  <c r="E101" i="11"/>
  <c r="E97" i="11"/>
  <c r="E57" i="11"/>
  <c r="J33" i="11"/>
  <c r="K33" i="11" s="1"/>
  <c r="E125" i="11"/>
  <c r="E118" i="11"/>
  <c r="E87" i="11"/>
  <c r="E78" i="11"/>
  <c r="E75" i="11"/>
  <c r="E28" i="11"/>
  <c r="K25" i="11"/>
  <c r="E120" i="11"/>
  <c r="E104" i="11"/>
  <c r="E134" i="11"/>
  <c r="E95" i="11"/>
  <c r="E55" i="11"/>
  <c r="E123" i="11"/>
  <c r="E107" i="11"/>
  <c r="E80" i="11"/>
  <c r="J35" i="11"/>
  <c r="K35" i="11" s="1"/>
  <c r="E25" i="11"/>
  <c r="E116" i="11"/>
  <c r="E102" i="11"/>
  <c r="E88" i="11"/>
  <c r="E76" i="11"/>
  <c r="E58" i="11"/>
  <c r="D38" i="11"/>
  <c r="E38" i="11" s="1"/>
  <c r="K26" i="11"/>
  <c r="E126" i="11"/>
  <c r="E121" i="11"/>
  <c r="E109" i="11"/>
  <c r="E86" i="11"/>
  <c r="D35" i="11"/>
  <c r="E35" i="11" s="1"/>
  <c r="H29" i="11"/>
  <c r="D10" i="11"/>
  <c r="M17" i="4" s="1"/>
  <c r="E128" i="11"/>
  <c r="E113" i="11"/>
  <c r="E105" i="11"/>
  <c r="E100" i="11"/>
  <c r="E96" i="11"/>
  <c r="E94" i="11"/>
  <c r="E124" i="11"/>
  <c r="E117" i="11"/>
  <c r="J37" i="11"/>
  <c r="K37" i="11" s="1"/>
  <c r="J34" i="11"/>
  <c r="K34" i="11" s="1"/>
  <c r="K24" i="11"/>
  <c r="E110" i="11"/>
  <c r="E108" i="11"/>
  <c r="E103" i="11"/>
  <c r="E89" i="11"/>
  <c r="E81" i="11"/>
  <c r="E77" i="11"/>
  <c r="E74" i="11"/>
  <c r="E61" i="11"/>
  <c r="E129" i="11"/>
  <c r="E122" i="11"/>
  <c r="E106" i="11"/>
  <c r="E24" i="11"/>
  <c r="E60" i="11"/>
  <c r="E73" i="11"/>
  <c r="D34" i="11"/>
  <c r="E34" i="11" s="1"/>
  <c r="D33" i="11"/>
  <c r="E33" i="11" s="1"/>
  <c r="D37" i="11"/>
  <c r="E37" i="11" s="1"/>
  <c r="K127" i="8"/>
  <c r="K107" i="8"/>
  <c r="K120" i="8"/>
  <c r="K104" i="8"/>
  <c r="K93" i="8"/>
  <c r="K61" i="8"/>
  <c r="K118" i="8"/>
  <c r="K112" i="8"/>
  <c r="K123" i="8"/>
  <c r="K102" i="8"/>
  <c r="K108" i="8"/>
  <c r="K50" i="8"/>
  <c r="K48" i="8"/>
  <c r="K46" i="8"/>
  <c r="K28" i="8"/>
  <c r="K71" i="8"/>
  <c r="K65" i="8"/>
  <c r="K47" i="8"/>
  <c r="K100" i="8"/>
  <c r="K79" i="8"/>
  <c r="K77" i="8"/>
  <c r="K49" i="8"/>
  <c r="K122" i="8"/>
  <c r="K116" i="8"/>
  <c r="K62" i="8"/>
  <c r="K24" i="8"/>
  <c r="J10" i="8"/>
  <c r="K103" i="8"/>
  <c r="K66" i="8"/>
  <c r="K64" i="8"/>
  <c r="K95" i="8"/>
  <c r="K70" i="8"/>
  <c r="K40" i="8"/>
  <c r="K106" i="8"/>
  <c r="K101" i="8"/>
  <c r="K78" i="8"/>
  <c r="K37" i="8"/>
  <c r="K25" i="8"/>
  <c r="K124" i="8"/>
  <c r="K114" i="8"/>
  <c r="K45" i="8"/>
  <c r="K73" i="8"/>
  <c r="K67" i="8"/>
  <c r="K76" i="8"/>
  <c r="K63" i="8"/>
  <c r="K51" i="8"/>
  <c r="E99" i="11"/>
  <c r="K130" i="8"/>
  <c r="F132" i="8"/>
  <c r="G132" i="8" s="1"/>
  <c r="G42" i="8"/>
  <c r="E69" i="8"/>
  <c r="E15" i="8"/>
  <c r="M27" i="6"/>
  <c r="R27" i="6"/>
  <c r="Q26" i="2"/>
  <c r="G99" i="8"/>
  <c r="Q26" i="6"/>
  <c r="AJ24" i="5"/>
  <c r="M10" i="6"/>
  <c r="N5" i="6" s="1"/>
  <c r="E5" i="6"/>
  <c r="M10" i="1"/>
  <c r="N5" i="1"/>
  <c r="R20" i="5"/>
  <c r="AW31" i="5"/>
  <c r="AW30" i="5"/>
  <c r="R20" i="1"/>
  <c r="M20" i="1"/>
  <c r="N20" i="1" s="1"/>
  <c r="AB22" i="5"/>
  <c r="H29" i="8"/>
  <c r="AD17" i="6"/>
  <c r="C6" i="5"/>
  <c r="V18" i="1"/>
  <c r="E21" i="1"/>
  <c r="N21" i="1"/>
  <c r="AP18" i="1"/>
  <c r="G16" i="2"/>
  <c r="E8" i="1"/>
  <c r="AL6" i="1"/>
  <c r="BE30" i="1"/>
  <c r="R18" i="1"/>
  <c r="T23" i="28"/>
  <c r="S43" i="28"/>
  <c r="D23" i="27"/>
  <c r="Y23" i="27"/>
  <c r="AA23" i="27" s="1"/>
  <c r="H10" i="22"/>
  <c r="G10" i="22"/>
  <c r="J14" i="22"/>
  <c r="J18" i="22" s="1"/>
  <c r="Y12" i="27"/>
  <c r="AA7" i="27"/>
  <c r="E40" i="17"/>
  <c r="J40" i="17"/>
  <c r="D17" i="27"/>
  <c r="D12" i="27"/>
  <c r="D10" i="27"/>
  <c r="D33" i="27"/>
  <c r="D32" i="27"/>
  <c r="D31" i="27"/>
  <c r="T7" i="27"/>
  <c r="T38" i="27"/>
  <c r="M97" i="15"/>
  <c r="M100" i="15"/>
  <c r="E26" i="11"/>
  <c r="M42" i="8"/>
  <c r="L132" i="8"/>
  <c r="M132" i="8" s="1"/>
  <c r="E92" i="11"/>
  <c r="AB20" i="5"/>
  <c r="T21" i="6"/>
  <c r="T20" i="6"/>
  <c r="T19" i="6"/>
  <c r="T23" i="6"/>
  <c r="T7" i="6"/>
  <c r="T13" i="6"/>
  <c r="S10" i="2"/>
  <c r="AK31" i="6"/>
  <c r="AK16" i="2"/>
  <c r="T24" i="6"/>
  <c r="C26" i="1"/>
  <c r="AP23" i="6"/>
  <c r="AD5" i="5"/>
  <c r="T21" i="5"/>
  <c r="AJ23" i="5"/>
  <c r="AU33" i="1"/>
  <c r="AU35" i="1" s="1"/>
  <c r="H30" i="3"/>
  <c r="H31" i="3" s="1"/>
  <c r="H16" i="3"/>
  <c r="AB28" i="5"/>
  <c r="T19" i="5"/>
  <c r="E23" i="5"/>
  <c r="AJ8" i="1"/>
  <c r="AJ22" i="1"/>
  <c r="AJ19" i="1"/>
  <c r="AJ6" i="1"/>
  <c r="AJ5" i="1"/>
  <c r="AP27" i="1"/>
  <c r="Z21" i="1"/>
  <c r="AB29" i="5"/>
  <c r="AL27" i="1"/>
  <c r="P43" i="28"/>
  <c r="O46" i="28"/>
  <c r="M40" i="27"/>
  <c r="N20" i="27"/>
  <c r="W40" i="27"/>
  <c r="X20" i="27"/>
  <c r="D27" i="17"/>
  <c r="AY7" i="6"/>
  <c r="C20" i="24"/>
  <c r="C31" i="24" s="1"/>
  <c r="D42" i="15" s="1"/>
  <c r="D15" i="26"/>
  <c r="D29" i="26"/>
  <c r="D30" i="26" s="1"/>
  <c r="E121" i="17"/>
  <c r="M112" i="15"/>
  <c r="L57" i="15"/>
  <c r="M104" i="15"/>
  <c r="M84" i="15"/>
  <c r="M65" i="15"/>
  <c r="M110" i="15"/>
  <c r="M83" i="15"/>
  <c r="L56" i="15"/>
  <c r="M120" i="15"/>
  <c r="M109" i="15"/>
  <c r="M82" i="15"/>
  <c r="M71" i="15"/>
  <c r="L61" i="15"/>
  <c r="L50" i="15"/>
  <c r="M118" i="15"/>
  <c r="M108" i="15"/>
  <c r="M81" i="15"/>
  <c r="M69" i="15"/>
  <c r="L60" i="15"/>
  <c r="M129" i="15"/>
  <c r="M107" i="15"/>
  <c r="M128" i="15"/>
  <c r="M116" i="15"/>
  <c r="M106" i="15"/>
  <c r="M102" i="15"/>
  <c r="M68" i="15"/>
  <c r="L59" i="15"/>
  <c r="M114" i="15"/>
  <c r="M105" i="15"/>
  <c r="M66" i="15"/>
  <c r="L58" i="15"/>
  <c r="M28" i="15"/>
  <c r="M24" i="15"/>
  <c r="M80" i="15"/>
  <c r="L133" i="15"/>
  <c r="L131" i="15" s="1"/>
  <c r="M25" i="15"/>
  <c r="H35" i="27"/>
  <c r="D29" i="14"/>
  <c r="AM7" i="6"/>
  <c r="F125" i="14"/>
  <c r="O69" i="8"/>
  <c r="E141" i="11"/>
  <c r="M73" i="15"/>
  <c r="C5" i="5"/>
  <c r="K10" i="5"/>
  <c r="L5" i="5" s="1"/>
  <c r="AD13" i="5"/>
  <c r="N22" i="5"/>
  <c r="E22" i="5"/>
  <c r="V23" i="6"/>
  <c r="E19" i="1"/>
  <c r="E6" i="5"/>
  <c r="T13" i="5"/>
  <c r="AW16" i="1"/>
  <c r="AW30" i="1" s="1"/>
  <c r="AW30" i="2"/>
  <c r="AH20" i="5"/>
  <c r="Z6" i="1"/>
  <c r="N61" i="11"/>
  <c r="N141" i="11" s="1"/>
  <c r="O55" i="11"/>
  <c r="C6" i="1"/>
  <c r="N13" i="1"/>
  <c r="N6" i="1"/>
  <c r="P20" i="1"/>
  <c r="E7" i="1"/>
  <c r="AL5" i="1"/>
  <c r="AL12" i="1"/>
  <c r="AJ12" i="1"/>
  <c r="Z28" i="1"/>
  <c r="AJ26" i="1"/>
  <c r="Z5" i="1"/>
  <c r="C30" i="24"/>
  <c r="N44" i="11"/>
  <c r="K44" i="11"/>
  <c r="H25" i="27"/>
  <c r="E40" i="27"/>
  <c r="F20" i="27"/>
  <c r="J20" i="27"/>
  <c r="I40" i="27"/>
  <c r="H33" i="27"/>
  <c r="D35" i="27"/>
  <c r="O76" i="16"/>
  <c r="O73" i="16"/>
  <c r="O71" i="16"/>
  <c r="O75" i="16"/>
  <c r="O72" i="16"/>
  <c r="N49" i="16"/>
  <c r="N136" i="16" s="1"/>
  <c r="D29" i="19"/>
  <c r="BG7" i="6"/>
  <c r="G92" i="12"/>
  <c r="G25" i="12"/>
  <c r="G105" i="12"/>
  <c r="G93" i="12"/>
  <c r="G89" i="12"/>
  <c r="G127" i="12"/>
  <c r="G122" i="12"/>
  <c r="G120" i="12"/>
  <c r="G116" i="12"/>
  <c r="G111" i="12"/>
  <c r="G102" i="12"/>
  <c r="G123" i="12"/>
  <c r="F50" i="12"/>
  <c r="G81" i="12"/>
  <c r="G74" i="12"/>
  <c r="G58" i="12"/>
  <c r="G135" i="12"/>
  <c r="G131" i="12"/>
  <c r="G124" i="12"/>
  <c r="G119" i="12"/>
  <c r="G98" i="12"/>
  <c r="G72" i="12"/>
  <c r="G84" i="12"/>
  <c r="G82" i="12"/>
  <c r="G77" i="12"/>
  <c r="G70" i="12"/>
  <c r="G126" i="12"/>
  <c r="G75" i="12"/>
  <c r="G94" i="12"/>
  <c r="G73" i="12"/>
  <c r="G85" i="12"/>
  <c r="G71" i="12"/>
  <c r="G79" i="12"/>
  <c r="G76" i="12"/>
  <c r="G24" i="12"/>
  <c r="G26" i="12"/>
  <c r="G83" i="12"/>
  <c r="M52" i="11"/>
  <c r="O70" i="16"/>
  <c r="P13" i="6"/>
  <c r="P8" i="6"/>
  <c r="P7" i="6"/>
  <c r="O10" i="2"/>
  <c r="P25" i="6"/>
  <c r="P5" i="6"/>
  <c r="P28" i="6"/>
  <c r="P24" i="6"/>
  <c r="P27" i="6"/>
  <c r="E85" i="11"/>
  <c r="E112" i="11"/>
  <c r="AP29" i="6"/>
  <c r="M25" i="6"/>
  <c r="R25" i="6"/>
  <c r="Q24" i="2"/>
  <c r="T25" i="6"/>
  <c r="AP20" i="6"/>
  <c r="AL26" i="1"/>
  <c r="AL23" i="1"/>
  <c r="AL8" i="1"/>
  <c r="AL7" i="1"/>
  <c r="AL13" i="1"/>
  <c r="AL20" i="1"/>
  <c r="V27" i="5"/>
  <c r="M27" i="5"/>
  <c r="AD26" i="5"/>
  <c r="I29" i="5"/>
  <c r="AB24" i="5"/>
  <c r="M24" i="6"/>
  <c r="R24" i="6"/>
  <c r="Q23" i="2"/>
  <c r="L61" i="11"/>
  <c r="R13" i="1"/>
  <c r="O10" i="1"/>
  <c r="AP9" i="1"/>
  <c r="Z8" i="1"/>
  <c r="R16" i="1"/>
  <c r="Z16" i="1"/>
  <c r="Y30" i="1"/>
  <c r="Z30" i="1" s="1"/>
  <c r="T24" i="5"/>
  <c r="AL9" i="1"/>
  <c r="V20" i="27"/>
  <c r="U40" i="27"/>
  <c r="K40" i="27"/>
  <c r="K43" i="27" s="1"/>
  <c r="L20" i="27"/>
  <c r="C26" i="24"/>
  <c r="C37" i="24" s="1"/>
  <c r="D40" i="17" s="1"/>
  <c r="I46" i="28"/>
  <c r="J43" i="28"/>
  <c r="T10" i="27"/>
  <c r="C21" i="24"/>
  <c r="C32" i="24" s="1"/>
  <c r="D42" i="10" s="1"/>
  <c r="J47" i="14"/>
  <c r="K42" i="14"/>
  <c r="N42" i="14"/>
  <c r="N47" i="14" s="1"/>
  <c r="N49" i="14" s="1"/>
  <c r="H31" i="27"/>
  <c r="D34" i="27"/>
  <c r="G131" i="15"/>
  <c r="AS28" i="6"/>
  <c r="J135" i="13"/>
  <c r="K49" i="13"/>
  <c r="F140" i="10"/>
  <c r="G140" i="10" s="1"/>
  <c r="G51" i="10"/>
  <c r="F136" i="16"/>
  <c r="G136" i="16" s="1"/>
  <c r="O90" i="12"/>
  <c r="O91" i="12"/>
  <c r="E26" i="12"/>
  <c r="H26" i="12"/>
  <c r="I26" i="12" s="1"/>
  <c r="AE7" i="6"/>
  <c r="K7" i="6" s="1"/>
  <c r="D29" i="12"/>
  <c r="H140" i="12"/>
  <c r="I140" i="12" s="1"/>
  <c r="E123" i="8"/>
  <c r="E63" i="8"/>
  <c r="E124" i="8"/>
  <c r="E116" i="8"/>
  <c r="E101" i="8"/>
  <c r="E78" i="8"/>
  <c r="E40" i="8"/>
  <c r="E37" i="8"/>
  <c r="E25" i="8"/>
  <c r="E61" i="8"/>
  <c r="E50" i="8"/>
  <c r="E118" i="8"/>
  <c r="E73" i="8"/>
  <c r="E67" i="8"/>
  <c r="E47" i="8"/>
  <c r="E65" i="8"/>
  <c r="E112" i="8"/>
  <c r="E100" i="8"/>
  <c r="E71" i="8"/>
  <c r="E26" i="8"/>
  <c r="E93" i="8"/>
  <c r="E79" i="8"/>
  <c r="E49" i="8"/>
  <c r="D10" i="8"/>
  <c r="M35" i="4" s="1"/>
  <c r="E102" i="8"/>
  <c r="E77" i="8"/>
  <c r="E75" i="8"/>
  <c r="E64" i="8"/>
  <c r="E62" i="8"/>
  <c r="E46" i="8"/>
  <c r="E24" i="8"/>
  <c r="E120" i="8"/>
  <c r="E66" i="8"/>
  <c r="E114" i="8"/>
  <c r="E45" i="8"/>
  <c r="E70" i="8"/>
  <c r="E48" i="8"/>
  <c r="E127" i="8"/>
  <c r="E28" i="8"/>
  <c r="E72" i="11"/>
  <c r="I95" i="8"/>
  <c r="F61" i="11"/>
  <c r="D27" i="27"/>
  <c r="Y27" i="27"/>
  <c r="AA27" i="27" s="1"/>
  <c r="AJ26" i="5"/>
  <c r="T25" i="5"/>
  <c r="S24" i="2"/>
  <c r="AD27" i="5"/>
  <c r="K26" i="6"/>
  <c r="P26" i="6"/>
  <c r="O25" i="2"/>
  <c r="K60" i="8"/>
  <c r="AD6" i="5"/>
  <c r="W10" i="6"/>
  <c r="X7" i="6"/>
  <c r="C6" i="3"/>
  <c r="C8" i="3" s="1"/>
  <c r="W7" i="2"/>
  <c r="AH13" i="5"/>
  <c r="G16" i="3"/>
  <c r="G30" i="3"/>
  <c r="G31" i="3" s="1"/>
  <c r="E5" i="1"/>
  <c r="AL21" i="1"/>
  <c r="Z22" i="1"/>
  <c r="Q40" i="27"/>
  <c r="R20" i="27"/>
  <c r="H15" i="26"/>
  <c r="H29" i="26"/>
  <c r="H30" i="26" s="1"/>
  <c r="D9" i="27"/>
  <c r="Y9" i="27"/>
  <c r="AA9" i="27" s="1"/>
  <c r="E122" i="8"/>
  <c r="I55" i="11"/>
  <c r="H61" i="11"/>
  <c r="H141" i="11" s="1"/>
  <c r="O29" i="6"/>
  <c r="P29" i="6" s="1"/>
  <c r="E130" i="8"/>
  <c r="X29" i="6"/>
  <c r="I10" i="1"/>
  <c r="E6" i="1"/>
  <c r="BE31" i="5"/>
  <c r="BE30" i="5"/>
  <c r="P19" i="6"/>
  <c r="E26" i="5"/>
  <c r="AP19" i="6"/>
  <c r="AD24" i="5"/>
  <c r="R26" i="5"/>
  <c r="R6" i="5"/>
  <c r="R22" i="5"/>
  <c r="R8" i="5"/>
  <c r="Q17" i="5"/>
  <c r="R21" i="5"/>
  <c r="R12" i="5"/>
  <c r="R15" i="5" s="1"/>
  <c r="E99" i="8"/>
  <c r="T23" i="5"/>
  <c r="G31" i="6"/>
  <c r="G33" i="2" s="1"/>
  <c r="AE28" i="1"/>
  <c r="U31" i="5"/>
  <c r="V31" i="5" s="1"/>
  <c r="V17" i="5"/>
  <c r="E111" i="10"/>
  <c r="E105" i="10"/>
  <c r="E128" i="10"/>
  <c r="E123" i="10"/>
  <c r="E58" i="10"/>
  <c r="E132" i="10"/>
  <c r="E104" i="10"/>
  <c r="D10" i="10"/>
  <c r="M8" i="4" s="1"/>
  <c r="E99" i="10"/>
  <c r="E101" i="10"/>
  <c r="E79" i="10"/>
  <c r="E56" i="10"/>
  <c r="E127" i="10"/>
  <c r="E122" i="10"/>
  <c r="E116" i="10"/>
  <c r="E91" i="10"/>
  <c r="E81" i="10"/>
  <c r="K25" i="10"/>
  <c r="E124" i="10"/>
  <c r="E103" i="10"/>
  <c r="E55" i="10"/>
  <c r="K28" i="10"/>
  <c r="E98" i="10"/>
  <c r="E28" i="10"/>
  <c r="E119" i="10"/>
  <c r="E121" i="10"/>
  <c r="E108" i="10"/>
  <c r="E100" i="10"/>
  <c r="E95" i="10"/>
  <c r="E87" i="10"/>
  <c r="E85" i="10"/>
  <c r="E25" i="10"/>
  <c r="E126" i="10"/>
  <c r="E115" i="10"/>
  <c r="E80" i="10"/>
  <c r="K24" i="10"/>
  <c r="E76" i="10"/>
  <c r="E73" i="10"/>
  <c r="E97" i="10"/>
  <c r="E93" i="10"/>
  <c r="E59" i="10"/>
  <c r="E24" i="10"/>
  <c r="E120" i="10"/>
  <c r="E75" i="10"/>
  <c r="E57" i="10"/>
  <c r="E86" i="10"/>
  <c r="E134" i="10"/>
  <c r="E78" i="10"/>
  <c r="E72" i="10"/>
  <c r="E54" i="10"/>
  <c r="E77" i="10"/>
  <c r="E74" i="10"/>
  <c r="E102" i="10"/>
  <c r="E88" i="10"/>
  <c r="E94" i="10"/>
  <c r="T26" i="6"/>
  <c r="Z17" i="6"/>
  <c r="Y31" i="6"/>
  <c r="Z31" i="6" s="1"/>
  <c r="T26" i="5"/>
  <c r="AJ21" i="5"/>
  <c r="C23" i="1"/>
  <c r="BA31" i="5"/>
  <c r="AH5" i="1"/>
  <c r="AH21" i="1"/>
  <c r="AH18" i="1"/>
  <c r="AH12" i="1"/>
  <c r="AH14" i="1"/>
  <c r="T5" i="5"/>
  <c r="E6" i="2"/>
  <c r="AL14" i="1"/>
  <c r="M69" i="14"/>
  <c r="AO21" i="5"/>
  <c r="E6" i="6"/>
  <c r="N6" i="6"/>
  <c r="E21" i="6"/>
  <c r="I20" i="2"/>
  <c r="Y23" i="28"/>
  <c r="AA15" i="28"/>
  <c r="M121" i="17"/>
  <c r="L123" i="17"/>
  <c r="M123" i="17" s="1"/>
  <c r="H29" i="27"/>
  <c r="K65" i="17"/>
  <c r="AY21" i="5"/>
  <c r="C23" i="24"/>
  <c r="C34" i="24" s="1"/>
  <c r="D42" i="12" s="1"/>
  <c r="D16" i="27"/>
  <c r="M26" i="15"/>
  <c r="O40" i="27"/>
  <c r="P20" i="27"/>
  <c r="L123" i="14"/>
  <c r="L125" i="14" s="1"/>
  <c r="F62" i="15"/>
  <c r="D21" i="23"/>
  <c r="J38" i="8" s="1"/>
  <c r="D18" i="23"/>
  <c r="D23" i="23" s="1"/>
  <c r="J46" i="10" s="1"/>
  <c r="J47" i="10" s="1"/>
  <c r="I87" i="10"/>
  <c r="H84" i="10"/>
  <c r="N140" i="12"/>
  <c r="O140" i="12" s="1"/>
  <c r="K140" i="12"/>
  <c r="E126" i="8"/>
  <c r="E21" i="10"/>
  <c r="L50" i="12"/>
  <c r="K99" i="8"/>
  <c r="O75" i="8"/>
  <c r="P20" i="6"/>
  <c r="K20" i="6"/>
  <c r="O19" i="2"/>
  <c r="N25" i="5"/>
  <c r="AJ5" i="5"/>
  <c r="V13" i="6"/>
  <c r="AH26" i="5"/>
  <c r="AH21" i="5"/>
  <c r="AH23" i="5"/>
  <c r="AH12" i="5"/>
  <c r="AH15" i="5" s="1"/>
  <c r="AG17" i="5"/>
  <c r="AH6" i="5"/>
  <c r="L19" i="5"/>
  <c r="O60" i="8"/>
  <c r="C9" i="6"/>
  <c r="C24" i="5"/>
  <c r="Y29" i="27"/>
  <c r="AA29" i="27" s="1"/>
  <c r="D29" i="27"/>
  <c r="M13" i="6"/>
  <c r="C23" i="5"/>
  <c r="Z14" i="1"/>
  <c r="C6" i="6"/>
  <c r="AJ8" i="5"/>
  <c r="AH13" i="6"/>
  <c r="AH8" i="5"/>
  <c r="I26" i="10"/>
  <c r="H29" i="10"/>
  <c r="AL18" i="1"/>
  <c r="AL25" i="1"/>
  <c r="AL22" i="1"/>
  <c r="W28" i="1"/>
  <c r="AH9" i="1"/>
  <c r="AH23" i="1"/>
  <c r="AH24" i="1"/>
  <c r="L8" i="5" l="1"/>
  <c r="L23" i="5"/>
  <c r="L7" i="6"/>
  <c r="C7" i="6"/>
  <c r="K10" i="6"/>
  <c r="W12" i="5"/>
  <c r="J49" i="10"/>
  <c r="L26" i="6"/>
  <c r="C26" i="6"/>
  <c r="H42" i="10"/>
  <c r="N24" i="6"/>
  <c r="E24" i="6"/>
  <c r="F142" i="12"/>
  <c r="G142" i="12" s="1"/>
  <c r="G50" i="12"/>
  <c r="I43" i="27"/>
  <c r="J40" i="27"/>
  <c r="C7" i="20"/>
  <c r="E105" i="14"/>
  <c r="E77" i="14"/>
  <c r="E104" i="14"/>
  <c r="D10" i="14"/>
  <c r="E116" i="14"/>
  <c r="E78" i="14"/>
  <c r="E112" i="14"/>
  <c r="E110" i="14"/>
  <c r="E108" i="14"/>
  <c r="E120" i="14"/>
  <c r="E109" i="14"/>
  <c r="E102" i="14"/>
  <c r="E65" i="14"/>
  <c r="E57" i="14"/>
  <c r="E54" i="14"/>
  <c r="E72" i="14"/>
  <c r="E67" i="14"/>
  <c r="E62" i="14"/>
  <c r="E111" i="14"/>
  <c r="E101" i="14"/>
  <c r="E56" i="14"/>
  <c r="E53" i="14"/>
  <c r="E107" i="14"/>
  <c r="E64" i="14"/>
  <c r="E46" i="14"/>
  <c r="E121" i="14"/>
  <c r="E81" i="14"/>
  <c r="E73" i="14"/>
  <c r="E66" i="14"/>
  <c r="E117" i="14"/>
  <c r="E58" i="14"/>
  <c r="E55" i="14"/>
  <c r="E63" i="14"/>
  <c r="E92" i="14"/>
  <c r="E113" i="14"/>
  <c r="E48" i="14"/>
  <c r="E100" i="14"/>
  <c r="E59" i="14"/>
  <c r="E69" i="14"/>
  <c r="E99" i="14"/>
  <c r="E75" i="14"/>
  <c r="E95" i="14"/>
  <c r="E61" i="14"/>
  <c r="N27" i="6"/>
  <c r="E27" i="6"/>
  <c r="AG30" i="2"/>
  <c r="AG31" i="2" s="1"/>
  <c r="AG16" i="1"/>
  <c r="N23" i="6"/>
  <c r="U30" i="2"/>
  <c r="U31" i="2" s="1"/>
  <c r="U16" i="1"/>
  <c r="O22" i="1"/>
  <c r="K22" i="2"/>
  <c r="C22" i="2" s="1"/>
  <c r="C13" i="23"/>
  <c r="D47" i="14"/>
  <c r="H42" i="14"/>
  <c r="H47" i="14" s="1"/>
  <c r="H49" i="14" s="1"/>
  <c r="E42" i="14"/>
  <c r="S40" i="27"/>
  <c r="T20" i="27"/>
  <c r="BG10" i="6"/>
  <c r="BG17" i="6" s="1"/>
  <c r="BG31" i="6" s="1"/>
  <c r="BG33" i="2" s="1"/>
  <c r="BG7" i="2"/>
  <c r="F19" i="1"/>
  <c r="M43" i="27"/>
  <c r="N40" i="27"/>
  <c r="D25" i="23"/>
  <c r="J46" i="12" s="1"/>
  <c r="N10" i="1"/>
  <c r="N22" i="1"/>
  <c r="N21" i="6"/>
  <c r="AI31" i="5"/>
  <c r="AJ17" i="5"/>
  <c r="N7" i="6"/>
  <c r="AA33" i="1"/>
  <c r="AA35" i="1" s="1"/>
  <c r="G43" i="27"/>
  <c r="H40" i="27"/>
  <c r="O19" i="1"/>
  <c r="K19" i="2"/>
  <c r="O28" i="2"/>
  <c r="D29" i="23"/>
  <c r="D27" i="23"/>
  <c r="D28" i="23"/>
  <c r="D30" i="23"/>
  <c r="J35" i="18" s="1"/>
  <c r="J36" i="18" s="1"/>
  <c r="D26" i="23"/>
  <c r="J46" i="15" s="1"/>
  <c r="J47" i="15" s="1"/>
  <c r="D22" i="23"/>
  <c r="J39" i="9" s="1"/>
  <c r="J40" i="9" s="1"/>
  <c r="M17" i="5"/>
  <c r="Q31" i="5"/>
  <c r="R31" i="5" s="1"/>
  <c r="R17" i="5"/>
  <c r="L25" i="5"/>
  <c r="C25" i="5"/>
  <c r="E113" i="19"/>
  <c r="D10" i="19"/>
  <c r="E77" i="19"/>
  <c r="E68" i="19"/>
  <c r="D42" i="19"/>
  <c r="D123" i="19" s="1"/>
  <c r="E123" i="19" s="1"/>
  <c r="E90" i="19"/>
  <c r="E114" i="19"/>
  <c r="E54" i="19"/>
  <c r="E63" i="19"/>
  <c r="E96" i="19"/>
  <c r="E70" i="19"/>
  <c r="E92" i="19"/>
  <c r="E89" i="19"/>
  <c r="L28" i="5"/>
  <c r="F23" i="5"/>
  <c r="E123" i="14"/>
  <c r="E10" i="6"/>
  <c r="F5" i="6" s="1"/>
  <c r="AG31" i="6"/>
  <c r="AH31" i="6" s="1"/>
  <c r="AH17" i="6"/>
  <c r="N6" i="5"/>
  <c r="L22" i="5"/>
  <c r="O42" i="12"/>
  <c r="N8" i="1"/>
  <c r="N26" i="5"/>
  <c r="U31" i="6"/>
  <c r="V31" i="6" s="1"/>
  <c r="V17" i="6"/>
  <c r="L23" i="6"/>
  <c r="C23" i="6"/>
  <c r="I44" i="11"/>
  <c r="M131" i="15"/>
  <c r="AS28" i="5"/>
  <c r="M28" i="5" s="1"/>
  <c r="G18" i="1"/>
  <c r="G28" i="2"/>
  <c r="G28" i="1" s="1"/>
  <c r="C18" i="2"/>
  <c r="AA22" i="27"/>
  <c r="Y38" i="27"/>
  <c r="AA38" i="27" s="1"/>
  <c r="L20" i="6"/>
  <c r="K29" i="6"/>
  <c r="L29" i="6" s="1"/>
  <c r="C20" i="6"/>
  <c r="W7" i="1"/>
  <c r="S24" i="1"/>
  <c r="K24" i="2"/>
  <c r="C24" i="2" s="1"/>
  <c r="S28" i="2"/>
  <c r="O33" i="1"/>
  <c r="N13" i="6"/>
  <c r="E13" i="6"/>
  <c r="Q24" i="1"/>
  <c r="M24" i="2"/>
  <c r="E24" i="2" s="1"/>
  <c r="AA12" i="27"/>
  <c r="C27" i="1"/>
  <c r="AO31" i="6"/>
  <c r="AP31" i="6" s="1"/>
  <c r="AO16" i="2"/>
  <c r="F40" i="27"/>
  <c r="E43" i="27"/>
  <c r="L10" i="5"/>
  <c r="L13" i="5"/>
  <c r="L20" i="5"/>
  <c r="L9" i="5"/>
  <c r="L7" i="5"/>
  <c r="N10" i="6"/>
  <c r="N20" i="6"/>
  <c r="N8" i="6"/>
  <c r="N9" i="6"/>
  <c r="N22" i="6"/>
  <c r="AG31" i="5"/>
  <c r="AH31" i="5" s="1"/>
  <c r="AH17" i="5"/>
  <c r="G62" i="15"/>
  <c r="F136" i="15"/>
  <c r="AS19" i="6"/>
  <c r="R40" i="27"/>
  <c r="Q43" i="27"/>
  <c r="Y43" i="28"/>
  <c r="AA43" i="28" s="1"/>
  <c r="AA23" i="28"/>
  <c r="E78" i="12"/>
  <c r="E75" i="12"/>
  <c r="E72" i="12"/>
  <c r="E57" i="12"/>
  <c r="E55" i="12"/>
  <c r="E53" i="12"/>
  <c r="E76" i="12"/>
  <c r="E73" i="12"/>
  <c r="E83" i="12"/>
  <c r="E56" i="12"/>
  <c r="E54" i="12"/>
  <c r="E84" i="12"/>
  <c r="E79" i="12"/>
  <c r="E127" i="12"/>
  <c r="E122" i="12"/>
  <c r="E116" i="12"/>
  <c r="E90" i="12"/>
  <c r="E24" i="12"/>
  <c r="E104" i="12"/>
  <c r="E93" i="12"/>
  <c r="E74" i="12"/>
  <c r="E124" i="12"/>
  <c r="E119" i="12"/>
  <c r="E115" i="12"/>
  <c r="E107" i="12"/>
  <c r="E81" i="12"/>
  <c r="E58" i="12"/>
  <c r="E135" i="12"/>
  <c r="E121" i="12"/>
  <c r="E98" i="12"/>
  <c r="E100" i="12"/>
  <c r="E111" i="12"/>
  <c r="E89" i="12"/>
  <c r="E82" i="12"/>
  <c r="E77" i="12"/>
  <c r="E25" i="12"/>
  <c r="E126" i="12"/>
  <c r="E102" i="12"/>
  <c r="E92" i="12"/>
  <c r="E70" i="12"/>
  <c r="D10" i="12"/>
  <c r="M26" i="4" s="1"/>
  <c r="E123" i="12"/>
  <c r="E108" i="12"/>
  <c r="E97" i="12"/>
  <c r="E120" i="12"/>
  <c r="E105" i="12"/>
  <c r="E94" i="12"/>
  <c r="E48" i="12"/>
  <c r="E99" i="12"/>
  <c r="E91" i="12"/>
  <c r="E85" i="12"/>
  <c r="E71" i="12"/>
  <c r="H29" i="12"/>
  <c r="E101" i="12"/>
  <c r="E131" i="12"/>
  <c r="E140" i="12"/>
  <c r="E96" i="12"/>
  <c r="E114" i="12"/>
  <c r="E37" i="12"/>
  <c r="E88" i="12"/>
  <c r="E110" i="12"/>
  <c r="M28" i="6"/>
  <c r="AS27" i="2"/>
  <c r="AS27" i="1" s="1"/>
  <c r="P5" i="1"/>
  <c r="O35" i="1"/>
  <c r="P21" i="1"/>
  <c r="P18" i="1"/>
  <c r="P24" i="1"/>
  <c r="P6" i="1"/>
  <c r="P23" i="1"/>
  <c r="P8" i="1"/>
  <c r="P26" i="1"/>
  <c r="P9" i="1"/>
  <c r="N27" i="5"/>
  <c r="E27" i="5"/>
  <c r="C10" i="5"/>
  <c r="I51" i="8"/>
  <c r="I92" i="8"/>
  <c r="I60" i="8"/>
  <c r="I99" i="8"/>
  <c r="I122" i="8"/>
  <c r="I75" i="8"/>
  <c r="I81" i="8"/>
  <c r="I126" i="8"/>
  <c r="N20" i="5"/>
  <c r="O126" i="8"/>
  <c r="O81" i="8"/>
  <c r="O51" i="8"/>
  <c r="O95" i="8"/>
  <c r="O122" i="8"/>
  <c r="AD17" i="5"/>
  <c r="O44" i="11"/>
  <c r="E10" i="5"/>
  <c r="F5" i="5"/>
  <c r="F13" i="5"/>
  <c r="K38" i="8"/>
  <c r="N38" i="8"/>
  <c r="O38" i="8" s="1"/>
  <c r="E84" i="10"/>
  <c r="C6" i="25"/>
  <c r="C8" i="25" s="1"/>
  <c r="AF7" i="6"/>
  <c r="AE7" i="2"/>
  <c r="AE7" i="1" s="1"/>
  <c r="AE10" i="6"/>
  <c r="N25" i="6"/>
  <c r="E25" i="6"/>
  <c r="F25" i="6" s="1"/>
  <c r="L142" i="12"/>
  <c r="M142" i="12" s="1"/>
  <c r="M50" i="12"/>
  <c r="O43" i="27"/>
  <c r="P40" i="27"/>
  <c r="I20" i="1"/>
  <c r="E20" i="2"/>
  <c r="I28" i="2"/>
  <c r="I31" i="5"/>
  <c r="X23" i="6"/>
  <c r="X13" i="6"/>
  <c r="X6" i="6"/>
  <c r="X22" i="6"/>
  <c r="W10" i="2"/>
  <c r="X25" i="6"/>
  <c r="X21" i="6"/>
  <c r="X26" i="6"/>
  <c r="X19" i="6"/>
  <c r="X28" i="6"/>
  <c r="X20" i="6"/>
  <c r="X8" i="6"/>
  <c r="X24" i="6"/>
  <c r="X27" i="6"/>
  <c r="X5" i="6"/>
  <c r="U43" i="27"/>
  <c r="V40" i="27"/>
  <c r="L27" i="5"/>
  <c r="E10" i="2"/>
  <c r="F6" i="2" s="1"/>
  <c r="L62" i="15"/>
  <c r="AK16" i="1"/>
  <c r="AK30" i="2"/>
  <c r="AK31" i="2" s="1"/>
  <c r="G16" i="1"/>
  <c r="W46" i="28"/>
  <c r="X43" i="28"/>
  <c r="N5" i="5"/>
  <c r="I69" i="8"/>
  <c r="L141" i="11"/>
  <c r="M61" i="11"/>
  <c r="AC19" i="5"/>
  <c r="AY7" i="2"/>
  <c r="AY7" i="1" s="1"/>
  <c r="AY10" i="1" s="1"/>
  <c r="AY10" i="6"/>
  <c r="L24" i="5"/>
  <c r="M26" i="6"/>
  <c r="R26" i="6"/>
  <c r="Q25" i="2"/>
  <c r="Q29" i="6"/>
  <c r="N10" i="5"/>
  <c r="N24" i="5"/>
  <c r="N8" i="5"/>
  <c r="N9" i="5"/>
  <c r="N7" i="5"/>
  <c r="AI33" i="2"/>
  <c r="U46" i="28"/>
  <c r="V43" i="28"/>
  <c r="AS15" i="5"/>
  <c r="AS17" i="5" s="1"/>
  <c r="M12" i="5"/>
  <c r="F21" i="6"/>
  <c r="E60" i="17"/>
  <c r="E18" i="17"/>
  <c r="E114" i="17"/>
  <c r="E59" i="17"/>
  <c r="E80" i="17"/>
  <c r="E93" i="17"/>
  <c r="E17" i="17"/>
  <c r="E113" i="17"/>
  <c r="E90" i="17"/>
  <c r="E62" i="17"/>
  <c r="E91" i="17"/>
  <c r="D10" i="17"/>
  <c r="E58" i="17"/>
  <c r="E65" i="17"/>
  <c r="E72" i="17"/>
  <c r="E57" i="17"/>
  <c r="E74" i="17"/>
  <c r="E97" i="17"/>
  <c r="E63" i="17"/>
  <c r="AS15" i="6"/>
  <c r="AS17" i="6" s="1"/>
  <c r="AS12" i="2"/>
  <c r="M12" i="6"/>
  <c r="AI16" i="2"/>
  <c r="AI33" i="1"/>
  <c r="AI35" i="1" s="1"/>
  <c r="C13" i="1"/>
  <c r="E10" i="1"/>
  <c r="F6" i="1" s="1"/>
  <c r="F141" i="11"/>
  <c r="G61" i="11"/>
  <c r="AC19" i="6"/>
  <c r="O50" i="14"/>
  <c r="N50" i="14"/>
  <c r="E42" i="12"/>
  <c r="H42" i="12"/>
  <c r="C28" i="24"/>
  <c r="D24" i="23"/>
  <c r="J48" i="11" s="1"/>
  <c r="S33" i="1"/>
  <c r="S35" i="1" s="1"/>
  <c r="M26" i="2"/>
  <c r="E26" i="2" s="1"/>
  <c r="Q26" i="1"/>
  <c r="L6" i="5"/>
  <c r="G49" i="15"/>
  <c r="F50" i="15"/>
  <c r="P13" i="1"/>
  <c r="N12" i="1"/>
  <c r="M14" i="1"/>
  <c r="N14" i="1" s="1"/>
  <c r="E12" i="1"/>
  <c r="O25" i="1"/>
  <c r="K25" i="2"/>
  <c r="C25" i="2" s="1"/>
  <c r="M23" i="2"/>
  <c r="E23" i="2" s="1"/>
  <c r="Q23" i="1"/>
  <c r="C10" i="6"/>
  <c r="D8" i="6" s="1"/>
  <c r="AY20" i="2"/>
  <c r="AY29" i="5"/>
  <c r="AP21" i="5"/>
  <c r="M21" i="5"/>
  <c r="AO29" i="5"/>
  <c r="K47" i="14"/>
  <c r="J49" i="14"/>
  <c r="AM12" i="5"/>
  <c r="AM15" i="5" s="1"/>
  <c r="AM17" i="5" s="1"/>
  <c r="AM31" i="5" s="1"/>
  <c r="AN31" i="5" s="1"/>
  <c r="C40" i="24"/>
  <c r="J34" i="8"/>
  <c r="D34" i="8"/>
  <c r="AN7" i="6"/>
  <c r="AM7" i="2"/>
  <c r="AM7" i="1" s="1"/>
  <c r="AM10" i="6"/>
  <c r="W43" i="27"/>
  <c r="X40" i="27"/>
  <c r="S46" i="28"/>
  <c r="T43" i="28"/>
  <c r="N23" i="5"/>
  <c r="L26" i="5"/>
  <c r="K49" i="14" l="1"/>
  <c r="J50" i="14"/>
  <c r="M25" i="2"/>
  <c r="E25" i="2" s="1"/>
  <c r="Q25" i="1"/>
  <c r="F24" i="6"/>
  <c r="AP29" i="5"/>
  <c r="AO31" i="5"/>
  <c r="AP31" i="5" s="1"/>
  <c r="P25" i="1"/>
  <c r="K25" i="1"/>
  <c r="AS14" i="2"/>
  <c r="AS12" i="1"/>
  <c r="AS14" i="1" s="1"/>
  <c r="N26" i="6"/>
  <c r="E26" i="6"/>
  <c r="F26" i="6" s="1"/>
  <c r="F27" i="5"/>
  <c r="T24" i="1"/>
  <c r="K24" i="1"/>
  <c r="S28" i="1"/>
  <c r="T28" i="1" s="1"/>
  <c r="C18" i="1"/>
  <c r="BG7" i="1"/>
  <c r="BG10" i="1" s="1"/>
  <c r="BG10" i="2"/>
  <c r="U30" i="1"/>
  <c r="V30" i="1" s="1"/>
  <c r="V16" i="1"/>
  <c r="R23" i="1"/>
  <c r="M23" i="1"/>
  <c r="Q28" i="1"/>
  <c r="R29" i="6"/>
  <c r="Q31" i="6"/>
  <c r="R31" i="6" s="1"/>
  <c r="AI30" i="2"/>
  <c r="AI16" i="1"/>
  <c r="AS29" i="6"/>
  <c r="AS18" i="2"/>
  <c r="P22" i="1"/>
  <c r="K22" i="1"/>
  <c r="E21" i="5"/>
  <c r="F21" i="5" s="1"/>
  <c r="N21" i="5"/>
  <c r="F6" i="6"/>
  <c r="F21" i="1"/>
  <c r="G141" i="11"/>
  <c r="F143" i="11"/>
  <c r="G143" i="11" s="1"/>
  <c r="AS31" i="6"/>
  <c r="AS16" i="2"/>
  <c r="F8" i="1"/>
  <c r="N28" i="6"/>
  <c r="E28" i="6"/>
  <c r="F28" i="6" s="1"/>
  <c r="K7" i="2"/>
  <c r="E28" i="5"/>
  <c r="F28" i="5" s="1"/>
  <c r="N28" i="5"/>
  <c r="J43" i="17"/>
  <c r="J44" i="17" s="1"/>
  <c r="E43" i="17"/>
  <c r="I42" i="10"/>
  <c r="D10" i="5"/>
  <c r="D14" i="5"/>
  <c r="D7" i="5"/>
  <c r="D8" i="5"/>
  <c r="D9" i="5"/>
  <c r="D26" i="5"/>
  <c r="D20" i="5"/>
  <c r="D27" i="5"/>
  <c r="D22" i="5"/>
  <c r="D28" i="5"/>
  <c r="D13" i="5"/>
  <c r="I91" i="12"/>
  <c r="I90" i="12"/>
  <c r="I92" i="12"/>
  <c r="I89" i="12"/>
  <c r="I88" i="12"/>
  <c r="I70" i="12"/>
  <c r="I81" i="12"/>
  <c r="G136" i="15"/>
  <c r="F138" i="15"/>
  <c r="G138" i="15" s="1"/>
  <c r="F10" i="5"/>
  <c r="F8" i="5"/>
  <c r="F7" i="5"/>
  <c r="F20" i="5"/>
  <c r="F9" i="5"/>
  <c r="F25" i="5"/>
  <c r="F24" i="5"/>
  <c r="AN6" i="6"/>
  <c r="AN23" i="6"/>
  <c r="AM10" i="2"/>
  <c r="AN25" i="6"/>
  <c r="AN28" i="6"/>
  <c r="AN24" i="6"/>
  <c r="AN27" i="6"/>
  <c r="AN26" i="6"/>
  <c r="AN21" i="6"/>
  <c r="AN20" i="6"/>
  <c r="AN19" i="6"/>
  <c r="AN29" i="6"/>
  <c r="AN22" i="6"/>
  <c r="AN5" i="6"/>
  <c r="AN8" i="6"/>
  <c r="F5" i="1"/>
  <c r="AY10" i="2"/>
  <c r="G30" i="1"/>
  <c r="AF20" i="6"/>
  <c r="AF19" i="6"/>
  <c r="AF23" i="6"/>
  <c r="AF13" i="6"/>
  <c r="AE10" i="2"/>
  <c r="AF24" i="6"/>
  <c r="AF8" i="6"/>
  <c r="AF6" i="6"/>
  <c r="AF28" i="6"/>
  <c r="AF25" i="6"/>
  <c r="AF26" i="6"/>
  <c r="AF21" i="6"/>
  <c r="AF22" i="6"/>
  <c r="AF27" i="6"/>
  <c r="AF5" i="6"/>
  <c r="AF29" i="6"/>
  <c r="X7" i="1"/>
  <c r="W10" i="1"/>
  <c r="D25" i="5"/>
  <c r="F23" i="6"/>
  <c r="D26" i="6"/>
  <c r="W33" i="1"/>
  <c r="C28" i="2"/>
  <c r="AD19" i="6"/>
  <c r="AC29" i="6"/>
  <c r="AC18" i="2"/>
  <c r="M19" i="6"/>
  <c r="D5" i="5"/>
  <c r="E16" i="1"/>
  <c r="E11" i="1"/>
  <c r="J14" i="1"/>
  <c r="F10" i="1"/>
  <c r="F22" i="1"/>
  <c r="F13" i="1"/>
  <c r="J16" i="1"/>
  <c r="AF7" i="1"/>
  <c r="AE10" i="1"/>
  <c r="R24" i="1"/>
  <c r="M24" i="1"/>
  <c r="D20" i="6"/>
  <c r="C29" i="6"/>
  <c r="D29" i="6" s="1"/>
  <c r="D22" i="6"/>
  <c r="C19" i="2"/>
  <c r="K28" i="2"/>
  <c r="AG30" i="1"/>
  <c r="AH30" i="1" s="1"/>
  <c r="AH16" i="1"/>
  <c r="J38" i="18"/>
  <c r="K36" i="18"/>
  <c r="BC12" i="5"/>
  <c r="BC15" i="5" s="1"/>
  <c r="BC17" i="5" s="1"/>
  <c r="BC31" i="5" s="1"/>
  <c r="R26" i="1"/>
  <c r="M26" i="1"/>
  <c r="N12" i="5"/>
  <c r="N15" i="5" s="1"/>
  <c r="M15" i="5"/>
  <c r="E12" i="5"/>
  <c r="G30" i="2"/>
  <c r="G34" i="2" s="1"/>
  <c r="F27" i="1"/>
  <c r="P19" i="1"/>
  <c r="O28" i="1"/>
  <c r="P28" i="1" s="1"/>
  <c r="K19" i="1"/>
  <c r="C9" i="20"/>
  <c r="I7" i="20"/>
  <c r="M17" i="6"/>
  <c r="C21" i="5"/>
  <c r="L21" i="5"/>
  <c r="K29" i="5"/>
  <c r="L29" i="5" s="1"/>
  <c r="K48" i="11"/>
  <c r="N48" i="11"/>
  <c r="J49" i="11"/>
  <c r="F26" i="5"/>
  <c r="F22" i="5"/>
  <c r="H34" i="8"/>
  <c r="E34" i="8"/>
  <c r="AY20" i="1"/>
  <c r="AY28" i="2"/>
  <c r="K20" i="2"/>
  <c r="C20" i="2" s="1"/>
  <c r="D9" i="6"/>
  <c r="F7" i="1"/>
  <c r="AL16" i="1"/>
  <c r="AK30" i="1"/>
  <c r="AL30" i="1" s="1"/>
  <c r="I28" i="1"/>
  <c r="I30" i="2"/>
  <c r="F13" i="6"/>
  <c r="D23" i="5"/>
  <c r="D6" i="5"/>
  <c r="T40" i="27"/>
  <c r="S43" i="27"/>
  <c r="F6" i="5"/>
  <c r="K49" i="10"/>
  <c r="J51" i="10"/>
  <c r="M15" i="6"/>
  <c r="N12" i="6"/>
  <c r="N15" i="6" s="1"/>
  <c r="E12" i="6"/>
  <c r="D19" i="5"/>
  <c r="F9" i="1"/>
  <c r="F7" i="6"/>
  <c r="N17" i="5"/>
  <c r="F27" i="6"/>
  <c r="W15" i="5"/>
  <c r="W17" i="5" s="1"/>
  <c r="X12" i="5"/>
  <c r="X15" i="5" s="1"/>
  <c r="L136" i="15"/>
  <c r="M62" i="15"/>
  <c r="AS19" i="5"/>
  <c r="AS29" i="5" s="1"/>
  <c r="AS31" i="5" s="1"/>
  <c r="E20" i="1"/>
  <c r="F20" i="1" s="1"/>
  <c r="AO16" i="1"/>
  <c r="M16" i="1" s="1"/>
  <c r="AO30" i="2"/>
  <c r="AO31" i="2" s="1"/>
  <c r="D23" i="6"/>
  <c r="K46" i="12"/>
  <c r="N46" i="12"/>
  <c r="J47" i="12"/>
  <c r="I50" i="14"/>
  <c r="H50" i="14"/>
  <c r="L10" i="6"/>
  <c r="L19" i="6"/>
  <c r="L27" i="6"/>
  <c r="L5" i="6"/>
  <c r="L25" i="6"/>
  <c r="L28" i="6"/>
  <c r="L24" i="6"/>
  <c r="L22" i="6"/>
  <c r="L21" i="6"/>
  <c r="L6" i="6"/>
  <c r="L9" i="6"/>
  <c r="L13" i="6"/>
  <c r="L8" i="6"/>
  <c r="AN7" i="1"/>
  <c r="AM10" i="1"/>
  <c r="E14" i="1"/>
  <c r="F14" i="1" s="1"/>
  <c r="F12" i="1"/>
  <c r="K34" i="8"/>
  <c r="J39" i="8"/>
  <c r="N34" i="8"/>
  <c r="D10" i="6"/>
  <c r="D14" i="6"/>
  <c r="D25" i="6"/>
  <c r="D24" i="6"/>
  <c r="D5" i="6"/>
  <c r="D28" i="6"/>
  <c r="D13" i="6"/>
  <c r="D19" i="6"/>
  <c r="D21" i="6"/>
  <c r="D27" i="6"/>
  <c r="I42" i="12"/>
  <c r="D24" i="5"/>
  <c r="AD19" i="5"/>
  <c r="AC29" i="5"/>
  <c r="M19" i="5"/>
  <c r="D6" i="6"/>
  <c r="Q28" i="2"/>
  <c r="Q30" i="2" s="1"/>
  <c r="Q31" i="2" s="1"/>
  <c r="M141" i="11"/>
  <c r="L143" i="11"/>
  <c r="M143" i="11" s="1"/>
  <c r="E16" i="2"/>
  <c r="F10" i="2"/>
  <c r="F9" i="2"/>
  <c r="F8" i="2"/>
  <c r="F5" i="2"/>
  <c r="F7" i="2"/>
  <c r="K40" i="9"/>
  <c r="J42" i="9"/>
  <c r="S12" i="5"/>
  <c r="C11" i="20"/>
  <c r="E47" i="14"/>
  <c r="D49" i="14"/>
  <c r="AM12" i="6"/>
  <c r="D7" i="6"/>
  <c r="F10" i="6"/>
  <c r="F8" i="6"/>
  <c r="F22" i="6"/>
  <c r="F20" i="6"/>
  <c r="F9" i="6"/>
  <c r="J49" i="15"/>
  <c r="J50" i="15" s="1"/>
  <c r="J138" i="15" s="1"/>
  <c r="AQ12" i="5"/>
  <c r="AQ15" i="5" s="1"/>
  <c r="AQ17" i="5" s="1"/>
  <c r="AQ31" i="5" s="1"/>
  <c r="C27" i="23"/>
  <c r="C18" i="23"/>
  <c r="N16" i="1" l="1"/>
  <c r="C19" i="1"/>
  <c r="O34" i="8"/>
  <c r="N39" i="8"/>
  <c r="O46" i="12"/>
  <c r="N47" i="12"/>
  <c r="N49" i="12" s="1"/>
  <c r="N50" i="12" s="1"/>
  <c r="O50" i="12" s="1"/>
  <c r="K39" i="8"/>
  <c r="O12" i="5"/>
  <c r="J41" i="8"/>
  <c r="W31" i="5"/>
  <c r="X31" i="5" s="1"/>
  <c r="X17" i="5"/>
  <c r="C30" i="23"/>
  <c r="D35" i="18" s="1"/>
  <c r="D36" i="18" s="1"/>
  <c r="C24" i="23"/>
  <c r="D48" i="11" s="1"/>
  <c r="C29" i="23"/>
  <c r="D43" i="17" s="1"/>
  <c r="D44" i="17" s="1"/>
  <c r="C23" i="23"/>
  <c r="D46" i="10" s="1"/>
  <c r="C21" i="23"/>
  <c r="D38" i="8" s="1"/>
  <c r="C22" i="23"/>
  <c r="D39" i="9" s="1"/>
  <c r="D40" i="9" s="1"/>
  <c r="C25" i="23"/>
  <c r="D46" i="12" s="1"/>
  <c r="C26" i="23"/>
  <c r="D46" i="15" s="1"/>
  <c r="D47" i="15" s="1"/>
  <c r="C28" i="23"/>
  <c r="D45" i="16" s="1"/>
  <c r="D46" i="16" s="1"/>
  <c r="AM15" i="6"/>
  <c r="AM17" i="6" s="1"/>
  <c r="AM31" i="6" s="1"/>
  <c r="AM12" i="2"/>
  <c r="E15" i="5"/>
  <c r="E17" i="5" s="1"/>
  <c r="F12" i="5"/>
  <c r="F15" i="5" s="1"/>
  <c r="AY33" i="1"/>
  <c r="AY35" i="1" s="1"/>
  <c r="AS30" i="2"/>
  <c r="AS16" i="1"/>
  <c r="AS28" i="2"/>
  <c r="AS28" i="1" s="1"/>
  <c r="AS18" i="1"/>
  <c r="BG16" i="2"/>
  <c r="BG33" i="1"/>
  <c r="BG35" i="1" s="1"/>
  <c r="C25" i="1"/>
  <c r="D21" i="5"/>
  <c r="C29" i="5"/>
  <c r="D29" i="5" s="1"/>
  <c r="E17" i="1"/>
  <c r="F16" i="1"/>
  <c r="AO30" i="1"/>
  <c r="AP30" i="1" s="1"/>
  <c r="AP16" i="1"/>
  <c r="AY28" i="1"/>
  <c r="K20" i="1"/>
  <c r="K7" i="1"/>
  <c r="AI30" i="1"/>
  <c r="AJ30" i="1" s="1"/>
  <c r="AJ16" i="1"/>
  <c r="AM11" i="1"/>
  <c r="AM35" i="1"/>
  <c r="AN21" i="1"/>
  <c r="AN18" i="1"/>
  <c r="AN5" i="1"/>
  <c r="AN13" i="1"/>
  <c r="AN26" i="1"/>
  <c r="AN9" i="1"/>
  <c r="AN23" i="1"/>
  <c r="AN22" i="1"/>
  <c r="AN25" i="1"/>
  <c r="AN24" i="1"/>
  <c r="AN19" i="1"/>
  <c r="AN6" i="1"/>
  <c r="AN27" i="1"/>
  <c r="AN8" i="1"/>
  <c r="AN20" i="1"/>
  <c r="AN28" i="1"/>
  <c r="N17" i="6"/>
  <c r="M31" i="6"/>
  <c r="N31" i="6" s="1"/>
  <c r="N26" i="1"/>
  <c r="E26" i="1"/>
  <c r="F26" i="1" s="1"/>
  <c r="N24" i="1"/>
  <c r="E24" i="1"/>
  <c r="F24" i="1" s="1"/>
  <c r="M29" i="6"/>
  <c r="N19" i="6"/>
  <c r="E19" i="6"/>
  <c r="F19" i="6" s="1"/>
  <c r="X6" i="1"/>
  <c r="X22" i="1"/>
  <c r="X19" i="1"/>
  <c r="W11" i="1"/>
  <c r="W35" i="1"/>
  <c r="X8" i="1"/>
  <c r="X23" i="1"/>
  <c r="X13" i="1"/>
  <c r="X20" i="1"/>
  <c r="X26" i="1"/>
  <c r="X9" i="1"/>
  <c r="X5" i="1"/>
  <c r="X18" i="1"/>
  <c r="X27" i="1"/>
  <c r="X25" i="1"/>
  <c r="X21" i="1"/>
  <c r="X24" i="1"/>
  <c r="X28" i="1"/>
  <c r="AM33" i="1"/>
  <c r="AI34" i="2"/>
  <c r="AI31" i="2"/>
  <c r="E49" i="14"/>
  <c r="D50" i="14"/>
  <c r="AC18" i="1"/>
  <c r="AC28" i="2"/>
  <c r="M18" i="2"/>
  <c r="AE33" i="1"/>
  <c r="AE35" i="1" s="1"/>
  <c r="K42" i="9"/>
  <c r="J43" i="9"/>
  <c r="N19" i="5"/>
  <c r="M29" i="5"/>
  <c r="E19" i="5"/>
  <c r="F19" i="5" s="1"/>
  <c r="F12" i="6"/>
  <c r="F15" i="6" s="1"/>
  <c r="E15" i="6"/>
  <c r="E17" i="6" s="1"/>
  <c r="I34" i="8"/>
  <c r="I9" i="20"/>
  <c r="I16" i="20" s="1"/>
  <c r="I17" i="20" s="1"/>
  <c r="C16" i="20"/>
  <c r="AF13" i="1"/>
  <c r="AF20" i="1"/>
  <c r="AE11" i="1"/>
  <c r="AF9" i="1"/>
  <c r="AF25" i="1"/>
  <c r="AF23" i="1"/>
  <c r="AF18" i="1"/>
  <c r="AF24" i="1"/>
  <c r="AF27" i="1"/>
  <c r="AF22" i="1"/>
  <c r="AF5" i="1"/>
  <c r="AF26" i="1"/>
  <c r="AF21" i="1"/>
  <c r="AF6" i="1"/>
  <c r="AF8" i="1"/>
  <c r="AF19" i="1"/>
  <c r="AF28" i="1"/>
  <c r="AD29" i="6"/>
  <c r="AC31" i="6"/>
  <c r="AD31" i="6" s="1"/>
  <c r="J46" i="17"/>
  <c r="K44" i="17"/>
  <c r="AY12" i="5"/>
  <c r="AY15" i="5" s="1"/>
  <c r="AY17" i="5" s="1"/>
  <c r="AY31" i="5" s="1"/>
  <c r="C24" i="1"/>
  <c r="R28" i="1"/>
  <c r="Q30" i="1"/>
  <c r="R30" i="1" s="1"/>
  <c r="R25" i="1"/>
  <c r="M25" i="1"/>
  <c r="S15" i="5"/>
  <c r="S17" i="5" s="1"/>
  <c r="T12" i="5"/>
  <c r="T15" i="5" s="1"/>
  <c r="M136" i="15"/>
  <c r="L138" i="15"/>
  <c r="M138" i="15" s="1"/>
  <c r="J28" i="1"/>
  <c r="I30" i="1"/>
  <c r="J30" i="1" s="1"/>
  <c r="K38" i="18"/>
  <c r="K53" i="18"/>
  <c r="J53" i="18"/>
  <c r="J39" i="18"/>
  <c r="N23" i="1"/>
  <c r="E23" i="1"/>
  <c r="F23" i="1" s="1"/>
  <c r="J51" i="11"/>
  <c r="K49" i="11"/>
  <c r="AA12" i="5"/>
  <c r="J125" i="14"/>
  <c r="K125" i="14" s="1"/>
  <c r="K50" i="14"/>
  <c r="C14" i="20"/>
  <c r="I11" i="20"/>
  <c r="I14" i="20" s="1"/>
  <c r="AD29" i="5"/>
  <c r="AC31" i="5"/>
  <c r="AD31" i="5" s="1"/>
  <c r="K51" i="10"/>
  <c r="J140" i="10"/>
  <c r="C7" i="2"/>
  <c r="K10" i="2"/>
  <c r="J49" i="12"/>
  <c r="K47" i="12"/>
  <c r="AE12" i="5"/>
  <c r="O48" i="11"/>
  <c r="N49" i="11"/>
  <c r="N51" i="11" s="1"/>
  <c r="N52" i="11" s="1"/>
  <c r="O52" i="11" s="1"/>
  <c r="C22" i="1"/>
  <c r="K140" i="10" l="1"/>
  <c r="W33" i="5"/>
  <c r="W34" i="5" s="1"/>
  <c r="AC28" i="1"/>
  <c r="AC30" i="2"/>
  <c r="AC31" i="2" s="1"/>
  <c r="D48" i="16"/>
  <c r="E46" i="16"/>
  <c r="AU12" i="6"/>
  <c r="K41" i="8"/>
  <c r="J42" i="8"/>
  <c r="K49" i="12"/>
  <c r="J50" i="12"/>
  <c r="K46" i="17"/>
  <c r="J47" i="17"/>
  <c r="J123" i="17" s="1"/>
  <c r="K123" i="17" s="1"/>
  <c r="AD18" i="1"/>
  <c r="M18" i="1"/>
  <c r="D49" i="15"/>
  <c r="D50" i="15" s="1"/>
  <c r="D138" i="15" s="1"/>
  <c r="AQ12" i="6"/>
  <c r="P12" i="5"/>
  <c r="P15" i="5" s="1"/>
  <c r="AE1" i="5"/>
  <c r="O15" i="5"/>
  <c r="O17" i="5" s="1"/>
  <c r="K33" i="1"/>
  <c r="K51" i="11"/>
  <c r="J52" i="11"/>
  <c r="E31" i="6"/>
  <c r="F31" i="6" s="1"/>
  <c r="F17" i="6"/>
  <c r="E50" i="14"/>
  <c r="D125" i="14"/>
  <c r="E125" i="14" s="1"/>
  <c r="AS30" i="1"/>
  <c r="AT30" i="1" s="1"/>
  <c r="E46" i="12"/>
  <c r="H46" i="12"/>
  <c r="D47" i="12"/>
  <c r="C17" i="20"/>
  <c r="C31" i="20"/>
  <c r="E40" i="9"/>
  <c r="S12" i="6"/>
  <c r="D42" i="9"/>
  <c r="AE15" i="5"/>
  <c r="AE17" i="5" s="1"/>
  <c r="AF12" i="5"/>
  <c r="AF15" i="5" s="1"/>
  <c r="N29" i="6"/>
  <c r="E29" i="6"/>
  <c r="F29" i="6" s="1"/>
  <c r="D7" i="2"/>
  <c r="C10" i="2"/>
  <c r="H46" i="10"/>
  <c r="D47" i="10"/>
  <c r="O39" i="8"/>
  <c r="N41" i="8"/>
  <c r="J127" i="9"/>
  <c r="K127" i="9" s="1"/>
  <c r="K43" i="9"/>
  <c r="E31" i="5"/>
  <c r="F31" i="5" s="1"/>
  <c r="F17" i="5"/>
  <c r="H48" i="11"/>
  <c r="E48" i="11"/>
  <c r="D49" i="11"/>
  <c r="L20" i="1"/>
  <c r="C20" i="1"/>
  <c r="S31" i="5"/>
  <c r="T31" i="5" s="1"/>
  <c r="T17" i="5"/>
  <c r="H38" i="8"/>
  <c r="E38" i="8"/>
  <c r="D39" i="8"/>
  <c r="N25" i="1"/>
  <c r="E25" i="1"/>
  <c r="F25" i="1" s="1"/>
  <c r="N29" i="5"/>
  <c r="E29" i="5"/>
  <c r="F29" i="5" s="1"/>
  <c r="M31" i="5"/>
  <c r="N31" i="5" s="1"/>
  <c r="E44" i="17"/>
  <c r="D46" i="17"/>
  <c r="AY12" i="6"/>
  <c r="E36" i="18"/>
  <c r="D38" i="18"/>
  <c r="BC12" i="6"/>
  <c r="C7" i="1"/>
  <c r="L7" i="1"/>
  <c r="K10" i="1"/>
  <c r="K28" i="1"/>
  <c r="L28" i="1" s="1"/>
  <c r="AM14" i="2"/>
  <c r="AM16" i="2" s="1"/>
  <c r="AM12" i="1"/>
  <c r="M28" i="2"/>
  <c r="E18" i="2"/>
  <c r="BG16" i="1"/>
  <c r="BG30" i="1" s="1"/>
  <c r="BG30" i="2"/>
  <c r="BG34" i="2" s="1"/>
  <c r="AM33" i="2"/>
  <c r="AN31" i="6"/>
  <c r="AB12" i="5"/>
  <c r="AB15" i="5" s="1"/>
  <c r="AA15" i="5"/>
  <c r="AA17" i="5" s="1"/>
  <c r="AQ15" i="6" l="1"/>
  <c r="AQ17" i="6" s="1"/>
  <c r="AQ31" i="6" s="1"/>
  <c r="AQ33" i="2" s="1"/>
  <c r="AQ12" i="2"/>
  <c r="BC15" i="6"/>
  <c r="BC17" i="6" s="1"/>
  <c r="BC31" i="6" s="1"/>
  <c r="BC33" i="2" s="1"/>
  <c r="BC12" i="2"/>
  <c r="C15" i="27"/>
  <c r="D41" i="8"/>
  <c r="O12" i="6"/>
  <c r="E39" i="8"/>
  <c r="M28" i="1"/>
  <c r="E18" i="1"/>
  <c r="F18" i="1" s="1"/>
  <c r="N18" i="1"/>
  <c r="AD28" i="1"/>
  <c r="AC30" i="1"/>
  <c r="AD30" i="1" s="1"/>
  <c r="E38" i="18"/>
  <c r="E53" i="18"/>
  <c r="D39" i="18"/>
  <c r="D53" i="18"/>
  <c r="AE31" i="5"/>
  <c r="AF31" i="5" s="1"/>
  <c r="AF17" i="5"/>
  <c r="I38" i="8"/>
  <c r="H39" i="8"/>
  <c r="E42" i="9"/>
  <c r="D43" i="9"/>
  <c r="M30" i="2"/>
  <c r="M31" i="2" s="1"/>
  <c r="E28" i="2"/>
  <c r="E30" i="2" s="1"/>
  <c r="E31" i="2" s="1"/>
  <c r="O41" i="8"/>
  <c r="N42" i="8"/>
  <c r="N132" i="8" s="1"/>
  <c r="O132" i="8" s="1"/>
  <c r="S15" i="6"/>
  <c r="S17" i="6" s="1"/>
  <c r="T12" i="6"/>
  <c r="T15" i="6" s="1"/>
  <c r="S12" i="2"/>
  <c r="J143" i="11"/>
  <c r="K143" i="11" s="1"/>
  <c r="K52" i="11"/>
  <c r="AY15" i="6"/>
  <c r="AY17" i="6" s="1"/>
  <c r="AY31" i="6" s="1"/>
  <c r="AY33" i="2" s="1"/>
  <c r="AY12" i="2"/>
  <c r="E48" i="16"/>
  <c r="E49" i="16"/>
  <c r="D49" i="16"/>
  <c r="D136" i="16" s="1"/>
  <c r="E136" i="16" s="1"/>
  <c r="E46" i="17"/>
  <c r="D47" i="17"/>
  <c r="D123" i="17" s="1"/>
  <c r="E123" i="17" s="1"/>
  <c r="I46" i="10"/>
  <c r="H47" i="10"/>
  <c r="H49" i="10" s="1"/>
  <c r="H51" i="10" s="1"/>
  <c r="I51" i="10" s="1"/>
  <c r="J132" i="8"/>
  <c r="K132" i="8" s="1"/>
  <c r="K42" i="8"/>
  <c r="L10" i="1"/>
  <c r="K35" i="1"/>
  <c r="L26" i="1"/>
  <c r="L5" i="1"/>
  <c r="L8" i="1"/>
  <c r="L18" i="1"/>
  <c r="L21" i="1"/>
  <c r="L6" i="1"/>
  <c r="L23" i="1"/>
  <c r="L9" i="1"/>
  <c r="L13" i="1"/>
  <c r="L27" i="1"/>
  <c r="L19" i="1"/>
  <c r="L25" i="1"/>
  <c r="L22" i="1"/>
  <c r="L24" i="1"/>
  <c r="D51" i="11"/>
  <c r="E49" i="11"/>
  <c r="AA12" i="6"/>
  <c r="C33" i="1"/>
  <c r="D10" i="2"/>
  <c r="D9" i="2"/>
  <c r="D6" i="2"/>
  <c r="D21" i="2"/>
  <c r="D23" i="2"/>
  <c r="D5" i="2"/>
  <c r="D26" i="2"/>
  <c r="D8" i="2"/>
  <c r="D27" i="2"/>
  <c r="D13" i="2"/>
  <c r="D18" i="2"/>
  <c r="D22" i="2"/>
  <c r="D25" i="2"/>
  <c r="D24" i="2"/>
  <c r="D19" i="2"/>
  <c r="D20" i="2"/>
  <c r="D28" i="2"/>
  <c r="C10" i="25"/>
  <c r="C13" i="25" s="1"/>
  <c r="C15" i="25" s="1"/>
  <c r="D49" i="12"/>
  <c r="E47" i="12"/>
  <c r="AE12" i="6"/>
  <c r="O31" i="5"/>
  <c r="P17" i="5"/>
  <c r="AM14" i="1"/>
  <c r="AN12" i="1"/>
  <c r="K50" i="12"/>
  <c r="J142" i="12"/>
  <c r="C28" i="1"/>
  <c r="C32" i="20"/>
  <c r="I31" i="20"/>
  <c r="I32" i="20" s="1"/>
  <c r="AA31" i="5"/>
  <c r="AB31" i="5" s="1"/>
  <c r="AB17" i="5"/>
  <c r="I46" i="12"/>
  <c r="H47" i="12"/>
  <c r="H49" i="12" s="1"/>
  <c r="H50" i="12" s="1"/>
  <c r="I50" i="12" s="1"/>
  <c r="K15" i="5"/>
  <c r="K17" i="5" s="1"/>
  <c r="L12" i="5"/>
  <c r="L15" i="5" s="1"/>
  <c r="C12" i="5"/>
  <c r="AU15" i="6"/>
  <c r="AU17" i="6" s="1"/>
  <c r="AU31" i="6" s="1"/>
  <c r="AU33" i="2" s="1"/>
  <c r="AU12" i="2"/>
  <c r="AM16" i="1"/>
  <c r="AM30" i="2"/>
  <c r="D49" i="10"/>
  <c r="W12" i="6"/>
  <c r="C10" i="1"/>
  <c r="D20" i="1" s="1"/>
  <c r="I48" i="11"/>
  <c r="H49" i="11"/>
  <c r="H51" i="11" s="1"/>
  <c r="H52" i="11" s="1"/>
  <c r="I52" i="11" s="1"/>
  <c r="P31" i="5" l="1"/>
  <c r="O34" i="5"/>
  <c r="C10" i="26"/>
  <c r="C12" i="26" s="1"/>
  <c r="C14" i="26" s="1"/>
  <c r="AA15" i="6"/>
  <c r="AA17" i="6" s="1"/>
  <c r="AB12" i="6"/>
  <c r="AB15" i="6" s="1"/>
  <c r="AA12" i="2"/>
  <c r="W1" i="6"/>
  <c r="W15" i="6"/>
  <c r="W17" i="6" s="1"/>
  <c r="X12" i="6"/>
  <c r="X15" i="6" s="1"/>
  <c r="C10" i="3"/>
  <c r="C12" i="3" s="1"/>
  <c r="C15" i="3" s="1"/>
  <c r="W12" i="2"/>
  <c r="E51" i="11"/>
  <c r="D52" i="11"/>
  <c r="E49" i="10"/>
  <c r="D51" i="10"/>
  <c r="AM31" i="2"/>
  <c r="AM34" i="2"/>
  <c r="C16" i="25"/>
  <c r="C30" i="25"/>
  <c r="C31" i="25" s="1"/>
  <c r="AY12" i="1"/>
  <c r="AY14" i="1" s="1"/>
  <c r="AY14" i="2"/>
  <c r="AY16" i="2" s="1"/>
  <c r="D127" i="9"/>
  <c r="E127" i="9" s="1"/>
  <c r="E43" i="9"/>
  <c r="AN16" i="1"/>
  <c r="AM30" i="1"/>
  <c r="AN30" i="1" s="1"/>
  <c r="D28" i="1"/>
  <c r="H41" i="8"/>
  <c r="I39" i="8"/>
  <c r="N28" i="1"/>
  <c r="M30" i="1"/>
  <c r="N30" i="1" s="1"/>
  <c r="E28" i="1"/>
  <c r="E49" i="12"/>
  <c r="D50" i="12"/>
  <c r="N142" i="12"/>
  <c r="O142" i="12" s="1"/>
  <c r="K142" i="12"/>
  <c r="O15" i="6"/>
  <c r="O17" i="6" s="1"/>
  <c r="P12" i="6"/>
  <c r="P15" i="6" s="1"/>
  <c r="O12" i="2"/>
  <c r="K12" i="6"/>
  <c r="AA1" i="6" s="1"/>
  <c r="C15" i="5"/>
  <c r="C17" i="5" s="1"/>
  <c r="D12" i="5"/>
  <c r="D15" i="5" s="1"/>
  <c r="S14" i="2"/>
  <c r="S16" i="2" s="1"/>
  <c r="S12" i="1"/>
  <c r="E41" i="8"/>
  <c r="D42" i="8"/>
  <c r="AU12" i="1"/>
  <c r="AU14" i="2"/>
  <c r="AU16" i="2" s="1"/>
  <c r="D15" i="27"/>
  <c r="Y15" i="27"/>
  <c r="C18" i="27"/>
  <c r="J12" i="1"/>
  <c r="J21" i="1"/>
  <c r="C35" i="1"/>
  <c r="C11" i="1"/>
  <c r="H20" i="1"/>
  <c r="J27" i="1"/>
  <c r="J18" i="1"/>
  <c r="D10" i="1"/>
  <c r="J26" i="1"/>
  <c r="H22" i="1"/>
  <c r="H25" i="1"/>
  <c r="J22" i="1"/>
  <c r="H27" i="1"/>
  <c r="J23" i="1"/>
  <c r="H23" i="1"/>
  <c r="H21" i="1"/>
  <c r="D8" i="1"/>
  <c r="H24" i="1"/>
  <c r="D5" i="1"/>
  <c r="H12" i="1"/>
  <c r="J25" i="1"/>
  <c r="H26" i="1"/>
  <c r="J24" i="1"/>
  <c r="D21" i="1"/>
  <c r="J19" i="1"/>
  <c r="D9" i="1"/>
  <c r="H14" i="1"/>
  <c r="H19" i="1"/>
  <c r="D26" i="1"/>
  <c r="D23" i="1"/>
  <c r="D6" i="1"/>
  <c r="D13" i="1"/>
  <c r="J20" i="1"/>
  <c r="H18" i="1"/>
  <c r="D27" i="1"/>
  <c r="H28" i="1"/>
  <c r="H16" i="1"/>
  <c r="D18" i="1"/>
  <c r="H30" i="1"/>
  <c r="D19" i="1"/>
  <c r="D24" i="1"/>
  <c r="D25" i="1"/>
  <c r="D22" i="1"/>
  <c r="K31" i="5"/>
  <c r="L17" i="5"/>
  <c r="S31" i="6"/>
  <c r="T17" i="6"/>
  <c r="BC14" i="2"/>
  <c r="BC16" i="2" s="1"/>
  <c r="BC12" i="1"/>
  <c r="BC14" i="1" s="1"/>
  <c r="AQ14" i="2"/>
  <c r="AQ12" i="1"/>
  <c r="AR12" i="1" s="1"/>
  <c r="D7" i="1"/>
  <c r="AE15" i="6"/>
  <c r="AE17" i="6" s="1"/>
  <c r="AF12" i="6"/>
  <c r="AF15" i="6" s="1"/>
  <c r="AE12" i="2"/>
  <c r="AE1" i="6"/>
  <c r="L31" i="5" l="1"/>
  <c r="K34" i="5"/>
  <c r="AA15" i="27"/>
  <c r="Y18" i="27"/>
  <c r="E52" i="11"/>
  <c r="D143" i="11"/>
  <c r="E143" i="11" s="1"/>
  <c r="AU16" i="1"/>
  <c r="AU30" i="2"/>
  <c r="AU34" i="2" s="1"/>
  <c r="W12" i="1"/>
  <c r="W14" i="2"/>
  <c r="W16" i="2" s="1"/>
  <c r="C16" i="3"/>
  <c r="C30" i="3"/>
  <c r="C31" i="3" s="1"/>
  <c r="AE12" i="1"/>
  <c r="AE14" i="2"/>
  <c r="AE16" i="2" s="1"/>
  <c r="AV12" i="1"/>
  <c r="AU14" i="1"/>
  <c r="AE31" i="6"/>
  <c r="AF17" i="6"/>
  <c r="W31" i="6"/>
  <c r="X17" i="6"/>
  <c r="T31" i="6"/>
  <c r="S33" i="2"/>
  <c r="D132" i="8"/>
  <c r="E42" i="8"/>
  <c r="T12" i="1"/>
  <c r="S14" i="1"/>
  <c r="AA14" i="2"/>
  <c r="AA16" i="2" s="1"/>
  <c r="AA12" i="1"/>
  <c r="AY16" i="1"/>
  <c r="AY30" i="1" s="1"/>
  <c r="AY30" i="2"/>
  <c r="AY34" i="2" s="1"/>
  <c r="F28" i="1"/>
  <c r="E30" i="1"/>
  <c r="F30" i="1" s="1"/>
  <c r="S30" i="2"/>
  <c r="S16" i="1"/>
  <c r="AQ14" i="1"/>
  <c r="AQ16" i="2"/>
  <c r="C31" i="5"/>
  <c r="D17" i="5"/>
  <c r="O31" i="6"/>
  <c r="O35" i="6" s="1"/>
  <c r="P17" i="6"/>
  <c r="BC16" i="1"/>
  <c r="BC30" i="1" s="1"/>
  <c r="BC30" i="2"/>
  <c r="BC34" i="2" s="1"/>
  <c r="K15" i="6"/>
  <c r="K17" i="6" s="1"/>
  <c r="L12" i="6"/>
  <c r="L15" i="6" s="1"/>
  <c r="C12" i="6"/>
  <c r="I41" i="8"/>
  <c r="H42" i="8"/>
  <c r="H132" i="8" s="1"/>
  <c r="I132" i="8" s="1"/>
  <c r="E51" i="10"/>
  <c r="D140" i="10"/>
  <c r="W33" i="6" s="1"/>
  <c r="AA31" i="6"/>
  <c r="AB17" i="6"/>
  <c r="D142" i="12"/>
  <c r="E50" i="12"/>
  <c r="D18" i="27"/>
  <c r="C20" i="27"/>
  <c r="O14" i="2"/>
  <c r="K12" i="2"/>
  <c r="O12" i="1"/>
  <c r="C29" i="26"/>
  <c r="C15" i="26"/>
  <c r="D31" i="5" l="1"/>
  <c r="C34" i="5"/>
  <c r="W35" i="6"/>
  <c r="K33" i="6"/>
  <c r="AE30" i="2"/>
  <c r="AE16" i="1"/>
  <c r="AE14" i="1"/>
  <c r="AF12" i="1"/>
  <c r="AB31" i="6"/>
  <c r="AA33" i="2"/>
  <c r="AQ30" i="2"/>
  <c r="AQ34" i="2" s="1"/>
  <c r="AQ16" i="1"/>
  <c r="W14" i="1"/>
  <c r="X12" i="1"/>
  <c r="E140" i="10"/>
  <c r="H140" i="10"/>
  <c r="I140" i="10" s="1"/>
  <c r="K12" i="1"/>
  <c r="P12" i="1"/>
  <c r="D12" i="6"/>
  <c r="D15" i="6" s="1"/>
  <c r="C15" i="6"/>
  <c r="C17" i="6" s="1"/>
  <c r="X31" i="6"/>
  <c r="W33" i="2"/>
  <c r="AU30" i="1"/>
  <c r="AV30" i="1" s="1"/>
  <c r="AV16" i="1"/>
  <c r="C30" i="26"/>
  <c r="P4" i="26"/>
  <c r="P5" i="26" s="1"/>
  <c r="S30" i="1"/>
  <c r="T30" i="1" s="1"/>
  <c r="T16" i="1"/>
  <c r="S31" i="2"/>
  <c r="S34" i="2"/>
  <c r="K31" i="6"/>
  <c r="L31" i="6" s="1"/>
  <c r="L17" i="6"/>
  <c r="AF31" i="6"/>
  <c r="AE33" i="2"/>
  <c r="W30" i="2"/>
  <c r="W16" i="1"/>
  <c r="O14" i="1"/>
  <c r="P14" i="1" s="1"/>
  <c r="O16" i="2"/>
  <c r="C40" i="27"/>
  <c r="D20" i="27"/>
  <c r="H142" i="12"/>
  <c r="I142" i="12" s="1"/>
  <c r="E142" i="12"/>
  <c r="AA14" i="1"/>
  <c r="AB12" i="1"/>
  <c r="AA18" i="27"/>
  <c r="Y20" i="27"/>
  <c r="C42" i="27"/>
  <c r="E132" i="8"/>
  <c r="K14" i="2"/>
  <c r="C12" i="2"/>
  <c r="P31" i="6"/>
  <c r="O33" i="2"/>
  <c r="K33" i="2" s="1"/>
  <c r="C33" i="2" s="1"/>
  <c r="AA16" i="1"/>
  <c r="AA30" i="2"/>
  <c r="C33" i="6" l="1"/>
  <c r="C35" i="6" s="1"/>
  <c r="K35" i="6"/>
  <c r="AB16" i="1"/>
  <c r="AA30" i="1"/>
  <c r="AB30" i="1" s="1"/>
  <c r="L12" i="1"/>
  <c r="C12" i="1"/>
  <c r="K14" i="1"/>
  <c r="L14" i="1" s="1"/>
  <c r="K16" i="2"/>
  <c r="C14" i="2"/>
  <c r="D12" i="2"/>
  <c r="W30" i="1"/>
  <c r="X30" i="1" s="1"/>
  <c r="X16" i="1"/>
  <c r="Y40" i="27"/>
  <c r="AA40" i="27" s="1"/>
  <c r="AA20" i="27"/>
  <c r="O16" i="1"/>
  <c r="O30" i="2"/>
  <c r="AR16" i="1"/>
  <c r="AQ30" i="1"/>
  <c r="AR30" i="1" s="1"/>
  <c r="W31" i="2"/>
  <c r="W34" i="2"/>
  <c r="D40" i="27"/>
  <c r="C43" i="27"/>
  <c r="C31" i="6"/>
  <c r="C36" i="2" s="1"/>
  <c r="D17" i="6"/>
  <c r="AA34" i="2"/>
  <c r="AA31" i="2"/>
  <c r="AF16" i="1"/>
  <c r="AE30" i="1"/>
  <c r="AF30" i="1" s="1"/>
  <c r="AE34" i="2"/>
  <c r="AE31" i="2"/>
  <c r="D31" i="6" l="1"/>
  <c r="C14" i="1"/>
  <c r="D12" i="1"/>
  <c r="D14" i="2"/>
  <c r="C16" i="2"/>
  <c r="K16" i="1"/>
  <c r="K30" i="2"/>
  <c r="O34" i="2"/>
  <c r="O31" i="2"/>
  <c r="P16" i="1"/>
  <c r="O30" i="1"/>
  <c r="P30" i="1" s="1"/>
  <c r="K31" i="2" l="1"/>
  <c r="K34" i="2"/>
  <c r="K30" i="1"/>
  <c r="L30" i="1" s="1"/>
  <c r="L16" i="1"/>
  <c r="D14" i="1"/>
  <c r="C16" i="1"/>
  <c r="D16" i="2"/>
  <c r="C30" i="2"/>
  <c r="C31" i="2" l="1"/>
  <c r="C37" i="2"/>
  <c r="C34" i="2"/>
  <c r="D16" i="1"/>
  <c r="C30" i="1"/>
  <c r="D30" i="1" s="1"/>
  <c r="G137" i="18" l="1"/>
  <c r="F137" i="18"/>
  <c r="F53" i="18"/>
  <c r="H137" i="18"/>
  <c r="H53" i="18"/>
  <c r="G79" i="18"/>
  <c r="G80" i="18"/>
  <c r="G105" i="18"/>
  <c r="G112" i="18"/>
  <c r="G77" i="18"/>
  <c r="G74" i="18"/>
  <c r="G75" i="18"/>
  <c r="G76" i="18"/>
  <c r="G82" i="18"/>
  <c r="G135" i="18"/>
  <c r="G89" i="18"/>
  <c r="G95" i="18"/>
  <c r="G53" i="18"/>
  <c r="F23" i="18"/>
  <c r="F26" i="18"/>
  <c r="G108" i="18"/>
  <c r="I76" i="18"/>
  <c r="I77" i="18"/>
  <c r="I74" i="18"/>
  <c r="I79" i="18"/>
  <c r="I53" i="18"/>
  <c r="I80" i="18"/>
  <c r="H23" i="18"/>
  <c r="H26" i="18"/>
  <c r="I75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ID#AAAB3yX9KCM
tc={0b5ec4a3-a9a4-4a2c-b89f-9aee434fb379}    (2026-04-21 11:24:36)
[Threaded comment]
Your version of Excel allows you to read this threaded comment; however, any edits to it will get removed if the file is opened in a newer version of Excel. Learn more: https://go.microsoft.com/fwlink/?linkid=870924
Comment:
    Need to understand 
EDM - Executive Director Meal
NC - (Compleimentary / Service Recovery)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91" authorId="0" shapeId="0" xr:uid="{00000000-0006-0000-0600-000003000000}">
      <text>
        <r>
          <rPr>
            <sz val="10"/>
            <color rgb="FF000000"/>
            <rFont val="Arial"/>
            <scheme val="minor"/>
          </rPr>
          <t>======
ID#AAAB3yX8QVE
tc={79c99fa1-da2d-4394-9f04-9ca99b3e2c7d}    (2026-04-21 11:24:36)
[Threaded comment]
Your version of Excel allows you to read this threaded comment; however, any edits to it will get removed if the file is opened in a newer version of Excel. Learn more: https://go.microsoft.com/fwlink/?linkid=870924
Comment:
    Jan - 28
Feb - 0 - To Check
Mar - ___</t>
        </r>
      </text>
    </comment>
    <comment ref="L91" authorId="0" shapeId="0" xr:uid="{00000000-0006-0000-0600-000001000000}">
      <text>
        <r>
          <rPr>
            <sz val="10"/>
            <color rgb="FF000000"/>
            <rFont val="Arial"/>
            <scheme val="minor"/>
          </rPr>
          <t>======
ID#AAAB3yX8QVE
tc={79c99fa1-da2d-4394-9f04-9ca99b3e2c7d}    (2026-04-21 11:24:36)
[Threaded comment]
Your version of Excel allows you to read this threaded comment; however, any edits to it will get removed if the file is opened in a newer version of Excel. Learn more: https://go.microsoft.com/fwlink/?linkid=870924
Comment:
    Jan - 28
Feb - 0 - To Check
Mar - ___</t>
        </r>
      </text>
    </comment>
    <comment ref="D118" authorId="0" shapeId="0" xr:uid="{00000000-0006-0000-0600-000004000000}">
      <text>
        <r>
          <rPr>
            <sz val="10"/>
            <color rgb="FF000000"/>
            <rFont val="Arial"/>
            <scheme val="minor"/>
          </rPr>
          <t>======
ID#AAAB3yX9KB0
tc={e67457df-3f32-4fea-9d53-a3c9b1af7e2b}    (2026-04-21 11:24:36)
[Threaded comment]
Your version of Excel allows you to read this threaded comment; however, any edits to it will get removed if the file is opened in a newer version of Excel. Learn more: https://go.microsoft.com/fwlink/?linkid=870924
Comment:
    Legal Fees - 177,000 - 
Other Expenses
Reply:
    Fees for BPT 70800
Reply:
    Farming exps 8081 + 14715</t>
        </r>
      </text>
    </comment>
    <comment ref="J118" authorId="0" shapeId="0" xr:uid="{00000000-0006-0000-0600-000002000000}">
      <text>
        <r>
          <rPr>
            <sz val="10"/>
            <color rgb="FF000000"/>
            <rFont val="Arial"/>
            <scheme val="minor"/>
          </rPr>
          <t>======
ID#AAAB3yX9KB0
tc={e67457df-3f32-4fea-9d53-a3c9b1af7e2b}    (2026-04-21 11:24:36)
[Threaded comment]
Your version of Excel allows you to read this threaded comment; however, any edits to it will get removed if the file is opened in a newer version of Excel. Learn more: https://go.microsoft.com/fwlink/?linkid=870924
Comment:
    Legal Fees - 177,000 - 
Other Expenses
Reply:
    Fees for BPT 70800
Reply:
    Farming exps 8081 + 14715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0" authorId="0" shapeId="0" xr:uid="{00000000-0006-0000-0700-000001000000}">
      <text>
        <r>
          <rPr>
            <sz val="10"/>
            <color rgb="FF000000"/>
            <rFont val="Arial"/>
            <scheme val="minor"/>
          </rPr>
          <t>======
ID#AAAB3yX9UWM
tc={d92317b9-2086-4153-8dc5-8e224e78b77a}    (2026-04-21 11:24:36)
[Threaded comment]
Your version of Excel allows you to read this threaded comment; however, any edits to it will get removed if the file is opened in a newer version of Excel. Learn more: https://go.microsoft.com/fwlink/?linkid=870924
Comment:
    Consider Merging Packaging Revenue in one line item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1" authorId="0" shapeId="0" xr:uid="{00000000-0006-0000-0800-000001000000}">
      <text>
        <r>
          <rPr>
            <sz val="10"/>
            <color rgb="FF000000"/>
            <rFont val="Arial"/>
            <scheme val="minor"/>
          </rPr>
          <t>======
ID#AAAB3yX9KBw
tc={f2661a00-53f9-494c-adea-6f1dbc525027}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Laundry for Iktara</t>
        </r>
      </text>
    </comment>
    <comment ref="J111" authorId="0" shapeId="0" xr:uid="{00000000-0006-0000-0800-000002000000}">
      <text>
        <r>
          <rPr>
            <sz val="10"/>
            <color rgb="FF000000"/>
            <rFont val="Arial"/>
            <scheme val="minor"/>
          </rPr>
          <t>======
ID#AAAB3yX9KBw
tc={f2661a00-53f9-494c-adea-6f1dbc525027}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Laundry for Iktara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19" authorId="0" shapeId="0" xr:uid="{00000000-0006-0000-0900-000002000000}">
      <text>
        <r>
          <rPr>
            <sz val="10"/>
            <color rgb="FF000000"/>
            <rFont val="Arial"/>
            <scheme val="minor"/>
          </rPr>
          <t>======
ID#AAAB3yX9KC4
tc={4792504c-9848-4ab2-8481-ff70c606fa83}    (2026-04-21 11:24:36)
[Threaded comment]
Your version of Excel allows you to read this threaded comment; however, any edits to it will get removed if the file is opened in a newer version of Excel. Learn more: https://go.microsoft.com/fwlink/?linkid=870924
Comment:
    Take out Motor Car in all brands</t>
        </r>
      </text>
    </comment>
    <comment ref="L119" authorId="0" shapeId="0" xr:uid="{00000000-0006-0000-0900-000001000000}">
      <text>
        <r>
          <rPr>
            <sz val="10"/>
            <color rgb="FF000000"/>
            <rFont val="Arial"/>
            <scheme val="minor"/>
          </rPr>
          <t>======
ID#AAAB3yX9KC4
tc={4792504c-9848-4ab2-8481-ff70c606fa83}    (2026-04-21 11:24:36)
[Threaded comment]
Your version of Excel allows you to read this threaded comment; however, any edits to it will get removed if the file is opened in a newer version of Excel. Learn more: https://go.microsoft.com/fwlink/?linkid=870924
Comment:
    Take out Motor Car in all brands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96" authorId="0" shapeId="0" xr:uid="{00000000-0006-0000-0A00-000001000000}">
      <text>
        <r>
          <rPr>
            <sz val="10"/>
            <color rgb="FF000000"/>
            <rFont val="Arial"/>
            <scheme val="minor"/>
          </rPr>
          <t>======
ID#AAAB3yX8QVs
tc={a63e70cd-a3f3-4b3b-bb53-bc7a57da9487}    (2026-04-21 11:24:36)
[Threaded comment]
Your version of Excel allows you to read this threaded comment; however, any edits to it will get removed if the file is opened in a newer version of Excel. Learn more: https://go.microsoft.com/fwlink/?linkid=870924
Comment:
    Last Year Average</t>
        </r>
      </text>
    </comment>
    <comment ref="L96" authorId="0" shapeId="0" xr:uid="{00000000-0006-0000-0A00-000002000000}">
      <text>
        <r>
          <rPr>
            <sz val="10"/>
            <color rgb="FF000000"/>
            <rFont val="Arial"/>
            <scheme val="minor"/>
          </rPr>
          <t>======
ID#AAAB3yX8QVs
tc={a63e70cd-a3f3-4b3b-bb53-bc7a57da9487}    (2026-04-21 11:24:36)
[Threaded comment]
Your version of Excel allows you to read this threaded comment; however, any edits to it will get removed if the file is opened in a newer version of Excel. Learn more: https://go.microsoft.com/fwlink/?linkid=870924
Comment:
    Last Year Average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94" authorId="0" shapeId="0" xr:uid="{00000000-0006-0000-0B00-000003000000}">
      <text>
        <r>
          <rPr>
            <sz val="10"/>
            <color rgb="FF000000"/>
            <rFont val="Arial"/>
            <scheme val="minor"/>
          </rPr>
          <t>======
ID#AAAB3yX76cQ
tc={94b2377d-7549-4e44-aa1d-bb0446312e94}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Bills</t>
        </r>
      </text>
    </comment>
    <comment ref="J94" authorId="0" shapeId="0" xr:uid="{00000000-0006-0000-0B00-000006000000}">
      <text>
        <r>
          <rPr>
            <sz val="10"/>
            <color rgb="FF000000"/>
            <rFont val="Arial"/>
            <scheme val="minor"/>
          </rPr>
          <t>======
ID#AAAB3yX76cQ
tc={94b2377d-7549-4e44-aa1d-bb0446312e94}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Bills</t>
        </r>
      </text>
    </comment>
    <comment ref="D112" authorId="0" shapeId="0" xr:uid="{00000000-0006-0000-0B00-000001000000}">
      <text>
        <r>
          <rPr>
            <sz val="10"/>
            <color rgb="FF000000"/>
            <rFont val="Arial"/>
            <scheme val="minor"/>
          </rPr>
          <t>======
ID#AAAB3yX9KCY
tc={7a7bc5be-b60a-4885-86f8-61dfe083936a}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Alenka</t>
        </r>
      </text>
    </comment>
    <comment ref="J112" authorId="0" shapeId="0" xr:uid="{00000000-0006-0000-0B00-000004000000}">
      <text>
        <r>
          <rPr>
            <sz val="10"/>
            <color rgb="FF000000"/>
            <rFont val="Arial"/>
            <scheme val="minor"/>
          </rPr>
          <t>======
ID#AAAB3yX9KCY
tc={7a7bc5be-b60a-4885-86f8-61dfe083936a}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Alenka</t>
        </r>
      </text>
    </comment>
    <comment ref="D127" authorId="0" shapeId="0" xr:uid="{00000000-0006-0000-0B00-000002000000}">
      <text>
        <r>
          <rPr>
            <sz val="10"/>
            <color rgb="FF000000"/>
            <rFont val="Arial"/>
            <scheme val="minor"/>
          </rPr>
          <t>======
ID#AAAB3yX76cg
tc={ad848c0e-5b83-47ec-9965-1179e42657ff}    (2026-04-21 11:24:36)
[Threaded comment]
Your version of Excel allows you to read this threaded comment; however, any edits to it will get removed if the file is opened in a newer version of Excel. Learn more: https://go.microsoft.com/fwlink/?linkid=870924
Comment:
    DUE TO 5 WEDNESDAY</t>
        </r>
      </text>
    </comment>
    <comment ref="J127" authorId="0" shapeId="0" xr:uid="{00000000-0006-0000-0B00-000005000000}">
      <text>
        <r>
          <rPr>
            <sz val="10"/>
            <color rgb="FF000000"/>
            <rFont val="Arial"/>
            <scheme val="minor"/>
          </rPr>
          <t>======
ID#AAAB3yX76cg
tc={ad848c0e-5b83-47ec-9965-1179e42657ff}    (2026-04-21 11:24:36)
[Threaded comment]
Your version of Excel allows you to read this threaded comment; however, any edits to it will get removed if the file is opened in a newer version of Excel. Learn more: https://go.microsoft.com/fwlink/?linkid=870924
Comment:
    DUE TO 5 WEDNESDAY</t>
        </r>
      </text>
    </comment>
  </commentList>
</comments>
</file>

<file path=xl/sharedStrings.xml><?xml version="1.0" encoding="utf-8"?>
<sst xmlns="http://schemas.openxmlformats.org/spreadsheetml/2006/main" count="2520" uniqueCount="426">
  <si>
    <t>FY26-27 Budgeted vs Actual MIS</t>
  </si>
  <si>
    <t>Food Matters Group | FY26-27</t>
  </si>
  <si>
    <t>Total with HO  (Amount)</t>
  </si>
  <si>
    <t>HO (Amount)</t>
  </si>
  <si>
    <t>Outlets Total</t>
  </si>
  <si>
    <t>Table Total</t>
  </si>
  <si>
    <t>Iktara</t>
  </si>
  <si>
    <t>Mg St Colaba</t>
  </si>
  <si>
    <t>Mg St LP</t>
  </si>
  <si>
    <t>Mg St Bandra</t>
  </si>
  <si>
    <t>MSK Events</t>
  </si>
  <si>
    <t>MSBC</t>
  </si>
  <si>
    <t>Kaspers</t>
  </si>
  <si>
    <t>MSBC Andheri</t>
  </si>
  <si>
    <t>MSBC Dahisar</t>
  </si>
  <si>
    <t>MSBC Juhu/Goregaon</t>
  </si>
  <si>
    <t>MSBC Loudmouth</t>
  </si>
  <si>
    <t>Amount</t>
  </si>
  <si>
    <t>%age</t>
  </si>
  <si>
    <t>Budgeted</t>
  </si>
  <si>
    <t>Actual</t>
  </si>
  <si>
    <t>Beverage</t>
  </si>
  <si>
    <t>Liquor</t>
  </si>
  <si>
    <t>Food</t>
  </si>
  <si>
    <t>Service Charge</t>
  </si>
  <si>
    <t>Scrap Sales</t>
  </si>
  <si>
    <t>Total Sales Revenue</t>
  </si>
  <si>
    <t>Average /Month</t>
  </si>
  <si>
    <t>COGS</t>
  </si>
  <si>
    <t>Packaging Cost</t>
  </si>
  <si>
    <t>Total COGS &amp; Packaging</t>
  </si>
  <si>
    <t>DEQ</t>
  </si>
  <si>
    <t>Gross Margin</t>
  </si>
  <si>
    <t>Other Direct Expenses</t>
  </si>
  <si>
    <t>Marketing Expenses</t>
  </si>
  <si>
    <t>Sales Commission</t>
  </si>
  <si>
    <t>Rental &amp; Utility Expenses</t>
  </si>
  <si>
    <t>Salary &amp; Staff Expenses</t>
  </si>
  <si>
    <t>Bank and Finance Charges</t>
  </si>
  <si>
    <t>Software and Subscription</t>
  </si>
  <si>
    <t>Other Outlet Costs</t>
  </si>
  <si>
    <t>Other Professional Fees</t>
  </si>
  <si>
    <t>Other Expenses</t>
  </si>
  <si>
    <t>Total Other Expenses</t>
  </si>
  <si>
    <t>EBIDTA</t>
  </si>
  <si>
    <t>Food Matters Group | Quarter 1 | FY26-27</t>
  </si>
  <si>
    <t>Particulars</t>
  </si>
  <si>
    <t>Total with HO</t>
  </si>
  <si>
    <t>HO</t>
  </si>
  <si>
    <t>Loud Mouth</t>
  </si>
  <si>
    <t>EBIDTA Margin</t>
  </si>
  <si>
    <t>Mg St Colaba Comparison</t>
  </si>
  <si>
    <t>Gross Margin %age</t>
  </si>
  <si>
    <t>EBITDA %age</t>
  </si>
  <si>
    <t>Restaurant Summary Data</t>
  </si>
  <si>
    <t>Brand Name</t>
  </si>
  <si>
    <t>Overall</t>
  </si>
  <si>
    <t>Mag St. Bandra</t>
  </si>
  <si>
    <t>Mag St. Colaba</t>
  </si>
  <si>
    <t>Mag St. Lower Parel</t>
  </si>
  <si>
    <t>Mag St. Bread Co. Bandra</t>
  </si>
  <si>
    <t>Mag St. Bread Co. Byculla</t>
  </si>
  <si>
    <t>Mag St. Bread Co. Colaba</t>
  </si>
  <si>
    <t>Mag St. Bread Co. Lower Parel</t>
  </si>
  <si>
    <t>Mag St. Bread Co. Andheri</t>
  </si>
  <si>
    <t>The Table Colaba</t>
  </si>
  <si>
    <t>Mg St Cafe - Colaba</t>
  </si>
  <si>
    <t>Sept 2024</t>
  </si>
  <si>
    <t>Category</t>
  </si>
  <si>
    <t>Total Sales</t>
  </si>
  <si>
    <t>Dining Sales</t>
  </si>
  <si>
    <t>Delivery Sales</t>
  </si>
  <si>
    <t>Others</t>
  </si>
  <si>
    <t>Covers</t>
  </si>
  <si>
    <t>APC</t>
  </si>
  <si>
    <t>Orders</t>
  </si>
  <si>
    <t>AOV</t>
  </si>
  <si>
    <t>Dine in Working</t>
  </si>
  <si>
    <t>Total Covers (Dine-in)</t>
  </si>
  <si>
    <t>12780050.75</t>
  </si>
  <si>
    <t>11218384.75</t>
  </si>
  <si>
    <t>1314270.00</t>
  </si>
  <si>
    <t>247396.00</t>
  </si>
  <si>
    <t>7526.00</t>
  </si>
  <si>
    <t>1491.62</t>
  </si>
  <si>
    <t>Total Delivery Orders (Swiggy, Zomato +)</t>
  </si>
  <si>
    <t>12280674.50</t>
  </si>
  <si>
    <t>10610962.00</t>
  </si>
  <si>
    <t>1431076.00</t>
  </si>
  <si>
    <t>238636.50</t>
  </si>
  <si>
    <t>7144.00</t>
  </si>
  <si>
    <t>1486.30</t>
  </si>
  <si>
    <t>Total Revenue - (Dine-in +Takeaway)</t>
  </si>
  <si>
    <t>13966088.25</t>
  </si>
  <si>
    <t>11894934.75</t>
  </si>
  <si>
    <t>1645414.00</t>
  </si>
  <si>
    <t>425739.50</t>
  </si>
  <si>
    <t>7634.00</t>
  </si>
  <si>
    <t>1559.15</t>
  </si>
  <si>
    <t>Total Revenue - (Delivery)</t>
  </si>
  <si>
    <t>13429240.00</t>
  </si>
  <si>
    <t>11164169.00</t>
  </si>
  <si>
    <t>1977000.00</t>
  </si>
  <si>
    <t>288071.00</t>
  </si>
  <si>
    <t>6608.00</t>
  </si>
  <si>
    <t>1690.49</t>
  </si>
  <si>
    <t>Total Check</t>
  </si>
  <si>
    <t>13496728.62</t>
  </si>
  <si>
    <t>11228215.50</t>
  </si>
  <si>
    <t>1984707.12</t>
  </si>
  <si>
    <t>283806.00</t>
  </si>
  <si>
    <t>6633.00</t>
  </si>
  <si>
    <t>1693.78</t>
  </si>
  <si>
    <t>AOV (Dine-in)</t>
  </si>
  <si>
    <t>13061755.45</t>
  </si>
  <si>
    <t>10720005.50</t>
  </si>
  <si>
    <t>2039306.95</t>
  </si>
  <si>
    <t>302443.00</t>
  </si>
  <si>
    <t>6458.00</t>
  </si>
  <si>
    <t>1660.96</t>
  </si>
  <si>
    <t>AOV (Delivery)</t>
  </si>
  <si>
    <t>15024612.69</t>
  </si>
  <si>
    <t>12552164.50</t>
  </si>
  <si>
    <t>2151840.69</t>
  </si>
  <si>
    <t>320607.50</t>
  </si>
  <si>
    <t>7370.00</t>
  </si>
  <si>
    <t>1704.14</t>
  </si>
  <si>
    <t>13499912.08</t>
  </si>
  <si>
    <t>11173286.50</t>
  </si>
  <si>
    <t>2056592.58</t>
  </si>
  <si>
    <t>270033.00</t>
  </si>
  <si>
    <t>6551.00</t>
  </si>
  <si>
    <t>1706.58</t>
  </si>
  <si>
    <t>Mg St Cafe - LP</t>
  </si>
  <si>
    <t>12042585.21</t>
  </si>
  <si>
    <t>9547877.50</t>
  </si>
  <si>
    <t>2163821.21</t>
  </si>
  <si>
    <t>330886.50</t>
  </si>
  <si>
    <t>5823.00</t>
  </si>
  <si>
    <t>1640.68</t>
  </si>
  <si>
    <t>13828343.92</t>
  </si>
  <si>
    <t>10913157.50</t>
  </si>
  <si>
    <t>2652789.92</t>
  </si>
  <si>
    <t>262396.50</t>
  </si>
  <si>
    <t>6514.00</t>
  </si>
  <si>
    <t>1676.34</t>
  </si>
  <si>
    <t>15361003.06</t>
  </si>
  <si>
    <t>12580908.00</t>
  </si>
  <si>
    <t>2496683.06</t>
  </si>
  <si>
    <t>283412.00</t>
  </si>
  <si>
    <t>7363.00</t>
  </si>
  <si>
    <t>1709.67</t>
  </si>
  <si>
    <t>16059929.84</t>
  </si>
  <si>
    <t>12748872.00</t>
  </si>
  <si>
    <t>2990357.84</t>
  </si>
  <si>
    <t>320700.00</t>
  </si>
  <si>
    <t>7332.00</t>
  </si>
  <si>
    <t>1739.80</t>
  </si>
  <si>
    <t>Mg St Cafe - Bandra</t>
  </si>
  <si>
    <t>The Table</t>
  </si>
  <si>
    <t>APC (Dine-in)</t>
  </si>
  <si>
    <t>c</t>
  </si>
  <si>
    <t>Food Matters Group</t>
  </si>
  <si>
    <t>MSBC Juhu / Goregaon</t>
  </si>
  <si>
    <t>Other revenue</t>
  </si>
  <si>
    <t>NC &amp; DQ</t>
  </si>
  <si>
    <t>Food Matters Group | Colaba Head Office</t>
  </si>
  <si>
    <t>Head</t>
  </si>
  <si>
    <t>April 2026</t>
  </si>
  <si>
    <t>May 2026</t>
  </si>
  <si>
    <t>Actual Amt</t>
  </si>
  <si>
    <t>Budgeted Amt</t>
  </si>
  <si>
    <t>Variance</t>
  </si>
  <si>
    <t>SALES</t>
  </si>
  <si>
    <t>Revenue - Total</t>
  </si>
  <si>
    <t>Dine In</t>
  </si>
  <si>
    <t>Delivery</t>
  </si>
  <si>
    <t>Events</t>
  </si>
  <si>
    <t>Packaging 5%</t>
  </si>
  <si>
    <t>Packaging 5% ( Online Sale )</t>
  </si>
  <si>
    <t>Food Sales</t>
  </si>
  <si>
    <t>Service Charge (Dinein + Bev + Liquor)</t>
  </si>
  <si>
    <t>Net Revenue</t>
  </si>
  <si>
    <t>FOC Sales</t>
  </si>
  <si>
    <t>NC Sales (%age)</t>
  </si>
  <si>
    <t>Total FOC Sales</t>
  </si>
  <si>
    <t>Expenses</t>
  </si>
  <si>
    <t>F&amp;B</t>
  </si>
  <si>
    <t>Bakery Cost</t>
  </si>
  <si>
    <t>Food Cost</t>
  </si>
  <si>
    <t>GST and MVAT on Purchases</t>
  </si>
  <si>
    <t>Total F &amp; B COGS</t>
  </si>
  <si>
    <t>Packaging</t>
  </si>
  <si>
    <t>Total COGS</t>
  </si>
  <si>
    <t>Other Direct Expenses (Not COGS)</t>
  </si>
  <si>
    <t>HOUSE KEEPING | Cleaning Material</t>
  </si>
  <si>
    <t>GAS &amp; COOKING SUPPLIES</t>
  </si>
  <si>
    <t>STATIONERY</t>
  </si>
  <si>
    <t>RESTAURANT SUPPLIES</t>
  </si>
  <si>
    <t>MISCELLANEOUS</t>
  </si>
  <si>
    <t>Total Others</t>
  </si>
  <si>
    <t>DEQ (Damaged / Expiry / Quality)</t>
  </si>
  <si>
    <t>NC Cost (%age)</t>
  </si>
  <si>
    <t xml:space="preserve">             </t>
  </si>
  <si>
    <t>Operating Expenses</t>
  </si>
  <si>
    <t>Marketing Expense and Sales Promotion</t>
  </si>
  <si>
    <t>Advertising &amp; Promotions (BOWLS) | Move Out</t>
  </si>
  <si>
    <t>Agency Fee | Restaverse</t>
  </si>
  <si>
    <t>Agency Fee | Plane Crazy (405 Associates)</t>
  </si>
  <si>
    <t>Agency Fee | SD Consultancy</t>
  </si>
  <si>
    <t>Agency Fee | Rakifi</t>
  </si>
  <si>
    <t>Marketing Spends | Gupshup</t>
  </si>
  <si>
    <t>Printing</t>
  </si>
  <si>
    <t>Photoshoots</t>
  </si>
  <si>
    <t>Ad Spends - Google &amp; Meta</t>
  </si>
  <si>
    <t>Commission - Eazy Diner</t>
  </si>
  <si>
    <t>Commission - Payment Gateway</t>
  </si>
  <si>
    <t>Commission Swiggy 15%</t>
  </si>
  <si>
    <t>Commission Zomato 14%</t>
  </si>
  <si>
    <t>Rental &amp; Utilitiy Expenses</t>
  </si>
  <si>
    <t>Rent</t>
  </si>
  <si>
    <t>Electricity Bill</t>
  </si>
  <si>
    <t>Water Charges</t>
  </si>
  <si>
    <t>Telephone &amp; Internet</t>
  </si>
  <si>
    <t>Casual Staff</t>
  </si>
  <si>
    <t>All Salaries</t>
  </si>
  <si>
    <t>Staff Expenses</t>
  </si>
  <si>
    <t>Recruitment Charges</t>
  </si>
  <si>
    <t>Staff Food</t>
  </si>
  <si>
    <t>Staff Rental</t>
  </si>
  <si>
    <t>Conveyance Expenses</t>
  </si>
  <si>
    <t>Hotel Accomodation</t>
  </si>
  <si>
    <t>Bonus</t>
  </si>
  <si>
    <t>OD Renewal</t>
  </si>
  <si>
    <t>Bank OD Interest Cost</t>
  </si>
  <si>
    <t>Bank Term Loan Interest Cost</t>
  </si>
  <si>
    <t>Cash Deposit  and other Charges</t>
  </si>
  <si>
    <t>EDC Rental</t>
  </si>
  <si>
    <t>Software &amp; Subscription Charges</t>
  </si>
  <si>
    <t>Computer Software Maintenance/Supplies</t>
  </si>
  <si>
    <t xml:space="preserve">Computer Software Maintenance/Supplies (AMC) </t>
  </si>
  <si>
    <t>Crockery Rental</t>
  </si>
  <si>
    <t>Delivery Expenses</t>
  </si>
  <si>
    <t>License Fees</t>
  </si>
  <si>
    <t>Liason Fees</t>
  </si>
  <si>
    <t>Vehicle Expenses</t>
  </si>
  <si>
    <t>Repairs &amp; Maintenance (AMC)</t>
  </si>
  <si>
    <t>Repairs &amp; Maintenance</t>
  </si>
  <si>
    <t>Farming Expenses</t>
  </si>
  <si>
    <t>Uniforms Costs</t>
  </si>
  <si>
    <t>Laundry Costs</t>
  </si>
  <si>
    <t>Kitchen Utensil &amp; CCG</t>
  </si>
  <si>
    <t>Parking Charges</t>
  </si>
  <si>
    <t>Legal Fees</t>
  </si>
  <si>
    <t>Professional Fees</t>
  </si>
  <si>
    <t xml:space="preserve">Director Expenses </t>
  </si>
  <si>
    <t>GST - Non Food - Outlet Wise</t>
  </si>
  <si>
    <t>Total Operating Expenses</t>
  </si>
  <si>
    <t>EBIDTA BEFORE ALLOCATIONS</t>
  </si>
  <si>
    <t>Food Matters Group | The Table</t>
  </si>
  <si>
    <t>Variance %age</t>
  </si>
  <si>
    <t>Restaverse Delivery Revenue</t>
  </si>
  <si>
    <t>Events (Including Honawar Reimbursement)</t>
  </si>
  <si>
    <t>Scrap sales (Oil)</t>
  </si>
  <si>
    <t>Food Cost (COGS)</t>
  </si>
  <si>
    <t>GST and MVAT on Consumption of COGS</t>
  </si>
  <si>
    <t>KITCHEN SUPPLIES</t>
  </si>
  <si>
    <t>STATIONERY &amp; PRINTING CHARGES</t>
  </si>
  <si>
    <t>Advertising &amp; Promotions</t>
  </si>
  <si>
    <t>Gupshup Whatsapp Marketing</t>
  </si>
  <si>
    <t>Reserve Go - VJYN SOLUTIONS</t>
  </si>
  <si>
    <t>Ad Spends Zomato / Swiggy</t>
  </si>
  <si>
    <t xml:space="preserve">Commission Swiggy </t>
  </si>
  <si>
    <t>Commission Zomato</t>
  </si>
  <si>
    <t>Chef Salary (50%)</t>
  </si>
  <si>
    <t>Medicine (Other Charges)</t>
  </si>
  <si>
    <t>Bank Charges</t>
  </si>
  <si>
    <t>Computer Software Maintenance/Supplies (AMC) POSIST</t>
  </si>
  <si>
    <t>Liason Fees (EXCISE 14K, HEALTH, WATER DEP)</t>
  </si>
  <si>
    <t>Other Repairs &amp; Maintainance</t>
  </si>
  <si>
    <t>Florist &amp; Decor</t>
  </si>
  <si>
    <t>Event Cost Management / ALL THINGS NICE</t>
  </si>
  <si>
    <t>Legal Fees (Including Stamp Duty)</t>
  </si>
  <si>
    <t>Director Expenses</t>
  </si>
  <si>
    <t>Food Matters Group | Iktara</t>
  </si>
  <si>
    <t>Ad Spends</t>
  </si>
  <si>
    <t>Restaverse - Ad Spends</t>
  </si>
  <si>
    <t>Commission Swiggy (10% +2% )+ GST 1st july Onwards..</t>
  </si>
  <si>
    <t>Commission Zomato (10% +2% )+ GST 1st july Onwards..</t>
  </si>
  <si>
    <t>Subscription Charges</t>
  </si>
  <si>
    <t>Motor Car Expenses</t>
  </si>
  <si>
    <t>Event Cost</t>
  </si>
  <si>
    <t>Accounting and Audit Fees</t>
  </si>
  <si>
    <t>Food Matters Group | Mag St Colaba</t>
  </si>
  <si>
    <t>Total Food</t>
  </si>
  <si>
    <t>GST and MVAT on Cost</t>
  </si>
  <si>
    <t>Gupshup Marketing Costs</t>
  </si>
  <si>
    <t>Ad Spends - Restaverse</t>
  </si>
  <si>
    <t>Agency Fees | Restaverse</t>
  </si>
  <si>
    <t>Ad Spends - Restaverse - MSBC</t>
  </si>
  <si>
    <t>Ad Spends - Google and Meta</t>
  </si>
  <si>
    <t xml:space="preserve">Subscription Charges </t>
  </si>
  <si>
    <t>Liason Fees (EXCISE AND HEALTH DEP, WATER DEP)</t>
  </si>
  <si>
    <t>Chef Fee - for Events</t>
  </si>
  <si>
    <t>Food Matters Group | Mag St LP</t>
  </si>
  <si>
    <t>Ad Spends- Restaverse (Mg St Cafe)</t>
  </si>
  <si>
    <t>Ad Spends- Restaverse (MSBC)</t>
  </si>
  <si>
    <t>Agency Fees- Restaverse</t>
  </si>
  <si>
    <t xml:space="preserve">Commission Zomato </t>
  </si>
  <si>
    <t>Rent (restaurant + store)</t>
  </si>
  <si>
    <t>Cam Charges</t>
  </si>
  <si>
    <t>Parking Charges (VALET SERVICES)</t>
  </si>
  <si>
    <t>Food Matters Group | Mag St Bandra</t>
  </si>
  <si>
    <t>Expenditure</t>
  </si>
  <si>
    <t>Gupshup Marketing Fees</t>
  </si>
  <si>
    <t>Commission Swiggy</t>
  </si>
  <si>
    <t>Store Rent</t>
  </si>
  <si>
    <t xml:space="preserve">CAM Charges </t>
  </si>
  <si>
    <t>Recutiment Expenses</t>
  </si>
  <si>
    <t>Liason Fees (EXCISE DEP)</t>
  </si>
  <si>
    <t>Other Professional fees</t>
  </si>
  <si>
    <t>Food Matters Group | MSK Events</t>
  </si>
  <si>
    <t>Total</t>
  </si>
  <si>
    <t>Podcast Production</t>
  </si>
  <si>
    <t>Contribution to PF Fund</t>
  </si>
  <si>
    <t>Liason Fees (BMC DEP, ONE DAY LICENSE)</t>
  </si>
  <si>
    <t>Chef Fee - for Events and event cost</t>
  </si>
  <si>
    <t>Consultancy Fees</t>
  </si>
  <si>
    <t>Food Matters Group | MSBC</t>
  </si>
  <si>
    <t>Byculla</t>
  </si>
  <si>
    <t>Event</t>
  </si>
  <si>
    <t>Shannen Salary</t>
  </si>
  <si>
    <t>Event Management Cost</t>
  </si>
  <si>
    <t>Transfer of All Other Costs to Other Outlet</t>
  </si>
  <si>
    <t>Food Matters Group | Kasper's</t>
  </si>
  <si>
    <t>- Dhaval Kapadia Raised For 3 Camera,mic &amp; Light Setup on 8th May 2026(on Contractual Basis)-1 Guest For Kaspers Bandra</t>
  </si>
  <si>
    <t xml:space="preserve">Rent + Society Maintenance </t>
  </si>
  <si>
    <t>William - 50% debited Salary</t>
  </si>
  <si>
    <t>Staff Expenses (RECRUITMENT)</t>
  </si>
  <si>
    <t xml:space="preserve">Bank Charges </t>
  </si>
  <si>
    <t>Commission &amp; Brokerage</t>
  </si>
  <si>
    <t xml:space="preserve">Legal Fees </t>
  </si>
  <si>
    <t>Food Matters Group | MSBC Andheri - Kytchens</t>
  </si>
  <si>
    <t>Kytchens - Andheri - Swiggy</t>
  </si>
  <si>
    <t>Kytchens - Andheri - Zomato</t>
  </si>
  <si>
    <t>Restaverse Ads</t>
  </si>
  <si>
    <t>Aggregator Refund and Penalty Swiggy</t>
  </si>
  <si>
    <t>Aggregator Refund and Penalty Zomato</t>
  </si>
  <si>
    <t>HyprKytchens Commissions</t>
  </si>
  <si>
    <t>Delivery Expenses/ Freight</t>
  </si>
  <si>
    <t>Food Matters Group | MSBC Dahisar - Kytchens</t>
  </si>
  <si>
    <t>Kytchens - Dahisar - Swiggy</t>
  </si>
  <si>
    <t>Kytchens - Dahisar - Zomato</t>
  </si>
  <si>
    <t>FY 26-27 Budgeted vs Actual MIS</t>
  </si>
  <si>
    <t>Food Matters Group | MSBC Juhu / Goregoan- Kytchens</t>
  </si>
  <si>
    <t>Kytchens - Juhu - Swiggy</t>
  </si>
  <si>
    <t>Kytchens - Juhu - Zomato</t>
  </si>
  <si>
    <t>MSBC CK Allocation</t>
  </si>
  <si>
    <t>Total NC &amp; DEQ</t>
  </si>
  <si>
    <t>Food Matters Group | Bowls</t>
  </si>
  <si>
    <t>Delivery ( Online Sale )</t>
  </si>
  <si>
    <t>Kytchens Commissions</t>
  </si>
  <si>
    <t>Rent (EQUIPMENT)</t>
  </si>
  <si>
    <t>Professional fess  Chef Spencer</t>
  </si>
  <si>
    <t>MSBC Co Summary</t>
  </si>
  <si>
    <t>DEQ &amp; NC</t>
  </si>
  <si>
    <t>Targets Setting</t>
  </si>
  <si>
    <t>Table (incld SC)</t>
  </si>
  <si>
    <t>SC</t>
  </si>
  <si>
    <t>Old Table Target</t>
  </si>
  <si>
    <t>Q3 FY24-25</t>
  </si>
  <si>
    <t>Revised Target</t>
  </si>
  <si>
    <t>Days</t>
  </si>
  <si>
    <t>Avg p day</t>
  </si>
  <si>
    <t>Q3</t>
  </si>
  <si>
    <t>Q3 (FY24-25)</t>
  </si>
  <si>
    <t>Table</t>
  </si>
  <si>
    <t>Mg St Bandra (Old)</t>
  </si>
  <si>
    <t>Mg St Lodha</t>
  </si>
  <si>
    <t>Avg per day</t>
  </si>
  <si>
    <t>Mg St Colaba (Old)</t>
  </si>
  <si>
    <t>LP</t>
  </si>
  <si>
    <t>Mg St Lodha (Old)</t>
  </si>
  <si>
    <t>Last Years Base for each month - Oct - Dec 2025 and increase by 5%</t>
  </si>
  <si>
    <t>Calculation Sheet for GST on Purchases</t>
  </si>
  <si>
    <t>April'26</t>
  </si>
  <si>
    <t>May'26</t>
  </si>
  <si>
    <t>Total GST on Purchases</t>
  </si>
  <si>
    <t>Total Purchases Outlet Level</t>
  </si>
  <si>
    <t>Total Overall Purchases</t>
  </si>
  <si>
    <t>GST Alloc to Outlet</t>
  </si>
  <si>
    <t>MSBC Dahisar  / Borivali</t>
  </si>
  <si>
    <t>MSBC Juhu</t>
  </si>
  <si>
    <t>Sales Summary (Incl Serv Charge)</t>
  </si>
  <si>
    <t>COGS for MSBC Per Outlet</t>
  </si>
  <si>
    <t>Jun'26</t>
  </si>
  <si>
    <t>MSBC Operating Cost</t>
  </si>
  <si>
    <t>Monthly Allocation of Op Cost</t>
  </si>
  <si>
    <t>Total COGS Allocation</t>
  </si>
  <si>
    <t>Total Transfer Out of MSBC</t>
  </si>
  <si>
    <t>Mg St Bandra - Comparison</t>
  </si>
  <si>
    <t>Oct 25</t>
  </si>
  <si>
    <t>Nov 25</t>
  </si>
  <si>
    <t>Dec 25</t>
  </si>
  <si>
    <t>NC &amp; DEQ</t>
  </si>
  <si>
    <t>Mg St LP MIS - FY25-26 Snapshot</t>
  </si>
  <si>
    <t>Aug 25</t>
  </si>
  <si>
    <t>Sep 25</t>
  </si>
  <si>
    <t>Dec25</t>
  </si>
  <si>
    <t>Avg Sale</t>
  </si>
  <si>
    <t>Avg EBIDTA</t>
  </si>
  <si>
    <t>`</t>
  </si>
  <si>
    <t>Avg EBIDTA %</t>
  </si>
  <si>
    <t>MIS FY25-26 - Comparative (Upto Feb,2026)</t>
  </si>
  <si>
    <t>Jan 26</t>
  </si>
  <si>
    <t>Feb 26</t>
  </si>
  <si>
    <t xml:space="preserve">YTD </t>
  </si>
  <si>
    <t>% achieved</t>
  </si>
  <si>
    <t>Sales</t>
  </si>
  <si>
    <t>% to sales</t>
  </si>
  <si>
    <t>Total  Revenue</t>
  </si>
  <si>
    <t>Repairs &amp; Maintainance</t>
  </si>
  <si>
    <t xml:space="preserve">Event Cost Management </t>
  </si>
  <si>
    <t xml:space="preserve">Note : </t>
  </si>
  <si>
    <t>- Kaspers opened on 12th November,2025</t>
  </si>
  <si>
    <t>- No Budget for this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</si>
</sst>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* #,##0_ ;_ * \-#,##0_ ;_ * &quot;-&quot;??_ ;_ @_ "/>
    <numFmt numFmtId="165" formatCode="mmmm\ yyyy"/>
    <numFmt numFmtId="166" formatCode="mmmm\-yyyy"/>
    <numFmt numFmtId="167" formatCode="mmm\ yyyy"/>
    <numFmt numFmtId="168" formatCode="#,##0;\(#,##0\)"/>
    <numFmt numFmtId="169" formatCode="mmm\ d"/>
  </numFmts>
  <fonts count="65" x14ac:knownFonts="1">
    <font>
      <sz val="10"/>
      <color rgb="FF000000"/>
      <name val="Arial"/>
      <scheme val="minor"/>
    </font>
    <font>
      <b/>
      <u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name val="Arial"/>
    </font>
    <font>
      <sz val="11"/>
      <color rgb="FFFF0000"/>
      <name val="Calibri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b/>
      <sz val="11"/>
      <color rgb="FF000000"/>
      <name val="Calibri"/>
    </font>
    <font>
      <b/>
      <u/>
      <sz val="10"/>
      <color theme="1"/>
      <name val="Arial"/>
    </font>
    <font>
      <sz val="12"/>
      <color theme="1"/>
      <name val="Calibri"/>
    </font>
    <font>
      <sz val="12"/>
      <color rgb="FFFFFFFF"/>
      <name val="Calibri"/>
    </font>
    <font>
      <sz val="10"/>
      <color theme="1"/>
      <name val="Arial"/>
      <scheme val="minor"/>
    </font>
    <font>
      <sz val="12"/>
      <color rgb="FF000000"/>
      <name val="Calibri"/>
    </font>
    <font>
      <b/>
      <u/>
      <sz val="12"/>
      <color theme="1"/>
      <name val="Calibri"/>
    </font>
    <font>
      <b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1"/>
      <color theme="1"/>
      <name val="Aptos Narrow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0"/>
      <color theme="1"/>
      <name val="Calibri"/>
    </font>
    <font>
      <b/>
      <u/>
      <sz val="12"/>
      <color theme="1"/>
      <name val="Calibri"/>
    </font>
    <font>
      <sz val="11"/>
      <color theme="1"/>
      <name val="Arial"/>
    </font>
    <font>
      <b/>
      <u/>
      <sz val="12"/>
      <color theme="1"/>
      <name val="Calibri"/>
    </font>
    <font>
      <b/>
      <sz val="10"/>
      <color rgb="FF000000"/>
      <name val="Arial"/>
    </font>
    <font>
      <u/>
      <sz val="12"/>
      <color theme="1"/>
      <name val="Calibri"/>
    </font>
    <font>
      <b/>
      <u/>
      <sz val="12"/>
      <color theme="1"/>
      <name val="Calibri"/>
    </font>
    <font>
      <u/>
      <sz val="12"/>
      <color theme="1"/>
      <name val="Calibri"/>
    </font>
    <font>
      <b/>
      <u/>
      <sz val="12"/>
      <color theme="1"/>
      <name val="Calibri"/>
    </font>
    <font>
      <u/>
      <sz val="12"/>
      <color theme="1"/>
      <name val="Calibri"/>
    </font>
    <font>
      <b/>
      <sz val="12"/>
      <color rgb="FF000000"/>
      <name val="Calibri"/>
    </font>
    <font>
      <b/>
      <u/>
      <sz val="12"/>
      <color theme="1"/>
      <name val="Calibri"/>
    </font>
    <font>
      <b/>
      <sz val="12"/>
      <color rgb="FFFFFFFF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1"/>
      <color theme="1"/>
      <name val="Calibri"/>
    </font>
    <font>
      <b/>
      <sz val="11"/>
      <color rgb="FFFFFFFF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sz val="12"/>
      <color theme="0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0"/>
      <color rgb="FF16191F"/>
      <name val="Arial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0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0"/>
      <color theme="1"/>
      <name val="Aptos Narrow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0"/>
      <color rgb="FF000000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2F5496"/>
        <bgColor rgb="FF2F5496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</fills>
  <borders count="1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/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FF0000"/>
      </left>
      <right/>
      <top style="hair">
        <color rgb="FFFF0000"/>
      </top>
      <bottom style="hair">
        <color rgb="FFFF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43" fontId="64" fillId="0" borderId="0" applyFont="0" applyFill="0" applyBorder="0" applyAlignment="0" applyProtection="0"/>
  </cellStyleXfs>
  <cellXfs count="100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9" xfId="0" applyFont="1" applyFill="1" applyBorder="1"/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/>
    <xf numFmtId="3" fontId="3" fillId="2" borderId="16" xfId="0" applyNumberFormat="1" applyFont="1" applyFill="1" applyBorder="1"/>
    <xf numFmtId="10" fontId="3" fillId="2" borderId="17" xfId="0" applyNumberFormat="1" applyFont="1" applyFill="1" applyBorder="1"/>
    <xf numFmtId="3" fontId="3" fillId="2" borderId="17" xfId="0" applyNumberFormat="1" applyFont="1" applyFill="1" applyBorder="1"/>
    <xf numFmtId="10" fontId="3" fillId="2" borderId="18" xfId="0" applyNumberFormat="1" applyFont="1" applyFill="1" applyBorder="1"/>
    <xf numFmtId="43" fontId="3" fillId="0" borderId="19" xfId="0" applyNumberFormat="1" applyFont="1" applyBorder="1"/>
    <xf numFmtId="0" fontId="3" fillId="0" borderId="20" xfId="0" applyFont="1" applyBorder="1"/>
    <xf numFmtId="43" fontId="3" fillId="0" borderId="20" xfId="0" applyNumberFormat="1" applyFont="1" applyBorder="1"/>
    <xf numFmtId="3" fontId="3" fillId="2" borderId="21" xfId="0" applyNumberFormat="1" applyFont="1" applyFill="1" applyBorder="1"/>
    <xf numFmtId="10" fontId="3" fillId="2" borderId="22" xfId="0" applyNumberFormat="1" applyFont="1" applyFill="1" applyBorder="1"/>
    <xf numFmtId="3" fontId="3" fillId="0" borderId="19" xfId="0" applyNumberFormat="1" applyFont="1" applyBorder="1"/>
    <xf numFmtId="10" fontId="3" fillId="0" borderId="23" xfId="0" applyNumberFormat="1" applyFont="1" applyBorder="1"/>
    <xf numFmtId="3" fontId="3" fillId="0" borderId="20" xfId="0" applyNumberFormat="1" applyFont="1" applyBorder="1"/>
    <xf numFmtId="0" fontId="3" fillId="0" borderId="23" xfId="0" applyFont="1" applyBorder="1"/>
    <xf numFmtId="164" fontId="3" fillId="0" borderId="19" xfId="0" applyNumberFormat="1" applyFont="1" applyBorder="1"/>
    <xf numFmtId="164" fontId="3" fillId="0" borderId="16" xfId="0" applyNumberFormat="1" applyFont="1" applyBorder="1"/>
    <xf numFmtId="0" fontId="4" fillId="2" borderId="24" xfId="0" applyFont="1" applyFill="1" applyBorder="1"/>
    <xf numFmtId="3" fontId="3" fillId="2" borderId="25" xfId="0" applyNumberFormat="1" applyFont="1" applyFill="1" applyBorder="1"/>
    <xf numFmtId="10" fontId="3" fillId="2" borderId="26" xfId="0" applyNumberFormat="1" applyFont="1" applyFill="1" applyBorder="1"/>
    <xf numFmtId="0" fontId="3" fillId="0" borderId="25" xfId="0" applyFont="1" applyBorder="1"/>
    <xf numFmtId="10" fontId="3" fillId="2" borderId="27" xfId="0" applyNumberFormat="1" applyFont="1" applyFill="1" applyBorder="1"/>
    <xf numFmtId="10" fontId="3" fillId="0" borderId="26" xfId="0" applyNumberFormat="1" applyFont="1" applyBorder="1"/>
    <xf numFmtId="3" fontId="3" fillId="0" borderId="16" xfId="0" applyNumberFormat="1" applyFont="1" applyBorder="1"/>
    <xf numFmtId="0" fontId="3" fillId="0" borderId="26" xfId="0" applyFont="1" applyBorder="1"/>
    <xf numFmtId="3" fontId="3" fillId="0" borderId="25" xfId="0" applyNumberFormat="1" applyFont="1" applyBorder="1"/>
    <xf numFmtId="0" fontId="4" fillId="2" borderId="28" xfId="0" applyFont="1" applyFill="1" applyBorder="1"/>
    <xf numFmtId="3" fontId="3" fillId="2" borderId="29" xfId="0" applyNumberFormat="1" applyFont="1" applyFill="1" applyBorder="1"/>
    <xf numFmtId="3" fontId="3" fillId="2" borderId="30" xfId="0" applyNumberFormat="1" applyFont="1" applyFill="1" applyBorder="1"/>
    <xf numFmtId="10" fontId="3" fillId="2" borderId="31" xfId="0" applyNumberFormat="1" applyFont="1" applyFill="1" applyBorder="1"/>
    <xf numFmtId="0" fontId="3" fillId="0" borderId="32" xfId="0" applyFont="1" applyBorder="1"/>
    <xf numFmtId="10" fontId="3" fillId="2" borderId="33" xfId="0" applyNumberFormat="1" applyFont="1" applyFill="1" applyBorder="1"/>
    <xf numFmtId="10" fontId="3" fillId="0" borderId="34" xfId="0" applyNumberFormat="1" applyFont="1" applyBorder="1"/>
    <xf numFmtId="0" fontId="3" fillId="0" borderId="34" xfId="0" applyFont="1" applyBorder="1"/>
    <xf numFmtId="164" fontId="3" fillId="0" borderId="35" xfId="0" applyNumberFormat="1" applyFont="1" applyBorder="1"/>
    <xf numFmtId="3" fontId="3" fillId="0" borderId="36" xfId="0" applyNumberFormat="1" applyFont="1" applyBorder="1"/>
    <xf numFmtId="3" fontId="4" fillId="2" borderId="13" xfId="0" applyNumberFormat="1" applyFont="1" applyFill="1" applyBorder="1"/>
    <xf numFmtId="10" fontId="4" fillId="2" borderId="11" xfId="0" applyNumberFormat="1" applyFont="1" applyFill="1" applyBorder="1"/>
    <xf numFmtId="3" fontId="4" fillId="2" borderId="11" xfId="0" applyNumberFormat="1" applyFont="1" applyFill="1" applyBorder="1"/>
    <xf numFmtId="0" fontId="4" fillId="2" borderId="11" xfId="0" applyFont="1" applyFill="1" applyBorder="1"/>
    <xf numFmtId="3" fontId="4" fillId="2" borderId="10" xfId="0" applyNumberFormat="1" applyFont="1" applyFill="1" applyBorder="1"/>
    <xf numFmtId="10" fontId="4" fillId="2" borderId="14" xfId="0" applyNumberFormat="1" applyFont="1" applyFill="1" applyBorder="1"/>
    <xf numFmtId="0" fontId="4" fillId="2" borderId="10" xfId="0" applyFont="1" applyFill="1" applyBorder="1"/>
    <xf numFmtId="0" fontId="4" fillId="2" borderId="12" xfId="0" applyFont="1" applyFill="1" applyBorder="1"/>
    <xf numFmtId="164" fontId="4" fillId="2" borderId="13" xfId="0" applyNumberFormat="1" applyFont="1" applyFill="1" applyBorder="1"/>
    <xf numFmtId="164" fontId="4" fillId="2" borderId="11" xfId="0" applyNumberFormat="1" applyFont="1" applyFill="1" applyBorder="1"/>
    <xf numFmtId="164" fontId="6" fillId="3" borderId="13" xfId="0" applyNumberFormat="1" applyFont="1" applyFill="1" applyBorder="1"/>
    <xf numFmtId="164" fontId="6" fillId="3" borderId="11" xfId="0" applyNumberFormat="1" applyFont="1" applyFill="1" applyBorder="1"/>
    <xf numFmtId="164" fontId="3" fillId="3" borderId="12" xfId="0" applyNumberFormat="1" applyFont="1" applyFill="1" applyBorder="1"/>
    <xf numFmtId="164" fontId="3" fillId="3" borderId="13" xfId="0" applyNumberFormat="1" applyFont="1" applyFill="1" applyBorder="1"/>
    <xf numFmtId="164" fontId="3" fillId="3" borderId="11" xfId="0" applyNumberFormat="1" applyFont="1" applyFill="1" applyBorder="1"/>
    <xf numFmtId="164" fontId="3" fillId="3" borderId="10" xfId="0" applyNumberFormat="1" applyFont="1" applyFill="1" applyBorder="1"/>
    <xf numFmtId="164" fontId="3" fillId="3" borderId="14" xfId="0" applyNumberFormat="1" applyFont="1" applyFill="1" applyBorder="1"/>
    <xf numFmtId="164" fontId="3" fillId="3" borderId="37" xfId="0" applyNumberFormat="1" applyFont="1" applyFill="1" applyBorder="1"/>
    <xf numFmtId="3" fontId="3" fillId="2" borderId="38" xfId="0" applyNumberFormat="1" applyFont="1" applyFill="1" applyBorder="1"/>
    <xf numFmtId="10" fontId="3" fillId="0" borderId="20" xfId="0" applyNumberFormat="1" applyFont="1" applyBorder="1"/>
    <xf numFmtId="164" fontId="3" fillId="0" borderId="20" xfId="0" applyNumberFormat="1" applyFont="1" applyBorder="1"/>
    <xf numFmtId="10" fontId="3" fillId="2" borderId="25" xfId="0" applyNumberFormat="1" applyFont="1" applyFill="1" applyBorder="1"/>
    <xf numFmtId="43" fontId="3" fillId="0" borderId="39" xfId="0" applyNumberFormat="1" applyFont="1" applyBorder="1"/>
    <xf numFmtId="3" fontId="3" fillId="0" borderId="32" xfId="0" applyNumberFormat="1" applyFont="1" applyBorder="1"/>
    <xf numFmtId="3" fontId="3" fillId="0" borderId="35" xfId="0" applyNumberFormat="1" applyFont="1" applyBorder="1"/>
    <xf numFmtId="164" fontId="3" fillId="0" borderId="32" xfId="0" applyNumberFormat="1" applyFont="1" applyBorder="1"/>
    <xf numFmtId="10" fontId="4" fillId="2" borderId="12" xfId="0" applyNumberFormat="1" applyFont="1" applyFill="1" applyBorder="1"/>
    <xf numFmtId="10" fontId="4" fillId="2" borderId="40" xfId="0" applyNumberFormat="1" applyFont="1" applyFill="1" applyBorder="1"/>
    <xf numFmtId="43" fontId="3" fillId="4" borderId="9" xfId="0" applyNumberFormat="1" applyFont="1" applyFill="1" applyBorder="1"/>
    <xf numFmtId="10" fontId="4" fillId="2" borderId="41" xfId="0" applyNumberFormat="1" applyFont="1" applyFill="1" applyBorder="1"/>
    <xf numFmtId="3" fontId="4" fillId="4" borderId="9" xfId="0" applyNumberFormat="1" applyFont="1" applyFill="1" applyBorder="1"/>
    <xf numFmtId="10" fontId="4" fillId="2" borderId="42" xfId="0" applyNumberFormat="1" applyFont="1" applyFill="1" applyBorder="1"/>
    <xf numFmtId="0" fontId="4" fillId="2" borderId="43" xfId="0" applyFont="1" applyFill="1" applyBorder="1"/>
    <xf numFmtId="0" fontId="3" fillId="2" borderId="44" xfId="0" applyFont="1" applyFill="1" applyBorder="1"/>
    <xf numFmtId="0" fontId="3" fillId="2" borderId="45" xfId="0" applyFont="1" applyFill="1" applyBorder="1"/>
    <xf numFmtId="3" fontId="3" fillId="2" borderId="45" xfId="0" applyNumberFormat="1" applyFont="1" applyFill="1" applyBorder="1"/>
    <xf numFmtId="0" fontId="3" fillId="2" borderId="46" xfId="0" applyFont="1" applyFill="1" applyBorder="1"/>
    <xf numFmtId="164" fontId="3" fillId="0" borderId="36" xfId="0" applyNumberFormat="1" applyFont="1" applyBorder="1"/>
    <xf numFmtId="164" fontId="3" fillId="0" borderId="39" xfId="0" applyNumberFormat="1" applyFont="1" applyBorder="1"/>
    <xf numFmtId="0" fontId="3" fillId="2" borderId="47" xfId="0" applyFont="1" applyFill="1" applyBorder="1"/>
    <xf numFmtId="0" fontId="3" fillId="2" borderId="48" xfId="0" applyFont="1" applyFill="1" applyBorder="1"/>
    <xf numFmtId="0" fontId="3" fillId="0" borderId="39" xfId="0" applyFont="1" applyBorder="1"/>
    <xf numFmtId="3" fontId="3" fillId="0" borderId="39" xfId="0" applyNumberFormat="1" applyFont="1" applyBorder="1"/>
    <xf numFmtId="0" fontId="3" fillId="0" borderId="49" xfId="0" applyFont="1" applyBorder="1"/>
    <xf numFmtId="0" fontId="3" fillId="0" borderId="36" xfId="0" applyFont="1" applyBorder="1"/>
    <xf numFmtId="0" fontId="7" fillId="0" borderId="0" xfId="0" applyFont="1"/>
    <xf numFmtId="0" fontId="4" fillId="3" borderId="9" xfId="0" applyFont="1" applyFill="1" applyBorder="1"/>
    <xf numFmtId="3" fontId="4" fillId="3" borderId="13" xfId="0" applyNumberFormat="1" applyFont="1" applyFill="1" applyBorder="1"/>
    <xf numFmtId="10" fontId="4" fillId="3" borderId="11" xfId="0" applyNumberFormat="1" applyFont="1" applyFill="1" applyBorder="1"/>
    <xf numFmtId="3" fontId="4" fillId="3" borderId="11" xfId="0" applyNumberFormat="1" applyFont="1" applyFill="1" applyBorder="1"/>
    <xf numFmtId="10" fontId="4" fillId="3" borderId="12" xfId="0" applyNumberFormat="1" applyFont="1" applyFill="1" applyBorder="1"/>
    <xf numFmtId="3" fontId="4" fillId="3" borderId="50" xfId="0" applyNumberFormat="1" applyFont="1" applyFill="1" applyBorder="1"/>
    <xf numFmtId="10" fontId="4" fillId="3" borderId="14" xfId="0" applyNumberFormat="1" applyFont="1" applyFill="1" applyBorder="1"/>
    <xf numFmtId="10" fontId="4" fillId="3" borderId="51" xfId="0" applyNumberFormat="1" applyFont="1" applyFill="1" applyBorder="1"/>
    <xf numFmtId="0" fontId="4" fillId="3" borderId="12" xfId="0" applyFont="1" applyFill="1" applyBorder="1"/>
    <xf numFmtId="0" fontId="4" fillId="3" borderId="11" xfId="0" applyFont="1" applyFill="1" applyBorder="1"/>
    <xf numFmtId="164" fontId="4" fillId="3" borderId="11" xfId="0" applyNumberFormat="1" applyFont="1" applyFill="1" applyBorder="1"/>
    <xf numFmtId="3" fontId="3" fillId="0" borderId="13" xfId="0" applyNumberFormat="1" applyFont="1" applyBorder="1"/>
    <xf numFmtId="10" fontId="4" fillId="0" borderId="11" xfId="0" applyNumberFormat="1" applyFont="1" applyBorder="1"/>
    <xf numFmtId="3" fontId="4" fillId="0" borderId="11" xfId="0" applyNumberFormat="1" applyFont="1" applyBorder="1"/>
    <xf numFmtId="10" fontId="4" fillId="0" borderId="12" xfId="0" applyNumberFormat="1" applyFont="1" applyBorder="1"/>
    <xf numFmtId="0" fontId="4" fillId="0" borderId="12" xfId="0" applyFont="1" applyBorder="1"/>
    <xf numFmtId="164" fontId="4" fillId="0" borderId="11" xfId="0" applyNumberFormat="1" applyFont="1" applyBorder="1"/>
    <xf numFmtId="0" fontId="4" fillId="0" borderId="11" xfId="0" applyFont="1" applyBorder="1"/>
    <xf numFmtId="3" fontId="4" fillId="0" borderId="13" xfId="0" applyNumberFormat="1" applyFont="1" applyBorder="1"/>
    <xf numFmtId="164" fontId="4" fillId="0" borderId="13" xfId="0" applyNumberFormat="1" applyFont="1" applyBorder="1"/>
    <xf numFmtId="3" fontId="8" fillId="0" borderId="0" xfId="0" applyNumberFormat="1" applyFont="1"/>
    <xf numFmtId="10" fontId="8" fillId="0" borderId="0" xfId="0" applyNumberFormat="1" applyFont="1"/>
    <xf numFmtId="164" fontId="8" fillId="0" borderId="0" xfId="0" applyNumberFormat="1" applyFont="1"/>
    <xf numFmtId="9" fontId="9" fillId="0" borderId="0" xfId="0" applyNumberFormat="1" applyFont="1"/>
    <xf numFmtId="3" fontId="9" fillId="0" borderId="0" xfId="0" applyNumberFormat="1" applyFont="1"/>
    <xf numFmtId="0" fontId="9" fillId="0" borderId="0" xfId="0" applyFont="1"/>
    <xf numFmtId="164" fontId="9" fillId="0" borderId="0" xfId="0" applyNumberFormat="1" applyFont="1"/>
    <xf numFmtId="164" fontId="3" fillId="0" borderId="57" xfId="0" applyNumberFormat="1" applyFont="1" applyBorder="1"/>
    <xf numFmtId="0" fontId="3" fillId="2" borderId="17" xfId="0" applyFont="1" applyFill="1" applyBorder="1"/>
    <xf numFmtId="164" fontId="3" fillId="0" borderId="25" xfId="0" applyNumberFormat="1" applyFont="1" applyBorder="1"/>
    <xf numFmtId="0" fontId="3" fillId="2" borderId="25" xfId="0" applyFont="1" applyFill="1" applyBorder="1"/>
    <xf numFmtId="164" fontId="3" fillId="0" borderId="58" xfId="0" applyNumberFormat="1" applyFont="1" applyBorder="1"/>
    <xf numFmtId="0" fontId="3" fillId="2" borderId="30" xfId="0" applyFont="1" applyFill="1" applyBorder="1"/>
    <xf numFmtId="164" fontId="3" fillId="0" borderId="59" xfId="0" applyNumberFormat="1" applyFont="1" applyBorder="1"/>
    <xf numFmtId="164" fontId="3" fillId="0" borderId="60" xfId="0" applyNumberFormat="1" applyFont="1" applyBorder="1"/>
    <xf numFmtId="164" fontId="3" fillId="0" borderId="61" xfId="0" applyNumberFormat="1" applyFont="1" applyBorder="1"/>
    <xf numFmtId="164" fontId="4" fillId="0" borderId="41" xfId="0" applyNumberFormat="1" applyFont="1" applyBorder="1"/>
    <xf numFmtId="164" fontId="4" fillId="0" borderId="40" xfId="0" applyNumberFormat="1" applyFont="1" applyBorder="1"/>
    <xf numFmtId="164" fontId="4" fillId="0" borderId="9" xfId="0" applyNumberFormat="1" applyFont="1" applyBorder="1"/>
    <xf numFmtId="3" fontId="3" fillId="0" borderId="11" xfId="0" applyNumberFormat="1" applyFont="1" applyBorder="1"/>
    <xf numFmtId="0" fontId="4" fillId="0" borderId="40" xfId="0" applyFont="1" applyBorder="1"/>
    <xf numFmtId="3" fontId="3" fillId="0" borderId="9" xfId="0" applyNumberFormat="1" applyFont="1" applyBorder="1"/>
    <xf numFmtId="0" fontId="4" fillId="0" borderId="41" xfId="0" applyFont="1" applyBorder="1"/>
    <xf numFmtId="0" fontId="3" fillId="2" borderId="38" xfId="0" applyFont="1" applyFill="1" applyBorder="1"/>
    <xf numFmtId="0" fontId="3" fillId="2" borderId="18" xfId="0" applyFont="1" applyFill="1" applyBorder="1"/>
    <xf numFmtId="0" fontId="3" fillId="2" borderId="26" xfId="0" applyFont="1" applyFill="1" applyBorder="1"/>
    <xf numFmtId="164" fontId="3" fillId="0" borderId="62" xfId="0" applyNumberFormat="1" applyFont="1" applyBorder="1"/>
    <xf numFmtId="0" fontId="3" fillId="2" borderId="31" xfId="0" applyFont="1" applyFill="1" applyBorder="1"/>
    <xf numFmtId="164" fontId="3" fillId="0" borderId="9" xfId="0" applyNumberFormat="1" applyFont="1" applyBorder="1"/>
    <xf numFmtId="0" fontId="4" fillId="4" borderId="9" xfId="0" applyFont="1" applyFill="1" applyBorder="1"/>
    <xf numFmtId="3" fontId="4" fillId="4" borderId="13" xfId="0" applyNumberFormat="1" applyFont="1" applyFill="1" applyBorder="1"/>
    <xf numFmtId="10" fontId="4" fillId="4" borderId="11" xfId="0" applyNumberFormat="1" applyFont="1" applyFill="1" applyBorder="1"/>
    <xf numFmtId="3" fontId="4" fillId="4" borderId="11" xfId="0" applyNumberFormat="1" applyFont="1" applyFill="1" applyBorder="1"/>
    <xf numFmtId="0" fontId="4" fillId="4" borderId="12" xfId="0" applyFont="1" applyFill="1" applyBorder="1"/>
    <xf numFmtId="164" fontId="4" fillId="4" borderId="10" xfId="0" applyNumberFormat="1" applyFont="1" applyFill="1" applyBorder="1"/>
    <xf numFmtId="164" fontId="4" fillId="4" borderId="11" xfId="0" applyNumberFormat="1" applyFont="1" applyFill="1" applyBorder="1"/>
    <xf numFmtId="0" fontId="4" fillId="4" borderId="11" xfId="0" applyFont="1" applyFill="1" applyBorder="1"/>
    <xf numFmtId="0" fontId="4" fillId="2" borderId="63" xfId="0" applyFont="1" applyFill="1" applyBorder="1"/>
    <xf numFmtId="3" fontId="3" fillId="2" borderId="35" xfId="0" applyNumberFormat="1" applyFont="1" applyFill="1" applyBorder="1"/>
    <xf numFmtId="10" fontId="3" fillId="2" borderId="32" xfId="0" applyNumberFormat="1" applyFont="1" applyFill="1" applyBorder="1"/>
    <xf numFmtId="3" fontId="3" fillId="2" borderId="32" xfId="0" applyNumberFormat="1" applyFont="1" applyFill="1" applyBorder="1"/>
    <xf numFmtId="0" fontId="3" fillId="2" borderId="34" xfId="0" applyFont="1" applyFill="1" applyBorder="1"/>
    <xf numFmtId="164" fontId="3" fillId="0" borderId="64" xfId="0" applyNumberFormat="1" applyFont="1" applyBorder="1"/>
    <xf numFmtId="3" fontId="3" fillId="2" borderId="65" xfId="0" applyNumberFormat="1" applyFont="1" applyFill="1" applyBorder="1"/>
    <xf numFmtId="0" fontId="3" fillId="2" borderId="32" xfId="0" applyFont="1" applyFill="1" applyBorder="1"/>
    <xf numFmtId="0" fontId="2" fillId="0" borderId="9" xfId="0" applyFont="1" applyBorder="1"/>
    <xf numFmtId="164" fontId="4" fillId="4" borderId="9" xfId="0" applyNumberFormat="1" applyFont="1" applyFill="1" applyBorder="1"/>
    <xf numFmtId="10" fontId="4" fillId="4" borderId="9" xfId="0" applyNumberFormat="1" applyFont="1" applyFill="1" applyBorder="1"/>
    <xf numFmtId="0" fontId="4" fillId="2" borderId="66" xfId="0" applyFont="1" applyFill="1" applyBorder="1"/>
    <xf numFmtId="0" fontId="3" fillId="2" borderId="67" xfId="0" applyFont="1" applyFill="1" applyBorder="1"/>
    <xf numFmtId="0" fontId="3" fillId="2" borderId="68" xfId="0" applyFont="1" applyFill="1" applyBorder="1"/>
    <xf numFmtId="0" fontId="3" fillId="2" borderId="69" xfId="0" applyFont="1" applyFill="1" applyBorder="1"/>
    <xf numFmtId="10" fontId="4" fillId="2" borderId="9" xfId="0" applyNumberFormat="1" applyFont="1" applyFill="1" applyBorder="1"/>
    <xf numFmtId="10" fontId="4" fillId="4" borderId="13" xfId="0" applyNumberFormat="1" applyFont="1" applyFill="1" applyBorder="1"/>
    <xf numFmtId="10" fontId="10" fillId="4" borderId="11" xfId="0" applyNumberFormat="1" applyFont="1" applyFill="1" applyBorder="1"/>
    <xf numFmtId="10" fontId="10" fillId="4" borderId="12" xfId="0" applyNumberFormat="1" applyFont="1" applyFill="1" applyBorder="1"/>
    <xf numFmtId="164" fontId="10" fillId="4" borderId="10" xfId="0" applyNumberFormat="1" applyFont="1" applyFill="1" applyBorder="1"/>
    <xf numFmtId="164" fontId="10" fillId="4" borderId="11" xfId="0" applyNumberFormat="1" applyFont="1" applyFill="1" applyBorder="1"/>
    <xf numFmtId="3" fontId="2" fillId="0" borderId="0" xfId="0" applyNumberFormat="1" applyFont="1"/>
    <xf numFmtId="0" fontId="11" fillId="0" borderId="0" xfId="0" applyFont="1"/>
    <xf numFmtId="165" fontId="7" fillId="0" borderId="0" xfId="0" applyNumberFormat="1" applyFont="1"/>
    <xf numFmtId="0" fontId="9" fillId="0" borderId="25" xfId="0" applyFont="1" applyBorder="1"/>
    <xf numFmtId="165" fontId="7" fillId="2" borderId="25" xfId="0" applyNumberFormat="1" applyFont="1" applyFill="1" applyBorder="1"/>
    <xf numFmtId="0" fontId="7" fillId="2" borderId="25" xfId="0" applyFont="1" applyFill="1" applyBorder="1"/>
    <xf numFmtId="3" fontId="9" fillId="0" borderId="25" xfId="0" applyNumberFormat="1" applyFont="1" applyBorder="1"/>
    <xf numFmtId="3" fontId="7" fillId="2" borderId="25" xfId="0" applyNumberFormat="1" applyFont="1" applyFill="1" applyBorder="1"/>
    <xf numFmtId="10" fontId="7" fillId="2" borderId="25" xfId="0" applyNumberFormat="1" applyFont="1" applyFill="1" applyBorder="1"/>
    <xf numFmtId="0" fontId="12" fillId="0" borderId="0" xfId="0" applyFont="1" applyAlignment="1">
      <alignment horizontal="center"/>
    </xf>
    <xf numFmtId="0" fontId="13" fillId="5" borderId="70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3" fillId="5" borderId="71" xfId="0" applyFont="1" applyFill="1" applyBorder="1" applyAlignment="1">
      <alignment horizontal="center"/>
    </xf>
    <xf numFmtId="0" fontId="4" fillId="6" borderId="72" xfId="0" applyFont="1" applyFill="1" applyBorder="1" applyAlignment="1">
      <alignment horizontal="center"/>
    </xf>
    <xf numFmtId="0" fontId="4" fillId="7" borderId="72" xfId="0" applyFont="1" applyFill="1" applyBorder="1" applyAlignment="1">
      <alignment horizontal="center"/>
    </xf>
    <xf numFmtId="0" fontId="4" fillId="3" borderId="72" xfId="0" applyFont="1" applyFill="1" applyBorder="1" applyAlignment="1">
      <alignment horizontal="center"/>
    </xf>
    <xf numFmtId="0" fontId="12" fillId="0" borderId="25" xfId="0" applyFont="1" applyBorder="1"/>
    <xf numFmtId="166" fontId="12" fillId="0" borderId="0" xfId="0" applyNumberFormat="1" applyFont="1" applyAlignment="1">
      <alignment horizontal="center"/>
    </xf>
    <xf numFmtId="166" fontId="13" fillId="5" borderId="70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3" fillId="3" borderId="70" xfId="0" applyNumberFormat="1" applyFont="1" applyFill="1" applyBorder="1" applyAlignment="1">
      <alignment horizontal="left"/>
    </xf>
    <xf numFmtId="4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10" fontId="2" fillId="0" borderId="0" xfId="0" applyNumberFormat="1" applyFont="1"/>
    <xf numFmtId="0" fontId="3" fillId="0" borderId="0" xfId="0" applyFont="1" applyAlignment="1">
      <alignment horizontal="right"/>
    </xf>
    <xf numFmtId="3" fontId="9" fillId="0" borderId="25" xfId="0" applyNumberFormat="1" applyFont="1" applyBorder="1" applyAlignment="1">
      <alignment horizontal="right"/>
    </xf>
    <xf numFmtId="4" fontId="9" fillId="0" borderId="0" xfId="0" applyNumberFormat="1" applyFont="1"/>
    <xf numFmtId="0" fontId="14" fillId="0" borderId="0" xfId="0" applyFont="1"/>
    <xf numFmtId="3" fontId="9" fillId="2" borderId="25" xfId="0" applyNumberFormat="1" applyFont="1" applyFill="1" applyBorder="1"/>
    <xf numFmtId="10" fontId="9" fillId="2" borderId="25" xfId="0" applyNumberFormat="1" applyFont="1" applyFill="1" applyBorder="1"/>
    <xf numFmtId="164" fontId="9" fillId="0" borderId="25" xfId="0" applyNumberFormat="1" applyFont="1" applyBorder="1"/>
    <xf numFmtId="10" fontId="9" fillId="0" borderId="25" xfId="0" applyNumberFormat="1" applyFont="1" applyBorder="1"/>
    <xf numFmtId="0" fontId="7" fillId="2" borderId="32" xfId="0" applyFont="1" applyFill="1" applyBorder="1"/>
    <xf numFmtId="3" fontId="9" fillId="2" borderId="32" xfId="0" applyNumberFormat="1" applyFont="1" applyFill="1" applyBorder="1"/>
    <xf numFmtId="10" fontId="9" fillId="2" borderId="32" xfId="0" applyNumberFormat="1" applyFont="1" applyFill="1" applyBorder="1"/>
    <xf numFmtId="3" fontId="7" fillId="2" borderId="32" xfId="0" applyNumberFormat="1" applyFont="1" applyFill="1" applyBorder="1"/>
    <xf numFmtId="3" fontId="9" fillId="0" borderId="32" xfId="0" applyNumberFormat="1" applyFont="1" applyBorder="1"/>
    <xf numFmtId="3" fontId="9" fillId="0" borderId="32" xfId="0" applyNumberFormat="1" applyFont="1" applyBorder="1" applyAlignment="1"/>
    <xf numFmtId="0" fontId="7" fillId="2" borderId="11" xfId="0" applyFont="1" applyFill="1" applyBorder="1"/>
    <xf numFmtId="3" fontId="7" fillId="2" borderId="11" xfId="0" applyNumberFormat="1" applyFont="1" applyFill="1" applyBorder="1"/>
    <xf numFmtId="10" fontId="9" fillId="2" borderId="11" xfId="0" applyNumberFormat="1" applyFont="1" applyFill="1" applyBorder="1"/>
    <xf numFmtId="0" fontId="7" fillId="2" borderId="20" xfId="0" applyFont="1" applyFill="1" applyBorder="1"/>
    <xf numFmtId="0" fontId="9" fillId="2" borderId="20" xfId="0" applyFont="1" applyFill="1" applyBorder="1"/>
    <xf numFmtId="0" fontId="9" fillId="0" borderId="20" xfId="0" applyFont="1" applyBorder="1"/>
    <xf numFmtId="3" fontId="9" fillId="0" borderId="20" xfId="0" applyNumberFormat="1" applyFont="1" applyBorder="1"/>
    <xf numFmtId="3" fontId="9" fillId="2" borderId="20" xfId="0" applyNumberFormat="1" applyFont="1" applyFill="1" applyBorder="1"/>
    <xf numFmtId="43" fontId="9" fillId="0" borderId="25" xfId="0" applyNumberFormat="1" applyFont="1" applyBorder="1"/>
    <xf numFmtId="3" fontId="9" fillId="2" borderId="32" xfId="0" applyNumberFormat="1" applyFont="1" applyFill="1" applyBorder="1" applyAlignment="1">
      <alignment horizontal="right"/>
    </xf>
    <xf numFmtId="10" fontId="9" fillId="2" borderId="32" xfId="0" applyNumberFormat="1" applyFont="1" applyFill="1" applyBorder="1" applyAlignment="1">
      <alignment horizontal="right"/>
    </xf>
    <xf numFmtId="10" fontId="9" fillId="0" borderId="32" xfId="0" applyNumberFormat="1" applyFont="1" applyBorder="1"/>
    <xf numFmtId="0" fontId="9" fillId="0" borderId="32" xfId="0" applyFont="1" applyBorder="1"/>
    <xf numFmtId="10" fontId="7" fillId="2" borderId="11" xfId="0" applyNumberFormat="1" applyFont="1" applyFill="1" applyBorder="1"/>
    <xf numFmtId="164" fontId="7" fillId="2" borderId="11" xfId="0" applyNumberFormat="1" applyFont="1" applyFill="1" applyBorder="1"/>
    <xf numFmtId="0" fontId="7" fillId="2" borderId="39" xfId="0" applyFont="1" applyFill="1" applyBorder="1"/>
    <xf numFmtId="0" fontId="9" fillId="2" borderId="39" xfId="0" applyFont="1" applyFill="1" applyBorder="1"/>
    <xf numFmtId="0" fontId="9" fillId="0" borderId="39" xfId="0" applyFont="1" applyBorder="1"/>
    <xf numFmtId="3" fontId="9" fillId="0" borderId="39" xfId="0" applyNumberFormat="1" applyFont="1" applyBorder="1"/>
    <xf numFmtId="3" fontId="9" fillId="2" borderId="39" xfId="0" applyNumberFormat="1" applyFont="1" applyFill="1" applyBorder="1"/>
    <xf numFmtId="3" fontId="9" fillId="2" borderId="11" xfId="0" applyNumberFormat="1" applyFont="1" applyFill="1" applyBorder="1"/>
    <xf numFmtId="0" fontId="9" fillId="2" borderId="11" xfId="0" applyFont="1" applyFill="1" applyBorder="1"/>
    <xf numFmtId="3" fontId="7" fillId="0" borderId="39" xfId="0" applyNumberFormat="1" applyFont="1" applyBorder="1"/>
    <xf numFmtId="0" fontId="7" fillId="0" borderId="39" xfId="0" applyFont="1" applyBorder="1"/>
    <xf numFmtId="10" fontId="9" fillId="0" borderId="0" xfId="0" applyNumberFormat="1" applyFont="1"/>
    <xf numFmtId="164" fontId="9" fillId="0" borderId="11" xfId="0" applyNumberFormat="1" applyFont="1" applyBorder="1"/>
    <xf numFmtId="0" fontId="9" fillId="0" borderId="11" xfId="0" applyFont="1" applyBorder="1"/>
    <xf numFmtId="43" fontId="9" fillId="0" borderId="11" xfId="0" applyNumberFormat="1" applyFont="1" applyBorder="1"/>
    <xf numFmtId="3" fontId="9" fillId="0" borderId="11" xfId="0" applyNumberFormat="1" applyFont="1" applyBorder="1"/>
    <xf numFmtId="10" fontId="9" fillId="0" borderId="11" xfId="0" applyNumberFormat="1" applyFont="1" applyBorder="1"/>
    <xf numFmtId="3" fontId="9" fillId="2" borderId="11" xfId="0" applyNumberFormat="1" applyFont="1" applyFill="1" applyBorder="1" applyAlignment="1">
      <alignment horizontal="right"/>
    </xf>
    <xf numFmtId="10" fontId="9" fillId="2" borderId="11" xfId="0" applyNumberFormat="1" applyFont="1" applyFill="1" applyBorder="1" applyAlignment="1">
      <alignment horizontal="right"/>
    </xf>
    <xf numFmtId="0" fontId="14" fillId="0" borderId="6" xfId="0" applyFont="1" applyBorder="1"/>
    <xf numFmtId="0" fontId="15" fillId="0" borderId="0" xfId="0" applyFont="1"/>
    <xf numFmtId="0" fontId="16" fillId="0" borderId="0" xfId="0" applyFont="1"/>
    <xf numFmtId="0" fontId="12" fillId="0" borderId="0" xfId="0" applyFont="1"/>
    <xf numFmtId="0" fontId="15" fillId="0" borderId="0" xfId="0" applyFont="1" applyAlignment="1">
      <alignment vertical="top" wrapText="1"/>
    </xf>
    <xf numFmtId="0" fontId="17" fillId="8" borderId="13" xfId="0" applyFont="1" applyFill="1" applyBorder="1" applyAlignment="1">
      <alignment horizontal="center" vertical="top" wrapText="1"/>
    </xf>
    <xf numFmtId="0" fontId="17" fillId="8" borderId="12" xfId="0" applyFont="1" applyFill="1" applyBorder="1" applyAlignment="1">
      <alignment horizontal="center" vertical="top" wrapText="1"/>
    </xf>
    <xf numFmtId="0" fontId="17" fillId="0" borderId="76" xfId="0" applyFont="1" applyBorder="1" applyAlignment="1">
      <alignment horizontal="center"/>
    </xf>
    <xf numFmtId="0" fontId="12" fillId="0" borderId="77" xfId="0" applyFont="1" applyBorder="1"/>
    <xf numFmtId="3" fontId="12" fillId="0" borderId="36" xfId="0" applyNumberFormat="1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5" xfId="0" applyFont="1" applyBorder="1"/>
    <xf numFmtId="164" fontId="17" fillId="0" borderId="13" xfId="0" applyNumberFormat="1" applyFont="1" applyBorder="1" applyAlignment="1">
      <alignment horizontal="center"/>
    </xf>
    <xf numFmtId="164" fontId="17" fillId="0" borderId="12" xfId="0" applyNumberFormat="1" applyFont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79" xfId="0" applyFont="1" applyBorder="1"/>
    <xf numFmtId="164" fontId="12" fillId="0" borderId="19" xfId="0" applyNumberFormat="1" applyFont="1" applyBorder="1" applyAlignment="1">
      <alignment horizontal="center"/>
    </xf>
    <xf numFmtId="164" fontId="12" fillId="0" borderId="23" xfId="0" applyNumberFormat="1" applyFont="1" applyBorder="1" applyAlignment="1">
      <alignment horizontal="center"/>
    </xf>
    <xf numFmtId="0" fontId="12" fillId="0" borderId="24" xfId="0" applyFont="1" applyBorder="1"/>
    <xf numFmtId="0" fontId="12" fillId="0" borderId="80" xfId="0" applyFont="1" applyBorder="1"/>
    <xf numFmtId="164" fontId="12" fillId="0" borderId="16" xfId="0" applyNumberFormat="1" applyFont="1" applyBorder="1" applyAlignment="1">
      <alignment horizontal="center"/>
    </xf>
    <xf numFmtId="164" fontId="12" fillId="0" borderId="26" xfId="0" applyNumberFormat="1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164" fontId="15" fillId="0" borderId="16" xfId="0" applyNumberFormat="1" applyFont="1" applyBorder="1" applyAlignment="1">
      <alignment horizontal="center" vertical="center"/>
    </xf>
    <xf numFmtId="0" fontId="12" fillId="0" borderId="80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7" fillId="0" borderId="24" xfId="0" applyFont="1" applyBorder="1"/>
    <xf numFmtId="0" fontId="18" fillId="0" borderId="80" xfId="0" applyFont="1" applyBorder="1"/>
    <xf numFmtId="0" fontId="12" fillId="0" borderId="63" xfId="0" applyFont="1" applyBorder="1"/>
    <xf numFmtId="0" fontId="12" fillId="0" borderId="81" xfId="0" applyFont="1" applyBorder="1"/>
    <xf numFmtId="164" fontId="12" fillId="0" borderId="35" xfId="0" applyNumberFormat="1" applyFont="1" applyBorder="1" applyAlignment="1">
      <alignment horizontal="center"/>
    </xf>
    <xf numFmtId="164" fontId="12" fillId="0" borderId="34" xfId="0" applyNumberFormat="1" applyFont="1" applyBorder="1" applyAlignment="1">
      <alignment horizontal="center"/>
    </xf>
    <xf numFmtId="0" fontId="17" fillId="0" borderId="9" xfId="0" applyFont="1" applyBorder="1"/>
    <xf numFmtId="0" fontId="12" fillId="0" borderId="9" xfId="0" applyFont="1" applyBorder="1"/>
    <xf numFmtId="164" fontId="12" fillId="0" borderId="13" xfId="0" applyNumberFormat="1" applyFont="1" applyBorder="1" applyAlignment="1">
      <alignment horizontal="center"/>
    </xf>
    <xf numFmtId="164" fontId="12" fillId="0" borderId="12" xfId="0" applyNumberFormat="1" applyFont="1" applyBorder="1" applyAlignment="1">
      <alignment horizontal="center"/>
    </xf>
    <xf numFmtId="0" fontId="12" fillId="0" borderId="78" xfId="0" applyFont="1" applyBorder="1"/>
    <xf numFmtId="0" fontId="19" fillId="0" borderId="80" xfId="0" applyFont="1" applyBorder="1" applyAlignment="1">
      <alignment horizontal="left"/>
    </xf>
    <xf numFmtId="164" fontId="12" fillId="0" borderId="73" xfId="0" applyNumberFormat="1" applyFont="1" applyBorder="1" applyAlignment="1">
      <alignment horizontal="center"/>
    </xf>
    <xf numFmtId="164" fontId="20" fillId="0" borderId="25" xfId="0" applyNumberFormat="1" applyFont="1" applyBorder="1"/>
    <xf numFmtId="164" fontId="12" fillId="0" borderId="82" xfId="0" applyNumberFormat="1" applyFont="1" applyBorder="1" applyAlignment="1">
      <alignment horizontal="center"/>
    </xf>
    <xf numFmtId="0" fontId="12" fillId="0" borderId="52" xfId="0" applyFont="1" applyBorder="1"/>
    <xf numFmtId="0" fontId="17" fillId="0" borderId="81" xfId="0" applyFont="1" applyBorder="1" applyAlignment="1">
      <alignment horizontal="left" vertical="top"/>
    </xf>
    <xf numFmtId="0" fontId="21" fillId="0" borderId="5" xfId="0" applyFont="1" applyBorder="1"/>
    <xf numFmtId="164" fontId="12" fillId="0" borderId="83" xfId="0" applyNumberFormat="1" applyFont="1" applyBorder="1" applyAlignment="1">
      <alignment horizontal="center"/>
    </xf>
    <xf numFmtId="0" fontId="22" fillId="0" borderId="81" xfId="0" applyFont="1" applyBorder="1"/>
    <xf numFmtId="164" fontId="17" fillId="0" borderId="8" xfId="0" applyNumberFormat="1" applyFont="1" applyBorder="1" applyAlignment="1">
      <alignment horizontal="center"/>
    </xf>
    <xf numFmtId="164" fontId="12" fillId="0" borderId="84" xfId="0" applyNumberFormat="1" applyFont="1" applyBorder="1" applyAlignment="1">
      <alignment horizontal="center"/>
    </xf>
    <xf numFmtId="164" fontId="12" fillId="0" borderId="36" xfId="0" applyNumberFormat="1" applyFont="1" applyBorder="1" applyAlignment="1">
      <alignment horizontal="center"/>
    </xf>
    <xf numFmtId="164" fontId="12" fillId="0" borderId="74" xfId="0" applyNumberFormat="1" applyFont="1" applyBorder="1" applyAlignment="1">
      <alignment horizontal="center"/>
    </xf>
    <xf numFmtId="164" fontId="12" fillId="0" borderId="25" xfId="0" applyNumberFormat="1" applyFont="1" applyBorder="1" applyAlignment="1">
      <alignment horizontal="center"/>
    </xf>
    <xf numFmtId="164" fontId="20" fillId="0" borderId="0" xfId="0" applyNumberFormat="1" applyFont="1"/>
    <xf numFmtId="0" fontId="15" fillId="0" borderId="77" xfId="0" applyFont="1" applyBorder="1"/>
    <xf numFmtId="0" fontId="12" fillId="0" borderId="85" xfId="0" applyFont="1" applyBorder="1"/>
    <xf numFmtId="0" fontId="12" fillId="0" borderId="76" xfId="0" applyFont="1" applyBorder="1"/>
    <xf numFmtId="164" fontId="12" fillId="0" borderId="49" xfId="0" applyNumberFormat="1" applyFont="1" applyBorder="1" applyAlignment="1">
      <alignment horizontal="center"/>
    </xf>
    <xf numFmtId="164" fontId="12" fillId="0" borderId="86" xfId="0" applyNumberFormat="1" applyFont="1" applyBorder="1" applyAlignment="1">
      <alignment horizontal="center"/>
    </xf>
    <xf numFmtId="164" fontId="15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164" fontId="17" fillId="9" borderId="38" xfId="0" applyNumberFormat="1" applyFont="1" applyFill="1" applyBorder="1" applyAlignment="1">
      <alignment horizontal="center" vertical="top" wrapText="1"/>
    </xf>
    <xf numFmtId="0" fontId="17" fillId="9" borderId="17" xfId="0" applyFont="1" applyFill="1" applyBorder="1" applyAlignment="1">
      <alignment horizontal="center" vertical="top" wrapText="1"/>
    </xf>
    <xf numFmtId="164" fontId="17" fillId="9" borderId="17" xfId="0" applyNumberFormat="1" applyFont="1" applyFill="1" applyBorder="1" applyAlignment="1">
      <alignment horizontal="center" vertical="top" wrapText="1"/>
    </xf>
    <xf numFmtId="0" fontId="17" fillId="9" borderId="18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2" fillId="0" borderId="73" xfId="0" applyFont="1" applyBorder="1"/>
    <xf numFmtId="0" fontId="12" fillId="0" borderId="25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90" xfId="0" applyFont="1" applyBorder="1"/>
    <xf numFmtId="0" fontId="12" fillId="0" borderId="32" xfId="0" applyFont="1" applyBorder="1" applyAlignment="1">
      <alignment horizontal="center"/>
    </xf>
    <xf numFmtId="164" fontId="12" fillId="0" borderId="32" xfId="0" applyNumberFormat="1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40" xfId="0" applyFont="1" applyBorder="1"/>
    <xf numFmtId="10" fontId="17" fillId="0" borderId="11" xfId="0" applyNumberFormat="1" applyFont="1" applyBorder="1" applyAlignment="1">
      <alignment horizontal="center"/>
    </xf>
    <xf numFmtId="164" fontId="17" fillId="0" borderId="11" xfId="0" applyNumberFormat="1" applyFont="1" applyBorder="1" applyAlignment="1">
      <alignment horizontal="center"/>
    </xf>
    <xf numFmtId="10" fontId="17" fillId="0" borderId="12" xfId="0" applyNumberFormat="1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58" xfId="0" applyFont="1" applyBorder="1"/>
    <xf numFmtId="10" fontId="12" fillId="0" borderId="20" xfId="0" applyNumberFormat="1" applyFont="1" applyBorder="1" applyAlignment="1">
      <alignment horizontal="center"/>
    </xf>
    <xf numFmtId="164" fontId="12" fillId="0" borderId="20" xfId="0" applyNumberFormat="1" applyFont="1" applyBorder="1" applyAlignment="1">
      <alignment horizontal="center"/>
    </xf>
    <xf numFmtId="10" fontId="12" fillId="0" borderId="58" xfId="0" applyNumberFormat="1" applyFont="1" applyBorder="1" applyAlignment="1">
      <alignment horizontal="center"/>
    </xf>
    <xf numFmtId="10" fontId="12" fillId="0" borderId="57" xfId="0" applyNumberFormat="1" applyFont="1" applyBorder="1" applyAlignment="1">
      <alignment horizontal="center"/>
    </xf>
    <xf numFmtId="10" fontId="12" fillId="0" borderId="23" xfId="0" applyNumberFormat="1" applyFont="1" applyBorder="1" applyAlignment="1">
      <alignment horizontal="center"/>
    </xf>
    <xf numFmtId="0" fontId="12" fillId="0" borderId="16" xfId="0" applyFont="1" applyBorder="1"/>
    <xf numFmtId="10" fontId="12" fillId="0" borderId="25" xfId="0" applyNumberFormat="1" applyFont="1" applyBorder="1" applyAlignment="1">
      <alignment horizontal="center"/>
    </xf>
    <xf numFmtId="10" fontId="12" fillId="0" borderId="73" xfId="0" applyNumberFormat="1" applyFont="1" applyBorder="1" applyAlignment="1">
      <alignment horizontal="center"/>
    </xf>
    <xf numFmtId="164" fontId="8" fillId="0" borderId="16" xfId="0" applyNumberFormat="1" applyFont="1" applyBorder="1"/>
    <xf numFmtId="10" fontId="12" fillId="0" borderId="62" xfId="0" applyNumberFormat="1" applyFont="1" applyBorder="1" applyAlignment="1">
      <alignment horizontal="center"/>
    </xf>
    <xf numFmtId="10" fontId="12" fillId="0" borderId="26" xfId="0" applyNumberFormat="1" applyFont="1" applyBorder="1" applyAlignment="1">
      <alignment horizontal="center"/>
    </xf>
    <xf numFmtId="10" fontId="12" fillId="0" borderId="32" xfId="0" applyNumberFormat="1" applyFont="1" applyBorder="1" applyAlignment="1">
      <alignment horizontal="center"/>
    </xf>
    <xf numFmtId="10" fontId="12" fillId="0" borderId="34" xfId="0" applyNumberFormat="1" applyFont="1" applyBorder="1" applyAlignment="1">
      <alignment horizontal="center"/>
    </xf>
    <xf numFmtId="0" fontId="12" fillId="0" borderId="26" xfId="0" applyFont="1" applyBorder="1"/>
    <xf numFmtId="164" fontId="8" fillId="0" borderId="62" xfId="0" applyNumberFormat="1" applyFont="1" applyBorder="1" applyAlignment="1">
      <alignment horizontal="center"/>
    </xf>
    <xf numFmtId="164" fontId="8" fillId="0" borderId="25" xfId="0" applyNumberFormat="1" applyFont="1" applyBorder="1"/>
    <xf numFmtId="10" fontId="12" fillId="0" borderId="23" xfId="0" applyNumberFormat="1" applyFont="1" applyBorder="1"/>
    <xf numFmtId="10" fontId="12" fillId="0" borderId="26" xfId="0" applyNumberFormat="1" applyFont="1" applyBorder="1"/>
    <xf numFmtId="0" fontId="12" fillId="0" borderId="73" xfId="0" applyFont="1" applyBorder="1" applyAlignment="1">
      <alignment horizontal="center"/>
    </xf>
    <xf numFmtId="164" fontId="15" fillId="0" borderId="25" xfId="0" applyNumberFormat="1" applyFont="1" applyBorder="1" applyAlignment="1">
      <alignment horizontal="center" vertical="center"/>
    </xf>
    <xf numFmtId="0" fontId="12" fillId="0" borderId="35" xfId="0" applyFont="1" applyBorder="1"/>
    <xf numFmtId="0" fontId="17" fillId="0" borderId="13" xfId="0" applyFont="1" applyBorder="1"/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6" xfId="0" applyFont="1" applyBorder="1"/>
    <xf numFmtId="0" fontId="23" fillId="0" borderId="73" xfId="0" applyFont="1" applyBorder="1"/>
    <xf numFmtId="9" fontId="12" fillId="0" borderId="25" xfId="0" applyNumberFormat="1" applyFont="1" applyBorder="1" applyAlignment="1">
      <alignment horizontal="center"/>
    </xf>
    <xf numFmtId="3" fontId="8" fillId="0" borderId="16" xfId="0" applyNumberFormat="1" applyFont="1" applyBorder="1"/>
    <xf numFmtId="0" fontId="12" fillId="0" borderId="36" xfId="0" applyFont="1" applyBorder="1"/>
    <xf numFmtId="0" fontId="12" fillId="0" borderId="61" xfId="0" applyFont="1" applyBorder="1"/>
    <xf numFmtId="10" fontId="12" fillId="0" borderId="39" xfId="0" applyNumberFormat="1" applyFont="1" applyBorder="1" applyAlignment="1">
      <alignment horizontal="center"/>
    </xf>
    <xf numFmtId="164" fontId="12" fillId="0" borderId="39" xfId="0" applyNumberFormat="1" applyFont="1" applyBorder="1" applyAlignment="1">
      <alignment horizontal="center"/>
    </xf>
    <xf numFmtId="10" fontId="12" fillId="0" borderId="49" xfId="0" applyNumberFormat="1" applyFont="1" applyBorder="1" applyAlignment="1">
      <alignment horizontal="center"/>
    </xf>
    <xf numFmtId="164" fontId="8" fillId="0" borderId="76" xfId="0" applyNumberFormat="1" applyFont="1" applyBorder="1"/>
    <xf numFmtId="10" fontId="12" fillId="0" borderId="59" xfId="0" applyNumberFormat="1" applyFont="1" applyBorder="1" applyAlignment="1">
      <alignment horizontal="center"/>
    </xf>
    <xf numFmtId="0" fontId="17" fillId="0" borderId="87" xfId="0" applyFont="1" applyBorder="1"/>
    <xf numFmtId="0" fontId="17" fillId="0" borderId="91" xfId="0" applyFont="1" applyBorder="1"/>
    <xf numFmtId="164" fontId="17" fillId="0" borderId="87" xfId="0" applyNumberFormat="1" applyFont="1" applyBorder="1" applyAlignment="1">
      <alignment horizontal="center"/>
    </xf>
    <xf numFmtId="10" fontId="17" fillId="0" borderId="92" xfId="0" applyNumberFormat="1" applyFont="1" applyBorder="1" applyAlignment="1">
      <alignment horizontal="center"/>
    </xf>
    <xf numFmtId="164" fontId="17" fillId="0" borderId="92" xfId="0" applyNumberFormat="1" applyFont="1" applyBorder="1" applyAlignment="1">
      <alignment horizontal="center"/>
    </xf>
    <xf numFmtId="10" fontId="17" fillId="0" borderId="93" xfId="0" applyNumberFormat="1" applyFont="1" applyBorder="1" applyAlignment="1">
      <alignment horizontal="center"/>
    </xf>
    <xf numFmtId="164" fontId="17" fillId="0" borderId="9" xfId="0" applyNumberFormat="1" applyFont="1" applyBorder="1" applyAlignment="1">
      <alignment horizontal="center"/>
    </xf>
    <xf numFmtId="10" fontId="17" fillId="0" borderId="94" xfId="0" applyNumberFormat="1" applyFont="1" applyBorder="1" applyAlignment="1">
      <alignment horizontal="center"/>
    </xf>
    <xf numFmtId="10" fontId="17" fillId="0" borderId="41" xfId="0" applyNumberFormat="1" applyFont="1" applyBorder="1" applyAlignment="1">
      <alignment horizontal="center"/>
    </xf>
    <xf numFmtId="0" fontId="24" fillId="0" borderId="58" xfId="0" applyFont="1" applyBorder="1" applyAlignment="1">
      <alignment horizontal="left"/>
    </xf>
    <xf numFmtId="0" fontId="12" fillId="0" borderId="19" xfId="0" applyFont="1" applyBorder="1"/>
    <xf numFmtId="0" fontId="12" fillId="0" borderId="20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25" fillId="0" borderId="40" xfId="0" applyFont="1" applyBorder="1"/>
    <xf numFmtId="0" fontId="26" fillId="0" borderId="90" xfId="0" applyFont="1" applyBorder="1"/>
    <xf numFmtId="0" fontId="15" fillId="0" borderId="58" xfId="0" applyFont="1" applyBorder="1"/>
    <xf numFmtId="164" fontId="12" fillId="0" borderId="79" xfId="0" applyNumberFormat="1" applyFont="1" applyBorder="1" applyAlignment="1">
      <alignment horizontal="center"/>
    </xf>
    <xf numFmtId="164" fontId="12" fillId="0" borderId="19" xfId="0" applyNumberFormat="1" applyFont="1" applyBorder="1" applyAlignment="1">
      <alignment horizontal="center"/>
    </xf>
    <xf numFmtId="164" fontId="12" fillId="0" borderId="80" xfId="0" applyNumberFormat="1" applyFont="1" applyBorder="1" applyAlignment="1">
      <alignment horizontal="center"/>
    </xf>
    <xf numFmtId="0" fontId="15" fillId="0" borderId="90" xfId="0" applyFont="1" applyBorder="1"/>
    <xf numFmtId="0" fontId="12" fillId="0" borderId="39" xfId="0" applyFont="1" applyBorder="1" applyAlignment="1">
      <alignment horizontal="center"/>
    </xf>
    <xf numFmtId="164" fontId="12" fillId="0" borderId="0" xfId="0" applyNumberFormat="1" applyFont="1"/>
    <xf numFmtId="0" fontId="8" fillId="0" borderId="0" xfId="0" applyFont="1"/>
    <xf numFmtId="164" fontId="17" fillId="9" borderId="99" xfId="0" applyNumberFormat="1" applyFont="1" applyFill="1" applyBorder="1" applyAlignment="1">
      <alignment horizontal="center" vertical="top" wrapText="1"/>
    </xf>
    <xf numFmtId="0" fontId="17" fillId="9" borderId="37" xfId="0" applyFont="1" applyFill="1" applyBorder="1" applyAlignment="1">
      <alignment horizontal="center" vertical="top" wrapText="1"/>
    </xf>
    <xf numFmtId="164" fontId="17" fillId="9" borderId="37" xfId="0" applyNumberFormat="1" applyFont="1" applyFill="1" applyBorder="1" applyAlignment="1">
      <alignment horizontal="center" vertical="top" wrapText="1"/>
    </xf>
    <xf numFmtId="0" fontId="17" fillId="9" borderId="100" xfId="0" applyFont="1" applyFill="1" applyBorder="1" applyAlignment="1">
      <alignment horizontal="center" vertical="top" wrapText="1"/>
    </xf>
    <xf numFmtId="164" fontId="17" fillId="9" borderId="9" xfId="0" applyNumberFormat="1" applyFont="1" applyFill="1" applyBorder="1" applyAlignment="1">
      <alignment horizontal="center" vertical="top" wrapText="1"/>
    </xf>
    <xf numFmtId="0" fontId="17" fillId="9" borderId="101" xfId="0" applyFont="1" applyFill="1" applyBorder="1" applyAlignment="1">
      <alignment horizontal="center" vertical="top" wrapText="1"/>
    </xf>
    <xf numFmtId="164" fontId="17" fillId="9" borderId="102" xfId="0" applyNumberFormat="1" applyFont="1" applyFill="1" applyBorder="1" applyAlignment="1">
      <alignment horizontal="center" vertical="top" wrapText="1"/>
    </xf>
    <xf numFmtId="0" fontId="17" fillId="9" borderId="102" xfId="0" applyFont="1" applyFill="1" applyBorder="1" applyAlignment="1">
      <alignment horizontal="center" vertical="top" wrapText="1"/>
    </xf>
    <xf numFmtId="0" fontId="17" fillId="9" borderId="98" xfId="0" applyFont="1" applyFill="1" applyBorder="1" applyAlignment="1">
      <alignment horizontal="center" vertical="top" wrapText="1"/>
    </xf>
    <xf numFmtId="0" fontId="12" fillId="0" borderId="23" xfId="0" applyFont="1" applyBorder="1"/>
    <xf numFmtId="164" fontId="27" fillId="0" borderId="19" xfId="0" applyNumberFormat="1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164" fontId="27" fillId="0" borderId="20" xfId="0" applyNumberFormat="1" applyFont="1" applyBorder="1" applyAlignment="1">
      <alignment horizontal="center"/>
    </xf>
    <xf numFmtId="3" fontId="27" fillId="0" borderId="20" xfId="0" applyNumberFormat="1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164" fontId="27" fillId="0" borderId="16" xfId="0" applyNumberFormat="1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164" fontId="27" fillId="0" borderId="25" xfId="0" applyNumberFormat="1" applyFont="1" applyBorder="1" applyAlignment="1">
      <alignment horizontal="center"/>
    </xf>
    <xf numFmtId="3" fontId="27" fillId="0" borderId="25" xfId="0" applyNumberFormat="1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12" fillId="0" borderId="34" xfId="0" applyFont="1" applyBorder="1"/>
    <xf numFmtId="164" fontId="27" fillId="0" borderId="35" xfId="0" applyNumberFormat="1" applyFont="1" applyBorder="1" applyAlignment="1">
      <alignment horizontal="center"/>
    </xf>
    <xf numFmtId="0" fontId="27" fillId="0" borderId="32" xfId="0" applyFont="1" applyBorder="1" applyAlignment="1">
      <alignment horizontal="center"/>
    </xf>
    <xf numFmtId="164" fontId="27" fillId="0" borderId="32" xfId="0" applyNumberFormat="1" applyFont="1" applyBorder="1" applyAlignment="1">
      <alignment horizontal="center"/>
    </xf>
    <xf numFmtId="3" fontId="27" fillId="0" borderId="32" xfId="0" applyNumberFormat="1" applyFont="1" applyBorder="1" applyAlignment="1">
      <alignment horizontal="center"/>
    </xf>
    <xf numFmtId="0" fontId="27" fillId="0" borderId="34" xfId="0" applyFont="1" applyBorder="1" applyAlignment="1">
      <alignment horizontal="center"/>
    </xf>
    <xf numFmtId="0" fontId="17" fillId="0" borderId="12" xfId="0" applyFont="1" applyBorder="1"/>
    <xf numFmtId="3" fontId="17" fillId="0" borderId="11" xfId="0" applyNumberFormat="1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3" fontId="12" fillId="0" borderId="25" xfId="0" applyNumberFormat="1" applyFont="1" applyBorder="1" applyAlignment="1">
      <alignment horizontal="center"/>
    </xf>
    <xf numFmtId="164" fontId="20" fillId="0" borderId="16" xfId="0" applyNumberFormat="1" applyFont="1" applyBorder="1"/>
    <xf numFmtId="0" fontId="12" fillId="0" borderId="62" xfId="0" applyFont="1" applyBorder="1" applyAlignment="1">
      <alignment horizontal="center"/>
    </xf>
    <xf numFmtId="0" fontId="12" fillId="7" borderId="16" xfId="0" applyFont="1" applyFill="1" applyBorder="1"/>
    <xf numFmtId="0" fontId="12" fillId="7" borderId="26" xfId="0" applyFont="1" applyFill="1" applyBorder="1"/>
    <xf numFmtId="3" fontId="15" fillId="0" borderId="25" xfId="0" applyNumberFormat="1" applyFont="1" applyBorder="1" applyAlignment="1">
      <alignment horizontal="center" vertical="center"/>
    </xf>
    <xf numFmtId="0" fontId="12" fillId="7" borderId="31" xfId="0" applyFont="1" applyFill="1" applyBorder="1"/>
    <xf numFmtId="0" fontId="12" fillId="0" borderId="82" xfId="0" applyFont="1" applyBorder="1"/>
    <xf numFmtId="0" fontId="28" fillId="0" borderId="26" xfId="0" applyFont="1" applyBorder="1"/>
    <xf numFmtId="3" fontId="29" fillId="0" borderId="16" xfId="0" applyNumberFormat="1" applyFont="1" applyBorder="1"/>
    <xf numFmtId="0" fontId="12" fillId="0" borderId="49" xfId="0" applyFont="1" applyBorder="1"/>
    <xf numFmtId="0" fontId="13" fillId="0" borderId="9" xfId="0" applyFont="1" applyBorder="1"/>
    <xf numFmtId="0" fontId="17" fillId="0" borderId="41" xfId="0" applyFont="1" applyBorder="1"/>
    <xf numFmtId="0" fontId="30" fillId="0" borderId="26" xfId="0" applyFont="1" applyBorder="1" applyAlignment="1">
      <alignment horizontal="left"/>
    </xf>
    <xf numFmtId="0" fontId="17" fillId="8" borderId="16" xfId="0" applyFont="1" applyFill="1" applyBorder="1"/>
    <xf numFmtId="0" fontId="17" fillId="8" borderId="26" xfId="0" applyFont="1" applyFill="1" applyBorder="1"/>
    <xf numFmtId="164" fontId="17" fillId="8" borderId="16" xfId="0" applyNumberFormat="1" applyFont="1" applyFill="1" applyBorder="1" applyAlignment="1">
      <alignment horizontal="center"/>
    </xf>
    <xf numFmtId="10" fontId="17" fillId="8" borderId="25" xfId="0" applyNumberFormat="1" applyFont="1" applyFill="1" applyBorder="1" applyAlignment="1">
      <alignment horizontal="center"/>
    </xf>
    <xf numFmtId="164" fontId="17" fillId="8" borderId="25" xfId="0" applyNumberFormat="1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/>
    </xf>
    <xf numFmtId="0" fontId="17" fillId="8" borderId="26" xfId="0" applyFont="1" applyFill="1" applyBorder="1" applyAlignment="1">
      <alignment horizontal="center"/>
    </xf>
    <xf numFmtId="0" fontId="12" fillId="10" borderId="16" xfId="0" applyFont="1" applyFill="1" applyBorder="1"/>
    <xf numFmtId="0" fontId="12" fillId="10" borderId="26" xfId="0" applyFont="1" applyFill="1" applyBorder="1"/>
    <xf numFmtId="164" fontId="12" fillId="10" borderId="16" xfId="0" applyNumberFormat="1" applyFont="1" applyFill="1" applyBorder="1" applyAlignment="1">
      <alignment horizontal="center"/>
    </xf>
    <xf numFmtId="10" fontId="12" fillId="10" borderId="25" xfId="0" applyNumberFormat="1" applyFont="1" applyFill="1" applyBorder="1" applyAlignment="1">
      <alignment horizontal="center"/>
    </xf>
    <xf numFmtId="164" fontId="12" fillId="10" borderId="25" xfId="0" applyNumberFormat="1" applyFont="1" applyFill="1" applyBorder="1" applyAlignment="1">
      <alignment horizontal="center"/>
    </xf>
    <xf numFmtId="0" fontId="12" fillId="10" borderId="25" xfId="0" applyFont="1" applyFill="1" applyBorder="1" applyAlignment="1">
      <alignment horizontal="center"/>
    </xf>
    <xf numFmtId="10" fontId="12" fillId="10" borderId="26" xfId="0" applyNumberFormat="1" applyFont="1" applyFill="1" applyBorder="1" applyAlignment="1">
      <alignment horizontal="center"/>
    </xf>
    <xf numFmtId="0" fontId="13" fillId="0" borderId="80" xfId="0" applyFont="1" applyBorder="1"/>
    <xf numFmtId="0" fontId="13" fillId="0" borderId="82" xfId="0" applyFont="1" applyBorder="1"/>
    <xf numFmtId="164" fontId="17" fillId="0" borderId="16" xfId="0" applyNumberFormat="1" applyFont="1" applyBorder="1" applyAlignment="1">
      <alignment horizontal="center"/>
    </xf>
    <xf numFmtId="10" fontId="17" fillId="0" borderId="25" xfId="0" applyNumberFormat="1" applyFont="1" applyBorder="1" applyAlignment="1">
      <alignment horizontal="center"/>
    </xf>
    <xf numFmtId="164" fontId="17" fillId="0" borderId="25" xfId="0" applyNumberFormat="1" applyFont="1" applyBorder="1" applyAlignment="1">
      <alignment horizontal="center"/>
    </xf>
    <xf numFmtId="3" fontId="17" fillId="0" borderId="25" xfId="0" applyNumberFormat="1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2" fillId="0" borderId="86" xfId="0" applyFont="1" applyBorder="1"/>
    <xf numFmtId="164" fontId="12" fillId="0" borderId="25" xfId="0" applyNumberFormat="1" applyFont="1" applyBorder="1"/>
    <xf numFmtId="164" fontId="12" fillId="0" borderId="16" xfId="0" applyNumberFormat="1" applyFont="1" applyBorder="1" applyAlignment="1">
      <alignment horizontal="center"/>
    </xf>
    <xf numFmtId="0" fontId="31" fillId="0" borderId="0" xfId="0" applyFont="1"/>
    <xf numFmtId="0" fontId="17" fillId="0" borderId="25" xfId="0" applyFont="1" applyBorder="1"/>
    <xf numFmtId="0" fontId="17" fillId="0" borderId="26" xfId="0" applyFont="1" applyBorder="1"/>
    <xf numFmtId="164" fontId="17" fillId="0" borderId="25" xfId="0" applyNumberFormat="1" applyFont="1" applyBorder="1"/>
    <xf numFmtId="0" fontId="15" fillId="0" borderId="86" xfId="0" applyFont="1" applyBorder="1"/>
    <xf numFmtId="0" fontId="12" fillId="0" borderId="32" xfId="0" applyFont="1" applyBorder="1"/>
    <xf numFmtId="0" fontId="17" fillId="0" borderId="11" xfId="0" applyFont="1" applyBorder="1"/>
    <xf numFmtId="0" fontId="15" fillId="0" borderId="0" xfId="0" applyFont="1" applyAlignment="1">
      <alignment vertical="top" shrinkToFit="1"/>
    </xf>
    <xf numFmtId="0" fontId="17" fillId="8" borderId="13" xfId="0" applyFont="1" applyFill="1" applyBorder="1" applyAlignment="1">
      <alignment horizontal="center" vertical="center" shrinkToFit="1"/>
    </xf>
    <xf numFmtId="0" fontId="17" fillId="8" borderId="11" xfId="0" applyFont="1" applyFill="1" applyBorder="1" applyAlignment="1">
      <alignment horizontal="center" vertical="center" shrinkToFit="1"/>
    </xf>
    <xf numFmtId="0" fontId="17" fillId="8" borderId="12" xfId="0" applyFont="1" applyFill="1" applyBorder="1" applyAlignment="1">
      <alignment horizontal="center" vertical="center" shrinkToFit="1"/>
    </xf>
    <xf numFmtId="0" fontId="17" fillId="8" borderId="9" xfId="0" applyFont="1" applyFill="1" applyBorder="1" applyAlignment="1">
      <alignment horizontal="center" vertical="center" shrinkToFit="1"/>
    </xf>
    <xf numFmtId="0" fontId="17" fillId="0" borderId="0" xfId="0" applyFont="1" applyAlignment="1">
      <alignment vertical="top" shrinkToFit="1"/>
    </xf>
    <xf numFmtId="3" fontId="12" fillId="0" borderId="19" xfId="0" applyNumberFormat="1" applyFont="1" applyBorder="1" applyAlignment="1">
      <alignment horizontal="center"/>
    </xf>
    <xf numFmtId="3" fontId="12" fillId="0" borderId="16" xfId="0" applyNumberFormat="1" applyFont="1" applyBorder="1" applyAlignment="1">
      <alignment horizontal="center"/>
    </xf>
    <xf numFmtId="3" fontId="12" fillId="0" borderId="35" xfId="0" applyNumberFormat="1" applyFont="1" applyBorder="1" applyAlignment="1">
      <alignment horizontal="center"/>
    </xf>
    <xf numFmtId="3" fontId="12" fillId="0" borderId="32" xfId="0" applyNumberFormat="1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11" borderId="103" xfId="0" applyFont="1" applyFill="1" applyBorder="1"/>
    <xf numFmtId="3" fontId="17" fillId="11" borderId="13" xfId="0" applyNumberFormat="1" applyFont="1" applyFill="1" applyBorder="1" applyAlignment="1">
      <alignment horizontal="center"/>
    </xf>
    <xf numFmtId="0" fontId="17" fillId="11" borderId="11" xfId="0" applyFont="1" applyFill="1" applyBorder="1" applyAlignment="1">
      <alignment horizontal="center"/>
    </xf>
    <xf numFmtId="3" fontId="17" fillId="11" borderId="11" xfId="0" applyNumberFormat="1" applyFont="1" applyFill="1" applyBorder="1" applyAlignment="1">
      <alignment horizontal="center"/>
    </xf>
    <xf numFmtId="3" fontId="12" fillId="0" borderId="11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3" fontId="17" fillId="11" borderId="1" xfId="0" applyNumberFormat="1" applyFont="1" applyFill="1" applyBorder="1" applyAlignment="1">
      <alignment horizontal="center"/>
    </xf>
    <xf numFmtId="0" fontId="17" fillId="11" borderId="104" xfId="0" applyFont="1" applyFill="1" applyBorder="1" applyAlignment="1">
      <alignment horizontal="center"/>
    </xf>
    <xf numFmtId="3" fontId="17" fillId="11" borderId="25" xfId="0" applyNumberFormat="1" applyFont="1" applyFill="1" applyBorder="1" applyAlignment="1">
      <alignment horizontal="center"/>
    </xf>
    <xf numFmtId="0" fontId="17" fillId="11" borderId="26" xfId="0" applyFont="1" applyFill="1" applyBorder="1" applyAlignment="1">
      <alignment horizontal="center"/>
    </xf>
    <xf numFmtId="164" fontId="20" fillId="0" borderId="35" xfId="0" applyNumberFormat="1" applyFont="1" applyBorder="1"/>
    <xf numFmtId="164" fontId="12" fillId="0" borderId="62" xfId="0" applyNumberFormat="1" applyFont="1" applyBorder="1" applyAlignment="1">
      <alignment horizontal="center"/>
    </xf>
    <xf numFmtId="3" fontId="12" fillId="0" borderId="62" xfId="0" applyNumberFormat="1" applyFont="1" applyBorder="1" applyAlignment="1">
      <alignment horizontal="center"/>
    </xf>
    <xf numFmtId="164" fontId="15" fillId="0" borderId="19" xfId="0" applyNumberFormat="1" applyFont="1" applyBorder="1" applyAlignment="1">
      <alignment horizontal="center" vertical="center"/>
    </xf>
    <xf numFmtId="3" fontId="17" fillId="0" borderId="13" xfId="0" applyNumberFormat="1" applyFont="1" applyBorder="1" applyAlignment="1">
      <alignment horizontal="center"/>
    </xf>
    <xf numFmtId="3" fontId="12" fillId="0" borderId="26" xfId="0" applyNumberFormat="1" applyFont="1" applyBorder="1" applyAlignment="1">
      <alignment horizontal="center"/>
    </xf>
    <xf numFmtId="0" fontId="17" fillId="0" borderId="80" xfId="0" applyFont="1" applyBorder="1"/>
    <xf numFmtId="0" fontId="32" fillId="0" borderId="26" xfId="0" applyFont="1" applyBorder="1"/>
    <xf numFmtId="3" fontId="17" fillId="0" borderId="9" xfId="0" applyNumberFormat="1" applyFont="1" applyBorder="1" applyAlignment="1">
      <alignment horizontal="center"/>
    </xf>
    <xf numFmtId="10" fontId="17" fillId="0" borderId="9" xfId="0" applyNumberFormat="1" applyFont="1" applyBorder="1" applyAlignment="1">
      <alignment horizontal="center"/>
    </xf>
    <xf numFmtId="3" fontId="12" fillId="0" borderId="39" xfId="0" applyNumberFormat="1" applyFont="1" applyBorder="1" applyAlignment="1">
      <alignment horizontal="center"/>
    </xf>
    <xf numFmtId="0" fontId="13" fillId="0" borderId="5" xfId="0" applyFont="1" applyBorder="1"/>
    <xf numFmtId="0" fontId="17" fillId="0" borderId="8" xfId="0" applyFont="1" applyBorder="1"/>
    <xf numFmtId="3" fontId="17" fillId="0" borderId="62" xfId="0" applyNumberFormat="1" applyFont="1" applyBorder="1" applyAlignment="1">
      <alignment horizontal="center"/>
    </xf>
    <xf numFmtId="10" fontId="17" fillId="0" borderId="26" xfId="0" applyNumberFormat="1" applyFont="1" applyBorder="1" applyAlignment="1">
      <alignment horizontal="center"/>
    </xf>
    <xf numFmtId="43" fontId="12" fillId="0" borderId="16" xfId="0" applyNumberFormat="1" applyFont="1" applyBorder="1" applyAlignment="1">
      <alignment horizontal="center"/>
    </xf>
    <xf numFmtId="0" fontId="12" fillId="0" borderId="13" xfId="0" applyFont="1" applyBorder="1"/>
    <xf numFmtId="0" fontId="33" fillId="0" borderId="12" xfId="0" applyFont="1" applyBorder="1"/>
    <xf numFmtId="43" fontId="12" fillId="0" borderId="19" xfId="0" applyNumberFormat="1" applyFont="1" applyBorder="1" applyAlignment="1">
      <alignment horizontal="center"/>
    </xf>
    <xf numFmtId="0" fontId="34" fillId="0" borderId="34" xfId="0" applyFont="1" applyBorder="1"/>
    <xf numFmtId="0" fontId="35" fillId="0" borderId="9" xfId="0" applyFont="1" applyBorder="1"/>
    <xf numFmtId="3" fontId="12" fillId="0" borderId="9" xfId="0" applyNumberFormat="1" applyFont="1" applyBorder="1" applyAlignment="1">
      <alignment horizontal="center"/>
    </xf>
    <xf numFmtId="0" fontId="36" fillId="0" borderId="9" xfId="0" applyFont="1" applyBorder="1"/>
    <xf numFmtId="0" fontId="12" fillId="0" borderId="9" xfId="0" applyFont="1" applyBorder="1" applyAlignment="1">
      <alignment horizontal="center"/>
    </xf>
    <xf numFmtId="10" fontId="17" fillId="0" borderId="62" xfId="0" applyNumberFormat="1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43" fontId="12" fillId="0" borderId="36" xfId="0" applyNumberFormat="1" applyFont="1" applyBorder="1" applyAlignment="1">
      <alignment horizontal="center"/>
    </xf>
    <xf numFmtId="1" fontId="12" fillId="0" borderId="25" xfId="0" applyNumberFormat="1" applyFont="1" applyBorder="1" applyAlignment="1">
      <alignment horizontal="center"/>
    </xf>
    <xf numFmtId="3" fontId="17" fillId="0" borderId="16" xfId="0" applyNumberFormat="1" applyFont="1" applyBorder="1" applyAlignment="1">
      <alignment horizontal="center"/>
    </xf>
    <xf numFmtId="3" fontId="12" fillId="0" borderId="0" xfId="0" applyNumberFormat="1" applyFont="1"/>
    <xf numFmtId="0" fontId="37" fillId="0" borderId="0" xfId="0" applyFont="1"/>
    <xf numFmtId="0" fontId="17" fillId="4" borderId="9" xfId="0" applyFont="1" applyFill="1" applyBorder="1" applyAlignment="1">
      <alignment horizontal="center" vertical="top"/>
    </xf>
    <xf numFmtId="0" fontId="17" fillId="4" borderId="9" xfId="0" applyFont="1" applyFill="1" applyBorder="1" applyAlignment="1">
      <alignment horizontal="left" vertical="top"/>
    </xf>
    <xf numFmtId="0" fontId="17" fillId="4" borderId="9" xfId="0" applyFont="1" applyFill="1" applyBorder="1" applyAlignment="1">
      <alignment horizontal="center" vertical="top" wrapText="1"/>
    </xf>
    <xf numFmtId="0" fontId="17" fillId="4" borderId="13" xfId="0" applyFont="1" applyFill="1" applyBorder="1" applyAlignment="1">
      <alignment horizontal="center" vertical="top" wrapText="1"/>
    </xf>
    <xf numFmtId="0" fontId="17" fillId="4" borderId="11" xfId="0" applyFont="1" applyFill="1" applyBorder="1" applyAlignment="1">
      <alignment horizontal="center" vertical="top" wrapText="1"/>
    </xf>
    <xf numFmtId="164" fontId="17" fillId="4" borderId="11" xfId="0" applyNumberFormat="1" applyFont="1" applyFill="1" applyBorder="1" applyAlignment="1">
      <alignment horizontal="center" vertical="top" wrapText="1"/>
    </xf>
    <xf numFmtId="0" fontId="17" fillId="4" borderId="12" xfId="0" applyFont="1" applyFill="1" applyBorder="1" applyAlignment="1">
      <alignment horizontal="center" vertical="top" wrapText="1"/>
    </xf>
    <xf numFmtId="0" fontId="12" fillId="0" borderId="85" xfId="0" applyFont="1" applyBorder="1" applyAlignment="1">
      <alignment horizontal="center"/>
    </xf>
    <xf numFmtId="3" fontId="12" fillId="0" borderId="105" xfId="0" applyNumberFormat="1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164" fontId="12" fillId="0" borderId="60" xfId="0" applyNumberFormat="1" applyFont="1" applyBorder="1" applyAlignment="1">
      <alignment horizontal="center"/>
    </xf>
    <xf numFmtId="3" fontId="12" fillId="0" borderId="60" xfId="0" applyNumberFormat="1" applyFont="1" applyBorder="1" applyAlignment="1">
      <alignment horizontal="center"/>
    </xf>
    <xf numFmtId="0" fontId="12" fillId="0" borderId="106" xfId="0" applyFont="1" applyBorder="1" applyAlignment="1">
      <alignment horizontal="center"/>
    </xf>
    <xf numFmtId="0" fontId="17" fillId="11" borderId="26" xfId="0" applyFont="1" applyFill="1" applyBorder="1"/>
    <xf numFmtId="3" fontId="17" fillId="11" borderId="16" xfId="0" applyNumberFormat="1" applyFont="1" applyFill="1" applyBorder="1" applyAlignment="1">
      <alignment horizontal="center"/>
    </xf>
    <xf numFmtId="0" fontId="17" fillId="11" borderId="25" xfId="0" applyFont="1" applyFill="1" applyBorder="1" applyAlignment="1">
      <alignment horizontal="center"/>
    </xf>
    <xf numFmtId="164" fontId="17" fillId="11" borderId="25" xfId="0" applyNumberFormat="1" applyFont="1" applyFill="1" applyBorder="1" applyAlignment="1">
      <alignment horizontal="center"/>
    </xf>
    <xf numFmtId="43" fontId="12" fillId="0" borderId="25" xfId="0" applyNumberFormat="1" applyFont="1" applyBorder="1" applyAlignment="1">
      <alignment horizontal="center"/>
    </xf>
    <xf numFmtId="43" fontId="12" fillId="0" borderId="26" xfId="0" applyNumberFormat="1" applyFont="1" applyBorder="1" applyAlignment="1">
      <alignment horizontal="center"/>
    </xf>
    <xf numFmtId="9" fontId="12" fillId="0" borderId="24" xfId="0" applyNumberFormat="1" applyFont="1" applyBorder="1"/>
    <xf numFmtId="10" fontId="12" fillId="0" borderId="24" xfId="0" applyNumberFormat="1" applyFont="1" applyBorder="1"/>
    <xf numFmtId="0" fontId="17" fillId="0" borderId="24" xfId="0" applyFont="1" applyBorder="1" applyAlignment="1">
      <alignment horizontal="center"/>
    </xf>
    <xf numFmtId="0" fontId="38" fillId="0" borderId="24" xfId="0" applyFont="1" applyBorder="1"/>
    <xf numFmtId="10" fontId="12" fillId="0" borderId="0" xfId="0" applyNumberFormat="1" applyFont="1"/>
    <xf numFmtId="164" fontId="12" fillId="0" borderId="9" xfId="0" applyNumberFormat="1" applyFont="1" applyBorder="1" applyAlignment="1">
      <alignment horizontal="center"/>
    </xf>
    <xf numFmtId="10" fontId="12" fillId="0" borderId="9" xfId="0" applyNumberFormat="1" applyFont="1" applyBorder="1" applyAlignment="1">
      <alignment horizontal="center"/>
    </xf>
    <xf numFmtId="0" fontId="39" fillId="0" borderId="9" xfId="0" applyFont="1" applyBorder="1"/>
    <xf numFmtId="0" fontId="4" fillId="2" borderId="103" xfId="0" applyFont="1" applyFill="1" applyBorder="1"/>
    <xf numFmtId="0" fontId="40" fillId="0" borderId="24" xfId="0" applyFont="1" applyBorder="1" applyAlignment="1">
      <alignment horizontal="left"/>
    </xf>
    <xf numFmtId="0" fontId="41" fillId="0" borderId="63" xfId="0" applyFont="1" applyBorder="1"/>
    <xf numFmtId="0" fontId="15" fillId="0" borderId="76" xfId="0" applyFont="1" applyBorder="1"/>
    <xf numFmtId="43" fontId="12" fillId="0" borderId="9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0" fontId="17" fillId="8" borderId="99" xfId="0" applyFont="1" applyFill="1" applyBorder="1" applyAlignment="1">
      <alignment horizontal="center" vertical="top" wrapText="1"/>
    </xf>
    <xf numFmtId="0" fontId="17" fillId="8" borderId="37" xfId="0" applyFont="1" applyFill="1" applyBorder="1" applyAlignment="1">
      <alignment horizontal="center" vertical="top" wrapText="1"/>
    </xf>
    <xf numFmtId="164" fontId="17" fillId="8" borderId="37" xfId="0" applyNumberFormat="1" applyFont="1" applyFill="1" applyBorder="1" applyAlignment="1">
      <alignment horizontal="center" vertical="top" wrapText="1"/>
    </xf>
    <xf numFmtId="0" fontId="17" fillId="8" borderId="100" xfId="0" applyFont="1" applyFill="1" applyBorder="1" applyAlignment="1">
      <alignment horizontal="center" vertical="top" wrapText="1"/>
    </xf>
    <xf numFmtId="0" fontId="17" fillId="0" borderId="16" xfId="0" applyFont="1" applyBorder="1" applyAlignment="1">
      <alignment horizontal="center"/>
    </xf>
    <xf numFmtId="10" fontId="12" fillId="0" borderId="34" xfId="0" applyNumberFormat="1" applyFont="1" applyBorder="1"/>
    <xf numFmtId="164" fontId="17" fillId="0" borderId="13" xfId="0" applyNumberFormat="1" applyFont="1" applyBorder="1"/>
    <xf numFmtId="164" fontId="17" fillId="0" borderId="12" xfId="0" applyNumberFormat="1" applyFont="1" applyBorder="1"/>
    <xf numFmtId="164" fontId="17" fillId="0" borderId="11" xfId="0" applyNumberFormat="1" applyFont="1" applyBorder="1"/>
    <xf numFmtId="164" fontId="17" fillId="0" borderId="35" xfId="0" applyNumberFormat="1" applyFont="1" applyBorder="1" applyAlignment="1">
      <alignment horizontal="center"/>
    </xf>
    <xf numFmtId="164" fontId="12" fillId="0" borderId="63" xfId="0" applyNumberFormat="1" applyFont="1" applyBorder="1" applyAlignment="1">
      <alignment horizontal="center"/>
    </xf>
    <xf numFmtId="10" fontId="12" fillId="0" borderId="64" xfId="0" applyNumberFormat="1" applyFont="1" applyBorder="1" applyAlignment="1">
      <alignment horizontal="center"/>
    </xf>
    <xf numFmtId="10" fontId="12" fillId="0" borderId="90" xfId="0" applyNumberFormat="1" applyFont="1" applyBorder="1"/>
    <xf numFmtId="164" fontId="8" fillId="0" borderId="32" xfId="0" applyNumberFormat="1" applyFont="1" applyBorder="1"/>
    <xf numFmtId="0" fontId="39" fillId="0" borderId="5" xfId="0" applyFont="1" applyBorder="1"/>
    <xf numFmtId="0" fontId="12" fillId="0" borderId="20" xfId="0" applyFont="1" applyBorder="1"/>
    <xf numFmtId="164" fontId="12" fillId="0" borderId="20" xfId="0" applyNumberFormat="1" applyFont="1" applyBorder="1"/>
    <xf numFmtId="164" fontId="12" fillId="0" borderId="32" xfId="0" applyNumberFormat="1" applyFont="1" applyBorder="1"/>
    <xf numFmtId="0" fontId="42" fillId="0" borderId="34" xfId="0" applyFont="1" applyBorder="1"/>
    <xf numFmtId="10" fontId="12" fillId="0" borderId="73" xfId="0" applyNumberFormat="1" applyFont="1" applyBorder="1"/>
    <xf numFmtId="10" fontId="12" fillId="0" borderId="11" xfId="0" applyNumberFormat="1" applyFont="1" applyBorder="1" applyAlignment="1">
      <alignment horizontal="center"/>
    </xf>
    <xf numFmtId="164" fontId="12" fillId="0" borderId="11" xfId="0" applyNumberFormat="1" applyFont="1" applyBorder="1" applyAlignment="1">
      <alignment horizontal="center"/>
    </xf>
    <xf numFmtId="164" fontId="12" fillId="0" borderId="11" xfId="0" applyNumberFormat="1" applyFont="1" applyBorder="1"/>
    <xf numFmtId="0" fontId="12" fillId="0" borderId="12" xfId="0" applyFont="1" applyBorder="1"/>
    <xf numFmtId="10" fontId="17" fillId="0" borderId="12" xfId="0" applyNumberFormat="1" applyFont="1" applyBorder="1"/>
    <xf numFmtId="0" fontId="12" fillId="0" borderId="39" xfId="0" applyFont="1" applyBorder="1"/>
    <xf numFmtId="164" fontId="12" fillId="0" borderId="39" xfId="0" applyNumberFormat="1" applyFont="1" applyBorder="1"/>
    <xf numFmtId="164" fontId="2" fillId="0" borderId="0" xfId="0" applyNumberFormat="1" applyFont="1"/>
    <xf numFmtId="0" fontId="4" fillId="0" borderId="0" xfId="0" applyFont="1"/>
    <xf numFmtId="0" fontId="10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164" fontId="4" fillId="4" borderId="110" xfId="0" applyNumberFormat="1" applyFont="1" applyFill="1" applyBorder="1" applyAlignment="1">
      <alignment horizontal="center" vertical="top" wrapText="1"/>
    </xf>
    <xf numFmtId="0" fontId="4" fillId="4" borderId="60" xfId="0" applyFont="1" applyFill="1" applyBorder="1" applyAlignment="1">
      <alignment horizontal="center" vertical="top" wrapText="1"/>
    </xf>
    <xf numFmtId="164" fontId="4" fillId="4" borderId="60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3" fillId="0" borderId="19" xfId="0" applyFont="1" applyBorder="1" applyAlignment="1">
      <alignment horizontal="center"/>
    </xf>
    <xf numFmtId="164" fontId="3" fillId="0" borderId="57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3" fillId="0" borderId="20" xfId="0" applyNumberFormat="1" applyFont="1" applyBorder="1" applyAlignment="1">
      <alignment horizontal="center"/>
    </xf>
    <xf numFmtId="3" fontId="3" fillId="0" borderId="2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64" fontId="3" fillId="0" borderId="62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64" fontId="3" fillId="0" borderId="25" xfId="0" applyNumberFormat="1" applyFont="1" applyBorder="1" applyAlignment="1">
      <alignment horizontal="center"/>
    </xf>
    <xf numFmtId="3" fontId="3" fillId="0" borderId="25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6" xfId="0" applyFont="1" applyBorder="1"/>
    <xf numFmtId="164" fontId="4" fillId="0" borderId="62" xfId="0" applyNumberFormat="1" applyFont="1" applyBorder="1" applyAlignment="1">
      <alignment horizontal="center"/>
    </xf>
    <xf numFmtId="0" fontId="4" fillId="0" borderId="25" xfId="0" applyFont="1" applyBorder="1"/>
    <xf numFmtId="164" fontId="4" fillId="0" borderId="25" xfId="0" applyNumberFormat="1" applyFont="1" applyBorder="1" applyAlignment="1">
      <alignment horizontal="center"/>
    </xf>
    <xf numFmtId="3" fontId="4" fillId="0" borderId="25" xfId="0" applyNumberFormat="1" applyFont="1" applyBorder="1" applyAlignment="1">
      <alignment horizontal="center"/>
    </xf>
    <xf numFmtId="0" fontId="3" fillId="0" borderId="16" xfId="0" applyFont="1" applyBorder="1"/>
    <xf numFmtId="0" fontId="3" fillId="7" borderId="16" xfId="0" applyFont="1" applyFill="1" applyBorder="1"/>
    <xf numFmtId="0" fontId="3" fillId="7" borderId="26" xfId="0" applyFont="1" applyFill="1" applyBorder="1"/>
    <xf numFmtId="164" fontId="2" fillId="0" borderId="62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3" fontId="2" fillId="0" borderId="25" xfId="0" applyNumberFormat="1" applyFont="1" applyBorder="1" applyAlignment="1">
      <alignment horizontal="center" vertical="center"/>
    </xf>
    <xf numFmtId="0" fontId="4" fillId="0" borderId="16" xfId="0" applyFont="1" applyBorder="1"/>
    <xf numFmtId="10" fontId="3" fillId="0" borderId="25" xfId="0" applyNumberFormat="1" applyFont="1" applyBorder="1" applyAlignment="1">
      <alignment horizontal="center"/>
    </xf>
    <xf numFmtId="0" fontId="3" fillId="12" borderId="16" xfId="0" applyFont="1" applyFill="1" applyBorder="1"/>
    <xf numFmtId="0" fontId="3" fillId="12" borderId="26" xfId="0" applyFont="1" applyFill="1" applyBorder="1"/>
    <xf numFmtId="164" fontId="3" fillId="12" borderId="104" xfId="0" applyNumberFormat="1" applyFont="1" applyFill="1" applyBorder="1" applyAlignment="1">
      <alignment horizontal="center"/>
    </xf>
    <xf numFmtId="10" fontId="3" fillId="12" borderId="25" xfId="0" applyNumberFormat="1" applyFont="1" applyFill="1" applyBorder="1" applyAlignment="1">
      <alignment horizontal="center"/>
    </xf>
    <xf numFmtId="164" fontId="3" fillId="12" borderId="25" xfId="0" applyNumberFormat="1" applyFont="1" applyFill="1" applyBorder="1" applyAlignment="1">
      <alignment horizontal="center"/>
    </xf>
    <xf numFmtId="3" fontId="3" fillId="12" borderId="25" xfId="0" applyNumberFormat="1" applyFont="1" applyFill="1" applyBorder="1" applyAlignment="1">
      <alignment horizontal="center"/>
    </xf>
    <xf numFmtId="0" fontId="3" fillId="12" borderId="70" xfId="0" applyFont="1" applyFill="1" applyBorder="1"/>
    <xf numFmtId="0" fontId="3" fillId="0" borderId="26" xfId="0" applyFont="1" applyBorder="1" applyAlignment="1">
      <alignment horizontal="center"/>
    </xf>
    <xf numFmtId="0" fontId="4" fillId="0" borderId="80" xfId="0" applyFont="1" applyBorder="1"/>
    <xf numFmtId="0" fontId="3" fillId="0" borderId="82" xfId="0" applyFont="1" applyBorder="1"/>
    <xf numFmtId="0" fontId="43" fillId="0" borderId="26" xfId="0" applyFont="1" applyBorder="1"/>
    <xf numFmtId="164" fontId="4" fillId="0" borderId="62" xfId="0" applyNumberFormat="1" applyFont="1" applyBorder="1"/>
    <xf numFmtId="164" fontId="4" fillId="0" borderId="25" xfId="0" applyNumberFormat="1" applyFont="1" applyBorder="1"/>
    <xf numFmtId="0" fontId="44" fillId="0" borderId="5" xfId="0" applyFont="1" applyBorder="1"/>
    <xf numFmtId="0" fontId="4" fillId="0" borderId="8" xfId="0" applyFont="1" applyBorder="1"/>
    <xf numFmtId="10" fontId="4" fillId="0" borderId="11" xfId="0" applyNumberFormat="1" applyFont="1" applyBorder="1" applyAlignment="1">
      <alignment horizontal="center"/>
    </xf>
    <xf numFmtId="0" fontId="3" fillId="0" borderId="19" xfId="0" applyFont="1" applyBorder="1"/>
    <xf numFmtId="0" fontId="45" fillId="0" borderId="26" xfId="0" applyFont="1" applyBorder="1" applyAlignment="1">
      <alignment horizontal="left"/>
    </xf>
    <xf numFmtId="0" fontId="3" fillId="0" borderId="35" xfId="0" applyFont="1" applyBorder="1"/>
    <xf numFmtId="0" fontId="3" fillId="10" borderId="16" xfId="0" applyFont="1" applyFill="1" applyBorder="1"/>
    <xf numFmtId="0" fontId="3" fillId="10" borderId="26" xfId="0" applyFont="1" applyFill="1" applyBorder="1"/>
    <xf numFmtId="164" fontId="3" fillId="10" borderId="104" xfId="0" applyNumberFormat="1" applyFont="1" applyFill="1" applyBorder="1" applyAlignment="1">
      <alignment horizontal="center"/>
    </xf>
    <xf numFmtId="10" fontId="3" fillId="10" borderId="25" xfId="0" applyNumberFormat="1" applyFont="1" applyFill="1" applyBorder="1" applyAlignment="1">
      <alignment horizontal="center"/>
    </xf>
    <xf numFmtId="164" fontId="3" fillId="10" borderId="25" xfId="0" applyNumberFormat="1" applyFont="1" applyFill="1" applyBorder="1" applyAlignment="1">
      <alignment horizontal="center"/>
    </xf>
    <xf numFmtId="0" fontId="3" fillId="10" borderId="25" xfId="0" applyFont="1" applyFill="1" applyBorder="1" applyAlignment="1">
      <alignment horizontal="center"/>
    </xf>
    <xf numFmtId="0" fontId="3" fillId="0" borderId="13" xfId="0" applyFont="1" applyBorder="1"/>
    <xf numFmtId="0" fontId="46" fillId="0" borderId="12" xfId="0" applyFont="1" applyBorder="1"/>
    <xf numFmtId="164" fontId="3" fillId="0" borderId="41" xfId="0" applyNumberFormat="1" applyFont="1" applyBorder="1"/>
    <xf numFmtId="0" fontId="3" fillId="0" borderId="11" xfId="0" applyFont="1" applyBorder="1"/>
    <xf numFmtId="164" fontId="3" fillId="0" borderId="11" xfId="0" applyNumberFormat="1" applyFont="1" applyBorder="1"/>
    <xf numFmtId="0" fontId="3" fillId="0" borderId="86" xfId="0" applyFont="1" applyBorder="1"/>
    <xf numFmtId="0" fontId="47" fillId="0" borderId="34" xfId="0" applyFont="1" applyBorder="1"/>
    <xf numFmtId="0" fontId="2" fillId="0" borderId="86" xfId="0" applyFont="1" applyBorder="1"/>
    <xf numFmtId="0" fontId="4" fillId="0" borderId="13" xfId="0" applyFont="1" applyBorder="1"/>
    <xf numFmtId="0" fontId="3" fillId="0" borderId="12" xfId="0" applyFont="1" applyBorder="1"/>
    <xf numFmtId="10" fontId="15" fillId="0" borderId="0" xfId="0" applyNumberFormat="1" applyFont="1"/>
    <xf numFmtId="10" fontId="4" fillId="4" borderId="60" xfId="0" applyNumberFormat="1" applyFont="1" applyFill="1" applyBorder="1" applyAlignment="1">
      <alignment horizontal="center" vertical="top" wrapText="1"/>
    </xf>
    <xf numFmtId="0" fontId="4" fillId="4" borderId="113" xfId="0" applyFont="1" applyFill="1" applyBorder="1" applyAlignment="1">
      <alignment horizontal="center" vertical="top" wrapText="1"/>
    </xf>
    <xf numFmtId="164" fontId="4" fillId="4" borderId="9" xfId="0" applyNumberFormat="1" applyFont="1" applyFill="1" applyBorder="1" applyAlignment="1">
      <alignment horizontal="center" vertical="top" wrapText="1"/>
    </xf>
    <xf numFmtId="10" fontId="4" fillId="4" borderId="9" xfId="0" applyNumberFormat="1" applyFont="1" applyFill="1" applyBorder="1" applyAlignment="1">
      <alignment horizontal="center" vertical="top" wrapText="1"/>
    </xf>
    <xf numFmtId="0" fontId="4" fillId="4" borderId="9" xfId="0" applyFont="1" applyFill="1" applyBorder="1" applyAlignment="1">
      <alignment horizontal="center" vertical="top" wrapText="1"/>
    </xf>
    <xf numFmtId="0" fontId="17" fillId="0" borderId="0" xfId="0" applyFont="1" applyAlignment="1">
      <alignment vertical="top" wrapText="1"/>
    </xf>
    <xf numFmtId="0" fontId="12" fillId="8" borderId="38" xfId="0" applyFont="1" applyFill="1" applyBorder="1" applyAlignment="1">
      <alignment horizontal="center"/>
    </xf>
    <xf numFmtId="0" fontId="12" fillId="8" borderId="18" xfId="0" applyFont="1" applyFill="1" applyBorder="1"/>
    <xf numFmtId="10" fontId="3" fillId="0" borderId="20" xfId="0" applyNumberFormat="1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0" fontId="12" fillId="8" borderId="16" xfId="0" applyFont="1" applyFill="1" applyBorder="1" applyAlignment="1">
      <alignment horizontal="center"/>
    </xf>
    <xf numFmtId="0" fontId="12" fillId="8" borderId="26" xfId="0" applyFont="1" applyFill="1" applyBorder="1"/>
    <xf numFmtId="0" fontId="3" fillId="0" borderId="73" xfId="0" applyFont="1" applyBorder="1" applyAlignment="1">
      <alignment horizontal="center"/>
    </xf>
    <xf numFmtId="164" fontId="3" fillId="0" borderId="16" xfId="0" applyNumberFormat="1" applyFont="1" applyBorder="1" applyAlignment="1">
      <alignment horizontal="center"/>
    </xf>
    <xf numFmtId="10" fontId="3" fillId="0" borderId="25" xfId="0" applyNumberFormat="1" applyFont="1" applyBorder="1"/>
    <xf numFmtId="0" fontId="3" fillId="0" borderId="73" xfId="0" applyFont="1" applyBorder="1"/>
    <xf numFmtId="0" fontId="4" fillId="0" borderId="24" xfId="0" applyFont="1" applyBorder="1" applyAlignment="1">
      <alignment horizontal="left"/>
    </xf>
    <xf numFmtId="164" fontId="4" fillId="0" borderId="16" xfId="0" applyNumberFormat="1" applyFont="1" applyBorder="1" applyAlignment="1">
      <alignment horizontal="center"/>
    </xf>
    <xf numFmtId="164" fontId="4" fillId="0" borderId="64" xfId="0" applyNumberFormat="1" applyFont="1" applyBorder="1" applyAlignment="1">
      <alignment horizontal="center"/>
    </xf>
    <xf numFmtId="10" fontId="4" fillId="0" borderId="32" xfId="0" applyNumberFormat="1" applyFont="1" applyBorder="1"/>
    <xf numFmtId="164" fontId="4" fillId="0" borderId="32" xfId="0" applyNumberFormat="1" applyFont="1" applyBorder="1" applyAlignment="1">
      <alignment horizontal="center"/>
    </xf>
    <xf numFmtId="0" fontId="4" fillId="0" borderId="32" xfId="0" applyFont="1" applyBorder="1"/>
    <xf numFmtId="3" fontId="4" fillId="0" borderId="32" xfId="0" applyNumberFormat="1" applyFont="1" applyBorder="1" applyAlignment="1">
      <alignment horizontal="center"/>
    </xf>
    <xf numFmtId="0" fontId="4" fillId="0" borderId="90" xfId="0" applyFont="1" applyBorder="1"/>
    <xf numFmtId="164" fontId="3" fillId="0" borderId="13" xfId="0" applyNumberFormat="1" applyFont="1" applyBorder="1" applyAlignment="1">
      <alignment horizontal="center"/>
    </xf>
    <xf numFmtId="10" fontId="3" fillId="0" borderId="11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3" fontId="3" fillId="0" borderId="58" xfId="0" applyNumberFormat="1" applyFont="1" applyBorder="1" applyAlignment="1">
      <alignment horizontal="center"/>
    </xf>
    <xf numFmtId="3" fontId="3" fillId="0" borderId="73" xfId="0" applyNumberFormat="1" applyFont="1" applyBorder="1" applyAlignment="1">
      <alignment horizontal="center"/>
    </xf>
    <xf numFmtId="3" fontId="3" fillId="12" borderId="73" xfId="0" applyNumberFormat="1" applyFont="1" applyFill="1" applyBorder="1" applyAlignment="1">
      <alignment horizontal="center"/>
    </xf>
    <xf numFmtId="164" fontId="3" fillId="12" borderId="16" xfId="0" applyNumberFormat="1" applyFont="1" applyFill="1" applyBorder="1" applyAlignment="1">
      <alignment horizontal="center"/>
    </xf>
    <xf numFmtId="10" fontId="3" fillId="0" borderId="32" xfId="0" applyNumberFormat="1" applyFont="1" applyBorder="1"/>
    <xf numFmtId="0" fontId="3" fillId="0" borderId="90" xfId="0" applyFont="1" applyBorder="1"/>
    <xf numFmtId="0" fontId="12" fillId="0" borderId="5" xfId="0" applyFont="1" applyBorder="1"/>
    <xf numFmtId="0" fontId="3" fillId="0" borderId="40" xfId="0" applyFont="1" applyBorder="1"/>
    <xf numFmtId="10" fontId="4" fillId="0" borderId="39" xfId="0" applyNumberFormat="1" applyFont="1" applyBorder="1"/>
    <xf numFmtId="164" fontId="4" fillId="0" borderId="39" xfId="0" applyNumberFormat="1" applyFont="1" applyBorder="1"/>
    <xf numFmtId="0" fontId="4" fillId="0" borderId="39" xfId="0" applyFont="1" applyBorder="1"/>
    <xf numFmtId="0" fontId="4" fillId="0" borderId="61" xfId="0" applyFont="1" applyBorder="1"/>
    <xf numFmtId="164" fontId="20" fillId="0" borderId="76" xfId="0" applyNumberFormat="1" applyFont="1" applyBorder="1"/>
    <xf numFmtId="10" fontId="4" fillId="0" borderId="59" xfId="0" applyNumberFormat="1" applyFont="1" applyBorder="1"/>
    <xf numFmtId="0" fontId="17" fillId="0" borderId="5" xfId="0" applyFont="1" applyBorder="1" applyAlignment="1">
      <alignment horizontal="left"/>
    </xf>
    <xf numFmtId="0" fontId="3" fillId="0" borderId="58" xfId="0" applyFont="1" applyBorder="1"/>
    <xf numFmtId="164" fontId="4" fillId="0" borderId="64" xfId="0" applyNumberFormat="1" applyFont="1" applyBorder="1"/>
    <xf numFmtId="164" fontId="4" fillId="0" borderId="32" xfId="0" applyNumberFormat="1" applyFont="1" applyBorder="1"/>
    <xf numFmtId="164" fontId="4" fillId="0" borderId="90" xfId="0" applyNumberFormat="1" applyFont="1" applyBorder="1"/>
    <xf numFmtId="164" fontId="4" fillId="0" borderId="35" xfId="0" applyNumberFormat="1" applyFont="1" applyBorder="1"/>
    <xf numFmtId="164" fontId="3" fillId="0" borderId="59" xfId="0" applyNumberFormat="1" applyFont="1" applyBorder="1" applyAlignment="1">
      <alignment horizontal="center"/>
    </xf>
    <xf numFmtId="10" fontId="3" fillId="0" borderId="39" xfId="0" applyNumberFormat="1" applyFont="1" applyBorder="1" applyAlignment="1">
      <alignment horizontal="center"/>
    </xf>
    <xf numFmtId="164" fontId="3" fillId="0" borderId="39" xfId="0" applyNumberFormat="1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164" fontId="3" fillId="0" borderId="36" xfId="0" applyNumberFormat="1" applyFont="1" applyBorder="1" applyAlignment="1">
      <alignment horizontal="center"/>
    </xf>
    <xf numFmtId="164" fontId="4" fillId="0" borderId="41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10" fontId="3" fillId="0" borderId="73" xfId="0" applyNumberFormat="1" applyFont="1" applyBorder="1" applyAlignment="1">
      <alignment horizontal="center"/>
    </xf>
    <xf numFmtId="10" fontId="4" fillId="0" borderId="41" xfId="0" applyNumberFormat="1" applyFont="1" applyBorder="1"/>
    <xf numFmtId="164" fontId="3" fillId="0" borderId="114" xfId="0" applyNumberFormat="1" applyFont="1" applyBorder="1"/>
    <xf numFmtId="164" fontId="4" fillId="0" borderId="87" xfId="0" applyNumberFormat="1" applyFont="1" applyBorder="1"/>
    <xf numFmtId="10" fontId="3" fillId="0" borderId="57" xfId="0" applyNumberFormat="1" applyFont="1" applyBorder="1"/>
    <xf numFmtId="10" fontId="3" fillId="0" borderId="62" xfId="0" applyNumberFormat="1" applyFont="1" applyBorder="1"/>
    <xf numFmtId="164" fontId="20" fillId="0" borderId="77" xfId="0" applyNumberFormat="1" applyFont="1" applyBorder="1"/>
    <xf numFmtId="164" fontId="3" fillId="0" borderId="74" xfId="0" applyNumberFormat="1" applyFont="1" applyBorder="1"/>
    <xf numFmtId="10" fontId="3" fillId="0" borderId="39" xfId="0" applyNumberFormat="1" applyFont="1" applyBorder="1"/>
    <xf numFmtId="0" fontId="3" fillId="0" borderId="61" xfId="0" applyFont="1" applyBorder="1"/>
    <xf numFmtId="10" fontId="3" fillId="0" borderId="11" xfId="0" applyNumberFormat="1" applyFont="1" applyBorder="1"/>
    <xf numFmtId="10" fontId="3" fillId="0" borderId="64" xfId="0" applyNumberFormat="1" applyFont="1" applyBorder="1"/>
    <xf numFmtId="3" fontId="12" fillId="0" borderId="0" xfId="0" applyNumberFormat="1" applyFont="1" applyAlignment="1">
      <alignment horizontal="center"/>
    </xf>
    <xf numFmtId="43" fontId="15" fillId="0" borderId="0" xfId="0" applyNumberFormat="1" applyFont="1"/>
    <xf numFmtId="0" fontId="17" fillId="9" borderId="99" xfId="0" applyFont="1" applyFill="1" applyBorder="1" applyAlignment="1">
      <alignment horizontal="center" vertical="top" wrapText="1"/>
    </xf>
    <xf numFmtId="43" fontId="17" fillId="9" borderId="37" xfId="0" applyNumberFormat="1" applyFont="1" applyFill="1" applyBorder="1" applyAlignment="1">
      <alignment horizontal="center" vertical="top" wrapText="1"/>
    </xf>
    <xf numFmtId="3" fontId="12" fillId="0" borderId="57" xfId="0" applyNumberFormat="1" applyFont="1" applyBorder="1" applyAlignment="1">
      <alignment horizontal="center"/>
    </xf>
    <xf numFmtId="43" fontId="12" fillId="0" borderId="20" xfId="0" applyNumberFormat="1" applyFont="1" applyBorder="1" applyAlignment="1">
      <alignment horizontal="center"/>
    </xf>
    <xf numFmtId="164" fontId="17" fillId="0" borderId="62" xfId="0" applyNumberFormat="1" applyFont="1" applyBorder="1" applyAlignment="1">
      <alignment horizontal="center"/>
    </xf>
    <xf numFmtId="164" fontId="17" fillId="0" borderId="74" xfId="0" applyNumberFormat="1" applyFont="1" applyBorder="1" applyAlignment="1">
      <alignment horizontal="center"/>
    </xf>
    <xf numFmtId="164" fontId="15" fillId="0" borderId="62" xfId="0" applyNumberFormat="1" applyFont="1" applyBorder="1" applyAlignment="1">
      <alignment horizontal="center" vertical="center"/>
    </xf>
    <xf numFmtId="43" fontId="15" fillId="0" borderId="25" xfId="0" applyNumberFormat="1" applyFont="1" applyBorder="1" applyAlignment="1">
      <alignment horizontal="center" vertical="center"/>
    </xf>
    <xf numFmtId="164" fontId="12" fillId="0" borderId="64" xfId="0" applyNumberFormat="1" applyFont="1" applyBorder="1" applyAlignment="1">
      <alignment horizontal="center"/>
    </xf>
    <xf numFmtId="43" fontId="12" fillId="0" borderId="32" xfId="0" applyNumberFormat="1" applyFont="1" applyBorder="1" applyAlignment="1">
      <alignment horizontal="center"/>
    </xf>
    <xf numFmtId="164" fontId="17" fillId="0" borderId="41" xfId="0" applyNumberFormat="1" applyFont="1" applyBorder="1" applyAlignment="1">
      <alignment horizontal="center"/>
    </xf>
    <xf numFmtId="43" fontId="17" fillId="0" borderId="11" xfId="0" applyNumberFormat="1" applyFont="1" applyBorder="1" applyAlignment="1">
      <alignment horizontal="center"/>
    </xf>
    <xf numFmtId="164" fontId="12" fillId="0" borderId="57" xfId="0" applyNumberFormat="1" applyFont="1" applyBorder="1" applyAlignment="1">
      <alignment horizontal="center"/>
    </xf>
    <xf numFmtId="0" fontId="17" fillId="0" borderId="81" xfId="0" applyFont="1" applyBorder="1"/>
    <xf numFmtId="0" fontId="12" fillId="0" borderId="83" xfId="0" applyFont="1" applyBorder="1"/>
    <xf numFmtId="0" fontId="49" fillId="0" borderId="23" xfId="0" applyFont="1" applyBorder="1"/>
    <xf numFmtId="0" fontId="17" fillId="0" borderId="25" xfId="0" applyFont="1" applyBorder="1" applyAlignment="1">
      <alignment horizontal="center"/>
    </xf>
    <xf numFmtId="43" fontId="17" fillId="0" borderId="25" xfId="0" applyNumberFormat="1" applyFont="1" applyBorder="1" applyAlignment="1">
      <alignment horizontal="center"/>
    </xf>
    <xf numFmtId="0" fontId="17" fillId="0" borderId="34" xfId="0" applyFont="1" applyBorder="1"/>
    <xf numFmtId="164" fontId="17" fillId="0" borderId="64" xfId="0" applyNumberFormat="1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164" fontId="17" fillId="0" borderId="32" xfId="0" applyNumberFormat="1" applyFont="1" applyBorder="1" applyAlignment="1">
      <alignment horizontal="center"/>
    </xf>
    <xf numFmtId="10" fontId="17" fillId="0" borderId="32" xfId="0" applyNumberFormat="1" applyFont="1" applyBorder="1" applyAlignment="1">
      <alignment horizontal="center"/>
    </xf>
    <xf numFmtId="43" fontId="17" fillId="0" borderId="32" xfId="0" applyNumberFormat="1" applyFont="1" applyBorder="1" applyAlignment="1">
      <alignment horizontal="center"/>
    </xf>
    <xf numFmtId="0" fontId="17" fillId="0" borderId="34" xfId="0" applyFont="1" applyBorder="1" applyAlignment="1">
      <alignment horizontal="center"/>
    </xf>
    <xf numFmtId="43" fontId="12" fillId="0" borderId="11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43" fontId="17" fillId="0" borderId="9" xfId="0" applyNumberFormat="1" applyFont="1" applyBorder="1" applyAlignment="1">
      <alignment horizontal="center"/>
    </xf>
    <xf numFmtId="0" fontId="17" fillId="0" borderId="62" xfId="0" applyFont="1" applyBorder="1" applyAlignment="1">
      <alignment horizontal="center"/>
    </xf>
    <xf numFmtId="164" fontId="12" fillId="0" borderId="41" xfId="0" applyNumberFormat="1" applyFont="1" applyBorder="1" applyAlignment="1">
      <alignment horizontal="center"/>
    </xf>
    <xf numFmtId="0" fontId="29" fillId="0" borderId="0" xfId="0" quotePrefix="1" applyFont="1"/>
    <xf numFmtId="0" fontId="12" fillId="0" borderId="26" xfId="0" applyFont="1" applyBorder="1" applyAlignment="1">
      <alignment horizontal="left"/>
    </xf>
    <xf numFmtId="164" fontId="12" fillId="0" borderId="59" xfId="0" applyNumberFormat="1" applyFont="1" applyBorder="1" applyAlignment="1">
      <alignment horizontal="center"/>
    </xf>
    <xf numFmtId="43" fontId="12" fillId="0" borderId="39" xfId="0" applyNumberFormat="1" applyFont="1" applyBorder="1" applyAlignment="1">
      <alignment horizontal="center"/>
    </xf>
    <xf numFmtId="0" fontId="17" fillId="4" borderId="105" xfId="0" applyFont="1" applyFill="1" applyBorder="1" applyAlignment="1">
      <alignment horizontal="center" vertical="top" wrapText="1"/>
    </xf>
    <xf numFmtId="0" fontId="17" fillId="4" borderId="60" xfId="0" applyFont="1" applyFill="1" applyBorder="1" applyAlignment="1">
      <alignment horizontal="center" vertical="top" wrapText="1"/>
    </xf>
    <xf numFmtId="0" fontId="17" fillId="4" borderId="106" xfId="0" applyFont="1" applyFill="1" applyBorder="1" applyAlignment="1">
      <alignment horizontal="center" vertical="top" wrapText="1"/>
    </xf>
    <xf numFmtId="0" fontId="12" fillId="0" borderId="26" xfId="0" applyFont="1" applyBorder="1" applyAlignment="1"/>
    <xf numFmtId="164" fontId="12" fillId="0" borderId="26" xfId="0" applyNumberFormat="1" applyFont="1" applyBorder="1"/>
    <xf numFmtId="3" fontId="15" fillId="0" borderId="16" xfId="0" applyNumberFormat="1" applyFont="1" applyBorder="1" applyAlignment="1">
      <alignment horizontal="center" vertical="center"/>
    </xf>
    <xf numFmtId="4" fontId="8" fillId="0" borderId="16" xfId="0" applyNumberFormat="1" applyFont="1" applyBorder="1"/>
    <xf numFmtId="3" fontId="12" fillId="0" borderId="25" xfId="0" applyNumberFormat="1" applyFont="1" applyBorder="1"/>
    <xf numFmtId="164" fontId="50" fillId="0" borderId="11" xfId="0" applyNumberFormat="1" applyFont="1" applyBorder="1" applyAlignment="1">
      <alignment horizontal="center"/>
    </xf>
    <xf numFmtId="164" fontId="50" fillId="0" borderId="11" xfId="0" applyNumberFormat="1" applyFont="1" applyBorder="1"/>
    <xf numFmtId="164" fontId="50" fillId="0" borderId="12" xfId="0" applyNumberFormat="1" applyFont="1" applyBorder="1"/>
    <xf numFmtId="164" fontId="17" fillId="0" borderId="26" xfId="0" applyNumberFormat="1" applyFont="1" applyBorder="1"/>
    <xf numFmtId="10" fontId="17" fillId="0" borderId="11" xfId="0" applyNumberFormat="1" applyFont="1" applyBorder="1"/>
    <xf numFmtId="0" fontId="17" fillId="0" borderId="36" xfId="0" applyFont="1" applyBorder="1"/>
    <xf numFmtId="10" fontId="17" fillId="0" borderId="39" xfId="0" applyNumberFormat="1" applyFont="1" applyBorder="1" applyAlignment="1">
      <alignment horizontal="center"/>
    </xf>
    <xf numFmtId="3" fontId="17" fillId="0" borderId="39" xfId="0" applyNumberFormat="1" applyFont="1" applyBorder="1" applyAlignment="1">
      <alignment horizontal="center"/>
    </xf>
    <xf numFmtId="10" fontId="17" fillId="0" borderId="39" xfId="0" applyNumberFormat="1" applyFont="1" applyBorder="1"/>
    <xf numFmtId="0" fontId="17" fillId="0" borderId="49" xfId="0" applyFont="1" applyBorder="1"/>
    <xf numFmtId="10" fontId="12" fillId="0" borderId="25" xfId="0" applyNumberFormat="1" applyFont="1" applyBorder="1"/>
    <xf numFmtId="0" fontId="12" fillId="0" borderId="11" xfId="0" applyFont="1" applyBorder="1"/>
    <xf numFmtId="10" fontId="12" fillId="0" borderId="11" xfId="0" applyNumberFormat="1" applyFont="1" applyBorder="1"/>
    <xf numFmtId="3" fontId="12" fillId="0" borderId="11" xfId="0" applyNumberFormat="1" applyFont="1" applyBorder="1"/>
    <xf numFmtId="10" fontId="12" fillId="0" borderId="20" xfId="0" applyNumberFormat="1" applyFont="1" applyBorder="1"/>
    <xf numFmtId="0" fontId="17" fillId="4" borderId="41" xfId="0" applyFont="1" applyFill="1" applyBorder="1" applyAlignment="1">
      <alignment horizontal="center" vertical="top" wrapText="1"/>
    </xf>
    <xf numFmtId="43" fontId="12" fillId="0" borderId="25" xfId="0" applyNumberFormat="1" applyFont="1" applyBorder="1"/>
    <xf numFmtId="43" fontId="12" fillId="0" borderId="26" xfId="0" applyNumberFormat="1" applyFont="1" applyBorder="1"/>
    <xf numFmtId="164" fontId="17" fillId="0" borderId="9" xfId="0" applyNumberFormat="1" applyFont="1" applyBorder="1"/>
    <xf numFmtId="164" fontId="17" fillId="0" borderId="9" xfId="0" applyNumberFormat="1" applyFont="1" applyBorder="1" applyAlignment="1"/>
    <xf numFmtId="164" fontId="17" fillId="0" borderId="59" xfId="0" applyNumberFormat="1" applyFont="1" applyBorder="1" applyAlignment="1">
      <alignment horizontal="center"/>
    </xf>
    <xf numFmtId="164" fontId="17" fillId="0" borderId="39" xfId="0" applyNumberFormat="1" applyFont="1" applyBorder="1"/>
    <xf numFmtId="164" fontId="17" fillId="0" borderId="49" xfId="0" applyNumberFormat="1" applyFont="1" applyBorder="1"/>
    <xf numFmtId="0" fontId="51" fillId="0" borderId="23" xfId="0" applyFont="1" applyBorder="1" applyAlignment="1">
      <alignment horizontal="left"/>
    </xf>
    <xf numFmtId="10" fontId="12" fillId="0" borderId="62" xfId="0" applyNumberFormat="1" applyFont="1" applyBorder="1"/>
    <xf numFmtId="3" fontId="17" fillId="0" borderId="11" xfId="0" applyNumberFormat="1" applyFont="1" applyBorder="1"/>
    <xf numFmtId="0" fontId="5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 vertical="top" wrapText="1"/>
    </xf>
    <xf numFmtId="0" fontId="17" fillId="8" borderId="105" xfId="0" applyFont="1" applyFill="1" applyBorder="1" applyAlignment="1">
      <alignment horizontal="center" vertical="top" wrapText="1"/>
    </xf>
    <xf numFmtId="0" fontId="17" fillId="8" borderId="60" xfId="0" applyFont="1" applyFill="1" applyBorder="1" applyAlignment="1">
      <alignment horizontal="center" vertical="top" wrapText="1"/>
    </xf>
    <xf numFmtId="0" fontId="17" fillId="8" borderId="106" xfId="0" applyFont="1" applyFill="1" applyBorder="1" applyAlignment="1">
      <alignment horizontal="center" vertical="top" wrapText="1"/>
    </xf>
    <xf numFmtId="0" fontId="12" fillId="0" borderId="19" xfId="0" applyFont="1" applyBorder="1" applyAlignment="1">
      <alignment horizontal="left"/>
    </xf>
    <xf numFmtId="0" fontId="12" fillId="0" borderId="23" xfId="0" applyFont="1" applyBorder="1" applyAlignment="1">
      <alignment horizontal="left"/>
    </xf>
    <xf numFmtId="3" fontId="12" fillId="0" borderId="19" xfId="0" applyNumberFormat="1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3" fontId="12" fillId="0" borderId="20" xfId="0" applyNumberFormat="1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3" fontId="12" fillId="0" borderId="16" xfId="0" applyNumberFormat="1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3" fontId="12" fillId="0" borderId="25" xfId="0" applyNumberFormat="1" applyFont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14" fillId="0" borderId="76" xfId="0" applyFont="1" applyBorder="1"/>
    <xf numFmtId="0" fontId="12" fillId="0" borderId="80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164" fontId="50" fillId="0" borderId="16" xfId="0" applyNumberFormat="1" applyFont="1" applyBorder="1" applyAlignment="1">
      <alignment horizontal="center"/>
    </xf>
    <xf numFmtId="10" fontId="50" fillId="0" borderId="25" xfId="0" applyNumberFormat="1" applyFont="1" applyBorder="1" applyAlignment="1">
      <alignment horizontal="center"/>
    </xf>
    <xf numFmtId="3" fontId="50" fillId="0" borderId="25" xfId="0" applyNumberFormat="1" applyFont="1" applyBorder="1" applyAlignment="1">
      <alignment horizontal="center"/>
    </xf>
    <xf numFmtId="10" fontId="50" fillId="0" borderId="26" xfId="0" applyNumberFormat="1" applyFont="1" applyBorder="1" applyAlignment="1">
      <alignment horizontal="center"/>
    </xf>
    <xf numFmtId="0" fontId="12" fillId="0" borderId="13" xfId="0" applyFont="1" applyBorder="1" applyAlignment="1">
      <alignment horizontal="left"/>
    </xf>
    <xf numFmtId="0" fontId="53" fillId="0" borderId="12" xfId="0" applyFont="1" applyBorder="1" applyAlignment="1">
      <alignment horizontal="left"/>
    </xf>
    <xf numFmtId="10" fontId="12" fillId="0" borderId="12" xfId="0" applyNumberFormat="1" applyFont="1" applyBorder="1" applyAlignment="1">
      <alignment horizontal="center"/>
    </xf>
    <xf numFmtId="0" fontId="54" fillId="0" borderId="0" xfId="0" applyFont="1"/>
    <xf numFmtId="0" fontId="54" fillId="0" borderId="25" xfId="0" applyFont="1" applyBorder="1"/>
    <xf numFmtId="0" fontId="12" fillId="0" borderId="86" xfId="0" applyFont="1" applyBorder="1" applyAlignment="1">
      <alignment horizontal="left"/>
    </xf>
    <xf numFmtId="0" fontId="55" fillId="0" borderId="34" xfId="0" applyFont="1" applyBorder="1" applyAlignment="1">
      <alignment horizontal="left"/>
    </xf>
    <xf numFmtId="164" fontId="12" fillId="0" borderId="24" xfId="0" applyNumberFormat="1" applyFont="1" applyBorder="1" applyAlignment="1">
      <alignment horizontal="center"/>
    </xf>
    <xf numFmtId="0" fontId="56" fillId="0" borderId="9" xfId="0" applyFont="1" applyBorder="1" applyAlignment="1">
      <alignment horizontal="left"/>
    </xf>
    <xf numFmtId="0" fontId="17" fillId="0" borderId="13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12" fillId="0" borderId="36" xfId="0" applyFont="1" applyBorder="1" applyAlignment="1">
      <alignment horizontal="left"/>
    </xf>
    <xf numFmtId="0" fontId="12" fillId="0" borderId="49" xfId="0" applyFont="1" applyBorder="1" applyAlignment="1">
      <alignment horizontal="left"/>
    </xf>
    <xf numFmtId="164" fontId="17" fillId="4" borderId="9" xfId="0" applyNumberFormat="1" applyFont="1" applyFill="1" applyBorder="1" applyAlignment="1">
      <alignment horizontal="center" vertical="top" wrapText="1"/>
    </xf>
    <xf numFmtId="0" fontId="12" fillId="0" borderId="25" xfId="0" applyFont="1" applyBorder="1" applyAlignment="1"/>
    <xf numFmtId="0" fontId="17" fillId="0" borderId="73" xfId="0" applyFont="1" applyBorder="1"/>
    <xf numFmtId="0" fontId="17" fillId="0" borderId="62" xfId="0" applyFont="1" applyBorder="1"/>
    <xf numFmtId="0" fontId="57" fillId="0" borderId="25" xfId="0" applyFont="1" applyBorder="1"/>
    <xf numFmtId="0" fontId="58" fillId="0" borderId="9" xfId="0" applyFont="1" applyBorder="1"/>
    <xf numFmtId="0" fontId="7" fillId="0" borderId="9" xfId="0" applyFont="1" applyBorder="1"/>
    <xf numFmtId="10" fontId="58" fillId="0" borderId="9" xfId="0" applyNumberFormat="1" applyFont="1" applyBorder="1" applyAlignment="1">
      <alignment horizontal="center"/>
    </xf>
    <xf numFmtId="3" fontId="58" fillId="0" borderId="9" xfId="0" applyNumberFormat="1" applyFont="1" applyBorder="1" applyAlignment="1">
      <alignment horizontal="center"/>
    </xf>
    <xf numFmtId="10" fontId="58" fillId="0" borderId="9" xfId="0" applyNumberFormat="1" applyFont="1" applyBorder="1"/>
    <xf numFmtId="10" fontId="58" fillId="0" borderId="62" xfId="0" applyNumberFormat="1" applyFont="1" applyBorder="1" applyAlignment="1">
      <alignment horizontal="center"/>
    </xf>
    <xf numFmtId="3" fontId="58" fillId="0" borderId="25" xfId="0" applyNumberFormat="1" applyFont="1" applyBorder="1" applyAlignment="1">
      <alignment horizontal="center"/>
    </xf>
    <xf numFmtId="10" fontId="58" fillId="0" borderId="25" xfId="0" applyNumberFormat="1" applyFont="1" applyBorder="1"/>
    <xf numFmtId="0" fontId="59" fillId="0" borderId="25" xfId="0" applyFont="1" applyBorder="1" applyAlignment="1">
      <alignment horizontal="left"/>
    </xf>
    <xf numFmtId="0" fontId="60" fillId="0" borderId="32" xfId="0" applyFont="1" applyBorder="1"/>
    <xf numFmtId="10" fontId="17" fillId="0" borderId="9" xfId="0" applyNumberFormat="1" applyFont="1" applyBorder="1"/>
    <xf numFmtId="10" fontId="12" fillId="0" borderId="9" xfId="0" applyNumberFormat="1" applyFont="1" applyBorder="1"/>
    <xf numFmtId="3" fontId="12" fillId="0" borderId="9" xfId="0" applyNumberFormat="1" applyFont="1" applyBorder="1"/>
    <xf numFmtId="3" fontId="17" fillId="0" borderId="9" xfId="0" applyNumberFormat="1" applyFont="1" applyBorder="1"/>
    <xf numFmtId="10" fontId="17" fillId="0" borderId="25" xfId="0" applyNumberFormat="1" applyFont="1" applyBorder="1"/>
    <xf numFmtId="167" fontId="9" fillId="0" borderId="0" xfId="0" applyNumberFormat="1" applyFont="1"/>
    <xf numFmtId="168" fontId="9" fillId="0" borderId="0" xfId="0" applyNumberFormat="1" applyFont="1"/>
    <xf numFmtId="169" fontId="9" fillId="0" borderId="0" xfId="0" applyNumberFormat="1" applyFont="1"/>
    <xf numFmtId="0" fontId="9" fillId="3" borderId="70" xfId="0" applyFont="1" applyFill="1" applyBorder="1"/>
    <xf numFmtId="167" fontId="9" fillId="3" borderId="70" xfId="0" applyNumberFormat="1" applyFont="1" applyFill="1" applyBorder="1"/>
    <xf numFmtId="3" fontId="9" fillId="3" borderId="70" xfId="0" applyNumberFormat="1" applyFont="1" applyFill="1" applyBorder="1"/>
    <xf numFmtId="0" fontId="9" fillId="0" borderId="25" xfId="0" applyFont="1" applyBorder="1" applyAlignment="1">
      <alignment horizontal="center"/>
    </xf>
    <xf numFmtId="3" fontId="9" fillId="0" borderId="25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164" fontId="61" fillId="0" borderId="117" xfId="0" applyNumberFormat="1" applyFont="1" applyBorder="1" applyAlignment="1">
      <alignment horizontal="right" vertical="center"/>
    </xf>
    <xf numFmtId="164" fontId="61" fillId="0" borderId="25" xfId="0" applyNumberFormat="1" applyFont="1" applyBorder="1" applyAlignment="1">
      <alignment horizontal="right" vertical="center"/>
    </xf>
    <xf numFmtId="3" fontId="4" fillId="0" borderId="25" xfId="0" applyNumberFormat="1" applyFont="1" applyBorder="1"/>
    <xf numFmtId="165" fontId="7" fillId="2" borderId="25" xfId="0" applyNumberFormat="1" applyFont="1" applyFill="1" applyBorder="1" applyAlignment="1">
      <alignment horizontal="center"/>
    </xf>
    <xf numFmtId="0" fontId="9" fillId="0" borderId="0" xfId="0" quotePrefix="1" applyFont="1"/>
    <xf numFmtId="3" fontId="7" fillId="2" borderId="25" xfId="0" applyNumberFormat="1" applyFont="1" applyFill="1" applyBorder="1" applyAlignment="1">
      <alignment horizontal="center"/>
    </xf>
    <xf numFmtId="10" fontId="7" fillId="2" borderId="25" xfId="0" applyNumberFormat="1" applyFont="1" applyFill="1" applyBorder="1" applyAlignment="1">
      <alignment horizontal="center"/>
    </xf>
    <xf numFmtId="0" fontId="7" fillId="2" borderId="25" xfId="0" quotePrefix="1" applyFont="1" applyFill="1" applyBorder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165" fontId="17" fillId="0" borderId="0" xfId="0" applyNumberFormat="1" applyFont="1" applyAlignment="1">
      <alignment horizontal="center"/>
    </xf>
    <xf numFmtId="0" fontId="17" fillId="4" borderId="9" xfId="0" applyFont="1" applyFill="1" applyBorder="1"/>
    <xf numFmtId="0" fontId="62" fillId="4" borderId="9" xfId="0" applyFont="1" applyFill="1" applyBorder="1"/>
    <xf numFmtId="167" fontId="17" fillId="4" borderId="13" xfId="0" applyNumberFormat="1" applyFont="1" applyFill="1" applyBorder="1" applyAlignment="1">
      <alignment horizontal="center" vertical="top" wrapText="1"/>
    </xf>
    <xf numFmtId="167" fontId="17" fillId="4" borderId="12" xfId="0" applyNumberFormat="1" applyFont="1" applyFill="1" applyBorder="1" applyAlignment="1">
      <alignment horizontal="center" vertical="top" wrapText="1"/>
    </xf>
    <xf numFmtId="167" fontId="17" fillId="4" borderId="14" xfId="0" applyNumberFormat="1" applyFont="1" applyFill="1" applyBorder="1" applyAlignment="1">
      <alignment horizontal="center" vertical="top" wrapText="1"/>
    </xf>
    <xf numFmtId="10" fontId="12" fillId="0" borderId="23" xfId="0" applyNumberFormat="1" applyFont="1" applyBorder="1" applyAlignment="1">
      <alignment horizontal="right"/>
    </xf>
    <xf numFmtId="3" fontId="12" fillId="0" borderId="19" xfId="0" applyNumberFormat="1" applyFont="1" applyBorder="1" applyAlignment="1">
      <alignment horizontal="right"/>
    </xf>
    <xf numFmtId="10" fontId="12" fillId="0" borderId="58" xfId="0" applyNumberFormat="1" applyFont="1" applyBorder="1" applyAlignment="1">
      <alignment horizontal="right"/>
    </xf>
    <xf numFmtId="3" fontId="12" fillId="0" borderId="78" xfId="0" applyNumberFormat="1" applyFont="1" applyBorder="1" applyAlignment="1">
      <alignment horizontal="right"/>
    </xf>
    <xf numFmtId="10" fontId="12" fillId="0" borderId="84" xfId="0" applyNumberFormat="1" applyFont="1" applyBorder="1" applyAlignment="1">
      <alignment horizontal="center"/>
    </xf>
    <xf numFmtId="10" fontId="12" fillId="0" borderId="26" xfId="0" applyNumberFormat="1" applyFont="1" applyBorder="1" applyAlignment="1">
      <alignment horizontal="right"/>
    </xf>
    <xf numFmtId="3" fontId="12" fillId="0" borderId="16" xfId="0" applyNumberFormat="1" applyFont="1" applyBorder="1" applyAlignment="1">
      <alignment horizontal="right"/>
    </xf>
    <xf numFmtId="10" fontId="12" fillId="0" borderId="82" xfId="0" applyNumberFormat="1" applyFont="1" applyBorder="1" applyAlignment="1">
      <alignment horizontal="center"/>
    </xf>
    <xf numFmtId="3" fontId="12" fillId="0" borderId="24" xfId="0" applyNumberFormat="1" applyFont="1" applyBorder="1" applyAlignment="1">
      <alignment horizontal="right"/>
    </xf>
    <xf numFmtId="10" fontId="12" fillId="0" borderId="34" xfId="0" applyNumberFormat="1" applyFont="1" applyBorder="1" applyAlignment="1">
      <alignment horizontal="right"/>
    </xf>
    <xf numFmtId="164" fontId="12" fillId="0" borderId="35" xfId="0" applyNumberFormat="1" applyFont="1" applyBorder="1" applyAlignment="1">
      <alignment horizontal="right"/>
    </xf>
    <xf numFmtId="3" fontId="12" fillId="0" borderId="35" xfId="0" applyNumberFormat="1" applyFont="1" applyBorder="1" applyAlignment="1">
      <alignment horizontal="right"/>
    </xf>
    <xf numFmtId="164" fontId="12" fillId="0" borderId="23" xfId="0" applyNumberFormat="1" applyFont="1" applyBorder="1" applyAlignment="1">
      <alignment horizontal="right"/>
    </xf>
    <xf numFmtId="43" fontId="12" fillId="0" borderId="35" xfId="0" applyNumberFormat="1" applyFont="1" applyBorder="1" applyAlignment="1">
      <alignment horizontal="right"/>
    </xf>
    <xf numFmtId="43" fontId="12" fillId="0" borderId="63" xfId="0" applyNumberFormat="1" applyFont="1" applyBorder="1" applyAlignment="1">
      <alignment horizontal="right"/>
    </xf>
    <xf numFmtId="164" fontId="17" fillId="4" borderId="13" xfId="0" applyNumberFormat="1" applyFont="1" applyFill="1" applyBorder="1" applyAlignment="1">
      <alignment horizontal="center"/>
    </xf>
    <xf numFmtId="10" fontId="17" fillId="4" borderId="12" xfId="0" applyNumberFormat="1" applyFont="1" applyFill="1" applyBorder="1" applyAlignment="1">
      <alignment horizontal="right"/>
    </xf>
    <xf numFmtId="10" fontId="17" fillId="4" borderId="14" xfId="0" applyNumberFormat="1" applyFont="1" applyFill="1" applyBorder="1" applyAlignment="1">
      <alignment horizontal="right"/>
    </xf>
    <xf numFmtId="3" fontId="17" fillId="4" borderId="9" xfId="0" applyNumberFormat="1" applyFont="1" applyFill="1" applyBorder="1" applyAlignment="1">
      <alignment horizontal="right"/>
    </xf>
    <xf numFmtId="10" fontId="17" fillId="4" borderId="42" xfId="0" applyNumberFormat="1" applyFont="1" applyFill="1" applyBorder="1" applyAlignment="1">
      <alignment horizontal="center"/>
    </xf>
    <xf numFmtId="0" fontId="12" fillId="0" borderId="23" xfId="0" applyFont="1" applyBorder="1" applyAlignment="1">
      <alignment horizontal="right"/>
    </xf>
    <xf numFmtId="0" fontId="12" fillId="0" borderId="19" xfId="0" applyFont="1" applyBorder="1" applyAlignment="1">
      <alignment horizontal="right"/>
    </xf>
    <xf numFmtId="0" fontId="12" fillId="0" borderId="58" xfId="0" applyFont="1" applyBorder="1" applyAlignment="1">
      <alignment horizontal="right"/>
    </xf>
    <xf numFmtId="0" fontId="12" fillId="0" borderId="78" xfId="0" applyFont="1" applyBorder="1" applyAlignment="1">
      <alignment horizontal="right"/>
    </xf>
    <xf numFmtId="0" fontId="12" fillId="0" borderId="84" xfId="0" applyFont="1" applyBorder="1" applyAlignment="1">
      <alignment horizontal="center"/>
    </xf>
    <xf numFmtId="0" fontId="12" fillId="0" borderId="26" xfId="0" applyFont="1" applyBorder="1" applyAlignment="1">
      <alignment horizontal="right"/>
    </xf>
    <xf numFmtId="0" fontId="12" fillId="0" borderId="16" xfId="0" applyFont="1" applyBorder="1" applyAlignment="1">
      <alignment horizontal="right"/>
    </xf>
    <xf numFmtId="0" fontId="12" fillId="0" borderId="73" xfId="0" applyFont="1" applyBorder="1" applyAlignment="1">
      <alignment horizontal="right"/>
    </xf>
    <xf numFmtId="0" fontId="12" fillId="0" borderId="24" xfId="0" applyFont="1" applyBorder="1" applyAlignment="1">
      <alignment horizontal="right"/>
    </xf>
    <xf numFmtId="0" fontId="12" fillId="0" borderId="82" xfId="0" applyFont="1" applyBorder="1" applyAlignment="1">
      <alignment horizontal="center"/>
    </xf>
    <xf numFmtId="10" fontId="12" fillId="0" borderId="73" xfId="0" applyNumberFormat="1" applyFont="1" applyBorder="1" applyAlignment="1">
      <alignment horizontal="right"/>
    </xf>
    <xf numFmtId="3" fontId="12" fillId="0" borderId="34" xfId="0" applyNumberFormat="1" applyFont="1" applyBorder="1" applyAlignment="1">
      <alignment horizontal="right"/>
    </xf>
    <xf numFmtId="3" fontId="12" fillId="0" borderId="90" xfId="0" applyNumberFormat="1" applyFont="1" applyBorder="1" applyAlignment="1">
      <alignment horizontal="right"/>
    </xf>
    <xf numFmtId="3" fontId="12" fillId="0" borderId="63" xfId="0" applyNumberFormat="1" applyFont="1" applyBorder="1" applyAlignment="1">
      <alignment horizontal="right"/>
    </xf>
    <xf numFmtId="10" fontId="12" fillId="0" borderId="83" xfId="0" applyNumberFormat="1" applyFont="1" applyBorder="1" applyAlignment="1">
      <alignment horizontal="center"/>
    </xf>
    <xf numFmtId="3" fontId="17" fillId="4" borderId="13" xfId="0" applyNumberFormat="1" applyFont="1" applyFill="1" applyBorder="1" applyAlignment="1">
      <alignment horizontal="right"/>
    </xf>
    <xf numFmtId="0" fontId="12" fillId="0" borderId="49" xfId="0" applyFont="1" applyBorder="1" applyAlignment="1">
      <alignment horizontal="right"/>
    </xf>
    <xf numFmtId="0" fontId="12" fillId="0" borderId="36" xfId="0" applyFont="1" applyBorder="1" applyAlignment="1">
      <alignment horizontal="right"/>
    </xf>
    <xf numFmtId="43" fontId="12" fillId="0" borderId="36" xfId="0" applyNumberFormat="1" applyFont="1" applyBorder="1" applyAlignment="1">
      <alignment horizontal="right"/>
    </xf>
    <xf numFmtId="0" fontId="12" fillId="0" borderId="61" xfId="0" applyFont="1" applyBorder="1" applyAlignment="1">
      <alignment horizontal="right"/>
    </xf>
    <xf numFmtId="0" fontId="12" fillId="0" borderId="76" xfId="0" applyFont="1" applyBorder="1" applyAlignment="1">
      <alignment horizontal="right"/>
    </xf>
    <xf numFmtId="0" fontId="12" fillId="0" borderId="86" xfId="0" applyFont="1" applyBorder="1" applyAlignment="1">
      <alignment horizontal="center"/>
    </xf>
    <xf numFmtId="3" fontId="17" fillId="4" borderId="12" xfId="0" applyNumberFormat="1" applyFont="1" applyFill="1" applyBorder="1" applyAlignment="1">
      <alignment horizontal="right"/>
    </xf>
    <xf numFmtId="164" fontId="12" fillId="0" borderId="16" xfId="0" applyNumberFormat="1" applyFont="1" applyBorder="1" applyAlignment="1">
      <alignment horizontal="right"/>
    </xf>
    <xf numFmtId="164" fontId="12" fillId="0" borderId="24" xfId="0" applyNumberFormat="1" applyFont="1" applyBorder="1" applyAlignment="1">
      <alignment horizontal="right"/>
    </xf>
    <xf numFmtId="164" fontId="12" fillId="0" borderId="63" xfId="0" applyNumberFormat="1" applyFont="1" applyBorder="1" applyAlignment="1">
      <alignment horizontal="right"/>
    </xf>
    <xf numFmtId="0" fontId="12" fillId="0" borderId="97" xfId="0" applyFont="1" applyBorder="1" applyAlignment="1">
      <alignment horizontal="right"/>
    </xf>
    <xf numFmtId="0" fontId="12" fillId="0" borderId="118" xfId="0" applyFont="1" applyBorder="1" applyAlignment="1">
      <alignment horizontal="right"/>
    </xf>
    <xf numFmtId="3" fontId="17" fillId="4" borderId="10" xfId="0" applyNumberFormat="1" applyFont="1" applyFill="1" applyBorder="1" applyAlignment="1">
      <alignment horizontal="right"/>
    </xf>
    <xf numFmtId="164" fontId="15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center"/>
    </xf>
    <xf numFmtId="43" fontId="15" fillId="0" borderId="0" xfId="0" applyNumberFormat="1" applyFont="1" applyAlignment="1">
      <alignment horizontal="right"/>
    </xf>
    <xf numFmtId="0" fontId="63" fillId="0" borderId="0" xfId="0" quotePrefix="1" applyFont="1"/>
    <xf numFmtId="43" fontId="12" fillId="0" borderId="16" xfId="0" applyNumberFormat="1" applyFont="1" applyBorder="1" applyAlignment="1">
      <alignment horizontal="right"/>
    </xf>
    <xf numFmtId="164" fontId="12" fillId="0" borderId="26" xfId="0" applyNumberFormat="1" applyFont="1" applyBorder="1" applyAlignment="1">
      <alignment horizontal="right"/>
    </xf>
    <xf numFmtId="164" fontId="12" fillId="0" borderId="58" xfId="0" applyNumberFormat="1" applyFont="1" applyBorder="1" applyAlignment="1">
      <alignment horizontal="right"/>
    </xf>
    <xf numFmtId="164" fontId="12" fillId="0" borderId="78" xfId="0" applyNumberFormat="1" applyFont="1" applyBorder="1" applyAlignment="1">
      <alignment horizontal="right"/>
    </xf>
    <xf numFmtId="0" fontId="4" fillId="2" borderId="5" xfId="0" applyFont="1" applyFill="1" applyBorder="1" applyAlignment="1">
      <alignment horizontal="center"/>
    </xf>
    <xf numFmtId="0" fontId="5" fillId="0" borderId="6" xfId="0" applyFont="1" applyBorder="1"/>
    <xf numFmtId="0" fontId="5" fillId="0" borderId="8" xfId="0" applyFont="1" applyBorder="1"/>
    <xf numFmtId="0" fontId="4" fillId="2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5" fillId="0" borderId="7" xfId="0" applyFont="1" applyBorder="1"/>
    <xf numFmtId="0" fontId="4" fillId="2" borderId="52" xfId="0" applyFont="1" applyFill="1" applyBorder="1" applyAlignment="1">
      <alignment horizontal="left" vertical="top"/>
    </xf>
    <xf numFmtId="0" fontId="5" fillId="0" borderId="56" xfId="0" applyFont="1" applyBorder="1"/>
    <xf numFmtId="0" fontId="4" fillId="2" borderId="53" xfId="0" applyFont="1" applyFill="1" applyBorder="1" applyAlignment="1">
      <alignment horizontal="center"/>
    </xf>
    <xf numFmtId="0" fontId="5" fillId="0" borderId="54" xfId="0" applyFont="1" applyBorder="1"/>
    <xf numFmtId="0" fontId="4" fillId="2" borderId="55" xfId="0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0" fillId="0" borderId="0" xfId="0" applyFont="1" applyAlignment="1"/>
    <xf numFmtId="0" fontId="2" fillId="0" borderId="0" xfId="0" applyFont="1"/>
    <xf numFmtId="0" fontId="7" fillId="2" borderId="73" xfId="0" applyFont="1" applyFill="1" applyBorder="1" applyAlignment="1">
      <alignment horizontal="center"/>
    </xf>
    <xf numFmtId="0" fontId="5" fillId="0" borderId="74" xfId="0" applyFont="1" applyBorder="1"/>
    <xf numFmtId="0" fontId="5" fillId="0" borderId="62" xfId="0" applyFont="1" applyBorder="1"/>
    <xf numFmtId="0" fontId="17" fillId="8" borderId="52" xfId="0" applyFont="1" applyFill="1" applyBorder="1" applyAlignment="1">
      <alignment horizontal="left" vertical="top"/>
    </xf>
    <xf numFmtId="0" fontId="17" fillId="8" borderId="2" xfId="0" quotePrefix="1" applyFont="1" applyFill="1" applyBorder="1" applyAlignment="1">
      <alignment horizontal="center"/>
    </xf>
    <xf numFmtId="0" fontId="5" fillId="0" borderId="75" xfId="0" applyFont="1" applyBorder="1"/>
    <xf numFmtId="0" fontId="17" fillId="9" borderId="87" xfId="0" applyFont="1" applyFill="1" applyBorder="1" applyAlignment="1">
      <alignment horizontal="center" vertical="top"/>
    </xf>
    <xf numFmtId="0" fontId="5" fillId="0" borderId="19" xfId="0" applyFont="1" applyBorder="1"/>
    <xf numFmtId="0" fontId="17" fillId="9" borderId="88" xfId="0" applyFont="1" applyFill="1" applyBorder="1" applyAlignment="1">
      <alignment horizontal="center" vertical="top"/>
    </xf>
    <xf numFmtId="0" fontId="5" fillId="0" borderId="89" xfId="0" applyFont="1" applyBorder="1"/>
    <xf numFmtId="0" fontId="17" fillId="9" borderId="5" xfId="0" quotePrefix="1" applyFont="1" applyFill="1" applyBorder="1" applyAlignment="1">
      <alignment horizontal="center"/>
    </xf>
    <xf numFmtId="0" fontId="13" fillId="0" borderId="95" xfId="0" applyFont="1" applyBorder="1" applyAlignment="1">
      <alignment horizontal="center"/>
    </xf>
    <xf numFmtId="0" fontId="5" fillId="0" borderId="96" xfId="0" applyFont="1" applyBorder="1"/>
    <xf numFmtId="0" fontId="5" fillId="0" borderId="97" xfId="0" applyFont="1" applyBorder="1"/>
    <xf numFmtId="0" fontId="17" fillId="9" borderId="93" xfId="0" applyFont="1" applyFill="1" applyBorder="1" applyAlignment="1">
      <alignment horizontal="center" vertical="top"/>
    </xf>
    <xf numFmtId="0" fontId="5" fillId="0" borderId="98" xfId="0" applyFont="1" applyBorder="1"/>
    <xf numFmtId="0" fontId="17" fillId="8" borderId="87" xfId="0" applyFont="1" applyFill="1" applyBorder="1" applyAlignment="1">
      <alignment horizontal="center" vertical="top"/>
    </xf>
    <xf numFmtId="0" fontId="17" fillId="8" borderId="93" xfId="0" applyFont="1" applyFill="1" applyBorder="1" applyAlignment="1">
      <alignment horizontal="left" vertical="top"/>
    </xf>
    <xf numFmtId="0" fontId="17" fillId="8" borderId="5" xfId="0" quotePrefix="1" applyFont="1" applyFill="1" applyBorder="1" applyAlignment="1">
      <alignment horizontal="center"/>
    </xf>
    <xf numFmtId="0" fontId="13" fillId="0" borderId="81" xfId="0" applyFont="1" applyBorder="1" applyAlignment="1">
      <alignment horizontal="center"/>
    </xf>
    <xf numFmtId="0" fontId="5" fillId="0" borderId="83" xfId="0" applyFont="1" applyBorder="1"/>
    <xf numFmtId="0" fontId="17" fillId="4" borderId="5" xfId="0" quotePrefix="1" applyFont="1" applyFill="1" applyBorder="1" applyAlignment="1">
      <alignment horizontal="center"/>
    </xf>
    <xf numFmtId="0" fontId="4" fillId="4" borderId="87" xfId="0" applyFont="1" applyFill="1" applyBorder="1" applyAlignment="1">
      <alignment horizontal="center" vertical="top"/>
    </xf>
    <xf numFmtId="0" fontId="4" fillId="4" borderId="93" xfId="0" applyFont="1" applyFill="1" applyBorder="1" applyAlignment="1">
      <alignment horizontal="left" vertical="top"/>
    </xf>
    <xf numFmtId="0" fontId="4" fillId="4" borderId="107" xfId="0" quotePrefix="1" applyFont="1" applyFill="1" applyBorder="1" applyAlignment="1">
      <alignment horizontal="center"/>
    </xf>
    <xf numFmtId="0" fontId="5" fillId="0" borderId="108" xfId="0" applyFont="1" applyBorder="1"/>
    <xf numFmtId="0" fontId="5" fillId="0" borderId="109" xfId="0" applyFont="1" applyBorder="1"/>
    <xf numFmtId="0" fontId="4" fillId="4" borderId="111" xfId="0" quotePrefix="1" applyFont="1" applyFill="1" applyBorder="1" applyAlignment="1">
      <alignment horizontal="center"/>
    </xf>
    <xf numFmtId="0" fontId="5" fillId="0" borderId="112" xfId="0" applyFont="1" applyBorder="1"/>
    <xf numFmtId="0" fontId="4" fillId="4" borderId="5" xfId="0" quotePrefix="1" applyFont="1" applyFill="1" applyBorder="1" applyAlignment="1">
      <alignment horizontal="center"/>
    </xf>
    <xf numFmtId="0" fontId="13" fillId="0" borderId="77" xfId="0" applyFont="1" applyBorder="1" applyAlignment="1">
      <alignment horizontal="center"/>
    </xf>
    <xf numFmtId="0" fontId="5" fillId="0" borderId="86" xfId="0" applyFont="1" applyBorder="1"/>
    <xf numFmtId="0" fontId="48" fillId="0" borderId="5" xfId="0" applyFont="1" applyBorder="1" applyAlignment="1">
      <alignment horizontal="center"/>
    </xf>
    <xf numFmtId="0" fontId="17" fillId="9" borderId="93" xfId="0" applyFont="1" applyFill="1" applyBorder="1" applyAlignment="1">
      <alignment horizontal="left" vertical="top"/>
    </xf>
    <xf numFmtId="0" fontId="5" fillId="0" borderId="23" xfId="0" applyFont="1" applyBorder="1"/>
    <xf numFmtId="0" fontId="5" fillId="0" borderId="115" xfId="0" applyFont="1" applyBorder="1"/>
    <xf numFmtId="0" fontId="17" fillId="4" borderId="87" xfId="0" applyFont="1" applyFill="1" applyBorder="1" applyAlignment="1">
      <alignment horizontal="center" vertical="top"/>
    </xf>
    <xf numFmtId="0" fontId="17" fillId="4" borderId="93" xfId="0" applyFont="1" applyFill="1" applyBorder="1" applyAlignment="1">
      <alignment horizontal="left" vertical="top"/>
    </xf>
    <xf numFmtId="0" fontId="17" fillId="4" borderId="111" xfId="0" quotePrefix="1" applyFont="1" applyFill="1" applyBorder="1" applyAlignment="1">
      <alignment horizontal="center"/>
    </xf>
    <xf numFmtId="0" fontId="5" fillId="0" borderId="116" xfId="0" applyFont="1" applyBorder="1"/>
    <xf numFmtId="0" fontId="17" fillId="4" borderId="93" xfId="0" applyFont="1" applyFill="1" applyBorder="1" applyAlignment="1">
      <alignment horizontal="center" vertical="top"/>
    </xf>
    <xf numFmtId="0" fontId="17" fillId="0" borderId="80" xfId="0" applyFont="1" applyBorder="1" applyAlignment="1">
      <alignment horizontal="left"/>
    </xf>
    <xf numFmtId="0" fontId="5" fillId="0" borderId="82" xfId="0" applyFont="1" applyBorder="1"/>
    <xf numFmtId="0" fontId="17" fillId="8" borderId="111" xfId="0" quotePrefix="1" applyFont="1" applyFill="1" applyBorder="1" applyAlignment="1">
      <alignment horizontal="center"/>
    </xf>
    <xf numFmtId="0" fontId="50" fillId="0" borderId="80" xfId="0" applyFont="1" applyBorder="1" applyAlignment="1">
      <alignment horizontal="left"/>
    </xf>
    <xf numFmtId="0" fontId="13" fillId="0" borderId="81" xfId="0" applyFont="1" applyBorder="1" applyAlignment="1">
      <alignment horizontal="left"/>
    </xf>
    <xf numFmtId="0" fontId="17" fillId="4" borderId="52" xfId="0" applyFont="1" applyFill="1" applyBorder="1" applyAlignment="1">
      <alignment horizontal="left" vertical="top"/>
    </xf>
    <xf numFmtId="0" fontId="13" fillId="0" borderId="90" xfId="0" applyFont="1" applyBorder="1" applyAlignment="1">
      <alignment horizontal="center"/>
    </xf>
    <xf numFmtId="0" fontId="5" fillId="0" borderId="64" xfId="0" applyFont="1" applyBorder="1"/>
    <xf numFmtId="167" fontId="17" fillId="4" borderId="5" xfId="0" quotePrefix="1" applyNumberFormat="1" applyFont="1" applyFill="1" applyBorder="1" applyAlignment="1">
      <alignment horizontal="center" vertical="top" wrapText="1"/>
    </xf>
    <xf numFmtId="165" fontId="17" fillId="4" borderId="52" xfId="0" applyNumberFormat="1" applyFont="1" applyFill="1" applyBorder="1" applyAlignment="1">
      <alignment horizontal="center" vertical="center"/>
    </xf>
    <xf numFmtId="167" fontId="17" fillId="4" borderId="5" xfId="0" applyNumberFormat="1" applyFont="1" applyFill="1" applyBorder="1" applyAlignment="1">
      <alignment horizontal="center" vertical="top" wrapText="1"/>
    </xf>
    <xf numFmtId="164" fontId="0" fillId="0" borderId="0" xfId="1" applyNumberFormat="1" applyFont="1" applyAlignment="1"/>
    <xf numFmtId="164" fontId="9" fillId="0" borderId="0" xfId="1" applyNumberFormat="1" applyFont="1"/>
    <xf numFmtId="164" fontId="0" fillId="0" borderId="0" xfId="0" applyNumberFormat="1" applyFont="1" applyAlignment="1"/>
    <xf numFmtId="43" fontId="0" fillId="0" borderId="0" xfId="0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J1000"/>
  <sheetViews>
    <sheetView tabSelected="1" workbookViewId="0">
      <pane xSplit="2" ySplit="4" topLeftCell="C10" activePane="bottomRight" state="frozen"/>
      <selection pane="topRight" activeCell="C1" sqref="C1"/>
      <selection pane="bottomLeft" activeCell="A5" sqref="A5"/>
      <selection pane="bottomRight" activeCell="C36" sqref="C36"/>
    </sheetView>
  </sheetViews>
  <sheetFormatPr defaultColWidth="12.5703125" defaultRowHeight="15" customHeight="1" x14ac:dyDescent="0.2"/>
  <cols>
    <col min="1" max="1" width="3" customWidth="1"/>
    <col min="2" max="2" width="22.42578125" customWidth="1"/>
    <col min="3" max="3" width="12.5703125" customWidth="1"/>
    <col min="4" max="4" width="8.140625" customWidth="1"/>
    <col min="5" max="5" width="14.28515625" customWidth="1"/>
    <col min="6" max="6" width="12.5703125" customWidth="1"/>
    <col min="7" max="7" width="12.28515625" customWidth="1"/>
    <col min="9" max="9" width="11.5703125" customWidth="1"/>
    <col min="15" max="15" width="12.7109375" customWidth="1"/>
    <col min="17" max="17" width="14.5703125" customWidth="1"/>
    <col min="19" max="19" width="12.7109375" customWidth="1"/>
    <col min="21" max="21" width="12.7109375" customWidth="1"/>
    <col min="23" max="23" width="12.7109375" customWidth="1"/>
    <col min="25" max="25" width="12.7109375" customWidth="1"/>
    <col min="27" max="27" width="12.7109375" customWidth="1"/>
    <col min="31" max="31" width="12.7109375" customWidth="1"/>
    <col min="33" max="33" width="12.7109375" customWidth="1"/>
    <col min="35" max="35" width="12.7109375" customWidth="1"/>
    <col min="37" max="37" width="12.7109375" customWidth="1"/>
    <col min="39" max="39" width="12.7109375" customWidth="1"/>
    <col min="41" max="41" width="12.7109375" customWidth="1"/>
    <col min="43" max="43" width="12.7109375" customWidth="1"/>
    <col min="45" max="45" width="12.7109375" customWidth="1"/>
    <col min="47" max="47" width="12.7109375" customWidth="1"/>
    <col min="49" max="49" width="12.7109375" customWidth="1"/>
  </cols>
  <sheetData>
    <row r="1" spans="1:62" ht="15.75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62" ht="15.75" customHeight="1" x14ac:dyDescent="0.25"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62" ht="15.75" customHeight="1" x14ac:dyDescent="0.25">
      <c r="B3" s="4"/>
      <c r="C3" s="932" t="s">
        <v>2</v>
      </c>
      <c r="D3" s="933"/>
      <c r="E3" s="933"/>
      <c r="F3" s="934"/>
      <c r="G3" s="932" t="s">
        <v>3</v>
      </c>
      <c r="H3" s="933"/>
      <c r="I3" s="933"/>
      <c r="J3" s="934"/>
      <c r="K3" s="929" t="s">
        <v>4</v>
      </c>
      <c r="L3" s="930"/>
      <c r="M3" s="930"/>
      <c r="N3" s="935"/>
      <c r="O3" s="929" t="s">
        <v>5</v>
      </c>
      <c r="P3" s="930"/>
      <c r="Q3" s="930"/>
      <c r="R3" s="931"/>
      <c r="S3" s="929" t="s">
        <v>6</v>
      </c>
      <c r="T3" s="930"/>
      <c r="U3" s="930"/>
      <c r="V3" s="931"/>
      <c r="W3" s="929" t="s">
        <v>7</v>
      </c>
      <c r="X3" s="930"/>
      <c r="Y3" s="930"/>
      <c r="Z3" s="931"/>
      <c r="AA3" s="929" t="s">
        <v>8</v>
      </c>
      <c r="AB3" s="930"/>
      <c r="AC3" s="930"/>
      <c r="AD3" s="931"/>
      <c r="AE3" s="929" t="s">
        <v>9</v>
      </c>
      <c r="AF3" s="930"/>
      <c r="AG3" s="930"/>
      <c r="AH3" s="931"/>
      <c r="AI3" s="929" t="s">
        <v>10</v>
      </c>
      <c r="AJ3" s="930"/>
      <c r="AK3" s="930"/>
      <c r="AL3" s="931"/>
      <c r="AM3" s="929" t="s">
        <v>11</v>
      </c>
      <c r="AN3" s="930"/>
      <c r="AO3" s="930"/>
      <c r="AP3" s="931"/>
      <c r="AQ3" s="929" t="s">
        <v>12</v>
      </c>
      <c r="AR3" s="930"/>
      <c r="AS3" s="930"/>
      <c r="AT3" s="931"/>
      <c r="AU3" s="929" t="s">
        <v>13</v>
      </c>
      <c r="AV3" s="930"/>
      <c r="AW3" s="930"/>
      <c r="AX3" s="931"/>
      <c r="AY3" s="929" t="s">
        <v>14</v>
      </c>
      <c r="AZ3" s="930"/>
      <c r="BA3" s="930"/>
      <c r="BB3" s="931"/>
      <c r="BC3" s="929" t="s">
        <v>15</v>
      </c>
      <c r="BD3" s="930"/>
      <c r="BE3" s="930"/>
      <c r="BF3" s="931"/>
      <c r="BG3" s="929" t="s">
        <v>16</v>
      </c>
      <c r="BH3" s="930"/>
      <c r="BI3" s="930"/>
      <c r="BJ3" s="931"/>
    </row>
    <row r="4" spans="1:62" ht="15.75" customHeight="1" x14ac:dyDescent="0.25">
      <c r="B4" s="5"/>
      <c r="C4" s="6" t="s">
        <v>17</v>
      </c>
      <c r="D4" s="7" t="s">
        <v>18</v>
      </c>
      <c r="E4" s="7" t="s">
        <v>19</v>
      </c>
      <c r="F4" s="8" t="s">
        <v>18</v>
      </c>
      <c r="G4" s="9" t="s">
        <v>20</v>
      </c>
      <c r="H4" s="7" t="s">
        <v>18</v>
      </c>
      <c r="I4" s="7" t="s">
        <v>19</v>
      </c>
      <c r="J4" s="8" t="s">
        <v>18</v>
      </c>
      <c r="K4" s="6" t="s">
        <v>17</v>
      </c>
      <c r="L4" s="7" t="s">
        <v>18</v>
      </c>
      <c r="M4" s="7" t="s">
        <v>19</v>
      </c>
      <c r="N4" s="10" t="s">
        <v>18</v>
      </c>
      <c r="O4" s="9" t="s">
        <v>17</v>
      </c>
      <c r="P4" s="7" t="s">
        <v>18</v>
      </c>
      <c r="Q4" s="7" t="s">
        <v>19</v>
      </c>
      <c r="R4" s="8" t="s">
        <v>18</v>
      </c>
      <c r="S4" s="9" t="s">
        <v>17</v>
      </c>
      <c r="T4" s="7" t="s">
        <v>18</v>
      </c>
      <c r="U4" s="7" t="s">
        <v>19</v>
      </c>
      <c r="V4" s="8" t="s">
        <v>18</v>
      </c>
      <c r="W4" s="9" t="s">
        <v>17</v>
      </c>
      <c r="X4" s="7" t="s">
        <v>18</v>
      </c>
      <c r="Y4" s="7" t="s">
        <v>19</v>
      </c>
      <c r="Z4" s="8" t="s">
        <v>18</v>
      </c>
      <c r="AA4" s="9" t="s">
        <v>17</v>
      </c>
      <c r="AB4" s="7" t="s">
        <v>18</v>
      </c>
      <c r="AC4" s="7" t="s">
        <v>19</v>
      </c>
      <c r="AD4" s="8" t="s">
        <v>18</v>
      </c>
      <c r="AE4" s="9" t="s">
        <v>17</v>
      </c>
      <c r="AF4" s="7" t="s">
        <v>18</v>
      </c>
      <c r="AG4" s="7" t="s">
        <v>19</v>
      </c>
      <c r="AH4" s="8" t="s">
        <v>18</v>
      </c>
      <c r="AI4" s="9" t="s">
        <v>17</v>
      </c>
      <c r="AJ4" s="7" t="s">
        <v>18</v>
      </c>
      <c r="AK4" s="7" t="s">
        <v>19</v>
      </c>
      <c r="AL4" s="8" t="s">
        <v>18</v>
      </c>
      <c r="AM4" s="9" t="s">
        <v>17</v>
      </c>
      <c r="AN4" s="7" t="s">
        <v>18</v>
      </c>
      <c r="AO4" s="7" t="s">
        <v>19</v>
      </c>
      <c r="AP4" s="8" t="s">
        <v>18</v>
      </c>
      <c r="AQ4" s="9" t="s">
        <v>17</v>
      </c>
      <c r="AR4" s="7" t="s">
        <v>18</v>
      </c>
      <c r="AS4" s="7" t="s">
        <v>19</v>
      </c>
      <c r="AT4" s="8" t="s">
        <v>18</v>
      </c>
      <c r="AU4" s="9" t="s">
        <v>17</v>
      </c>
      <c r="AV4" s="7" t="s">
        <v>18</v>
      </c>
      <c r="AW4" s="7" t="s">
        <v>19</v>
      </c>
      <c r="AX4" s="8" t="s">
        <v>18</v>
      </c>
      <c r="AY4" s="9" t="s">
        <v>17</v>
      </c>
      <c r="AZ4" s="7" t="s">
        <v>18</v>
      </c>
      <c r="BA4" s="7" t="s">
        <v>19</v>
      </c>
      <c r="BB4" s="8" t="s">
        <v>18</v>
      </c>
      <c r="BC4" s="9" t="s">
        <v>17</v>
      </c>
      <c r="BD4" s="7" t="s">
        <v>18</v>
      </c>
      <c r="BE4" s="7" t="s">
        <v>19</v>
      </c>
      <c r="BF4" s="8" t="s">
        <v>18</v>
      </c>
      <c r="BG4" s="9" t="s">
        <v>17</v>
      </c>
      <c r="BH4" s="7" t="s">
        <v>18</v>
      </c>
      <c r="BI4" s="7" t="s">
        <v>19</v>
      </c>
      <c r="BJ4" s="8" t="s">
        <v>18</v>
      </c>
    </row>
    <row r="5" spans="1:62" ht="15.75" customHeight="1" x14ac:dyDescent="0.25">
      <c r="B5" s="11" t="s">
        <v>21</v>
      </c>
      <c r="C5" s="12">
        <f t="shared" ref="C5:C9" si="0">G5+K5</f>
        <v>11608399.75</v>
      </c>
      <c r="D5" s="13">
        <f t="shared" ref="D5:D9" si="1">C5/$C$10</f>
        <v>7.8003475997417679E-2</v>
      </c>
      <c r="E5" s="14">
        <f t="shared" ref="E5:E9" si="2">I5+M5</f>
        <v>0</v>
      </c>
      <c r="F5" s="15" t="e">
        <f t="shared" ref="F5:F9" si="3">E5/E$10</f>
        <v>#DIV/0!</v>
      </c>
      <c r="G5" s="16">
        <f>'Q1 FY26-27'!G5</f>
        <v>0</v>
      </c>
      <c r="H5" s="17"/>
      <c r="I5" s="18">
        <f>'Q1 FY26-27'!I5</f>
        <v>0</v>
      </c>
      <c r="J5" s="17"/>
      <c r="K5" s="19">
        <f t="shared" ref="K5:K9" si="4">O5+S5+W5+AA5+AE5+AI5+AM5+AQ5+AU5+AY5+BC5+BG5</f>
        <v>11608399.75</v>
      </c>
      <c r="L5" s="13">
        <f t="shared" ref="L5:L9" si="5">K5/$K$10</f>
        <v>7.8003475997417679E-2</v>
      </c>
      <c r="M5" s="14">
        <f t="shared" ref="M5:M9" si="6">Q5+U5+Y5+AC5+AG5+AK5+AO5</f>
        <v>0</v>
      </c>
      <c r="N5" s="20" t="e">
        <f t="shared" ref="N5:N9" si="7">M5/M$10</f>
        <v>#DIV/0!</v>
      </c>
      <c r="O5" s="21">
        <f>'Q1 FY26-27'!O5</f>
        <v>2407580</v>
      </c>
      <c r="P5" s="22">
        <f t="shared" ref="P5:P9" si="8">O5/O$10</f>
        <v>5.881572225141507E-2</v>
      </c>
      <c r="Q5" s="23">
        <f>'Q1 FY26-27'!Q5</f>
        <v>0</v>
      </c>
      <c r="R5" s="22" t="e">
        <f t="shared" ref="R5:R9" si="9">Q5/Q$10</f>
        <v>#DIV/0!</v>
      </c>
      <c r="S5" s="21">
        <f>'Q1 FY26-27'!S5</f>
        <v>0</v>
      </c>
      <c r="T5" s="22">
        <f t="shared" ref="T5:T9" si="10">S5/S$10</f>
        <v>0</v>
      </c>
      <c r="U5" s="23">
        <f>'Q1 FY26-27'!U5</f>
        <v>0</v>
      </c>
      <c r="V5" s="22" t="e">
        <f t="shared" ref="V5:V9" si="11">U5/U$10</f>
        <v>#DIV/0!</v>
      </c>
      <c r="W5" s="21">
        <f>'Q1 FY26-27'!W5</f>
        <v>2398144</v>
      </c>
      <c r="X5" s="22">
        <f t="shared" ref="X5:X9" si="12">W5/W$10</f>
        <v>9.485174800418443E-2</v>
      </c>
      <c r="Y5" s="23">
        <f>'Q1 FY26-27'!Y5</f>
        <v>0</v>
      </c>
      <c r="Z5" s="22" t="e">
        <f t="shared" ref="Z5:Z9" si="13">Y5/Y$10</f>
        <v>#DIV/0!</v>
      </c>
      <c r="AA5" s="21">
        <f>'Q1 FY26-27'!AA5</f>
        <v>2390099.75</v>
      </c>
      <c r="AB5" s="22">
        <f t="shared" ref="AB5:AB9" si="14">AA5/AA$10</f>
        <v>0.12483767894352475</v>
      </c>
      <c r="AC5" s="23">
        <f>'Q1 FY26-27'!AC5</f>
        <v>0</v>
      </c>
      <c r="AD5" s="22" t="e">
        <f t="shared" ref="AD5:AD9" si="15">AC5/AC$10</f>
        <v>#DIV/0!</v>
      </c>
      <c r="AE5" s="21">
        <f>'Q1 FY26-27'!AE5</f>
        <v>3237788.5</v>
      </c>
      <c r="AF5" s="22">
        <f t="shared" ref="AF5:AF9" si="16">AE5/AE$10</f>
        <v>9.4581636495829069E-2</v>
      </c>
      <c r="AG5" s="23">
        <f>'Q1 FY26-27'!AG5</f>
        <v>0</v>
      </c>
      <c r="AH5" s="22" t="e">
        <f t="shared" ref="AH5:AH9" si="17">AG5/AG$10</f>
        <v>#DIV/0!</v>
      </c>
      <c r="AI5" s="21">
        <f>'Q1 FY26-27'!AI5</f>
        <v>0</v>
      </c>
      <c r="AJ5" s="22" t="e">
        <f t="shared" ref="AJ5:AJ9" si="18">AI5/AI$10</f>
        <v>#DIV/0!</v>
      </c>
      <c r="AK5" s="23">
        <f>'Q1 FY26-27'!AK5</f>
        <v>0</v>
      </c>
      <c r="AL5" s="22" t="e">
        <f t="shared" ref="AL5:AL9" si="19">AK5/AK$10</f>
        <v>#DIV/0!</v>
      </c>
      <c r="AM5" s="21">
        <f>'Q1 FY26-27'!AM5</f>
        <v>0</v>
      </c>
      <c r="AN5" s="22">
        <f t="shared" ref="AN5:AN9" si="20">AM5/AM$10</f>
        <v>0</v>
      </c>
      <c r="AO5" s="23">
        <f>'Q1 FY26-27'!AO5</f>
        <v>0</v>
      </c>
      <c r="AP5" s="22" t="e">
        <f t="shared" ref="AP5:AP9" si="21">AO5/AO$10</f>
        <v>#DIV/0!</v>
      </c>
      <c r="AQ5" s="21">
        <f>'Q1 FY26-27'!AQ5</f>
        <v>1174787.5</v>
      </c>
      <c r="AR5" s="22">
        <f t="shared" ref="AR5:AR9" si="22">AQ5/AQ$10</f>
        <v>4.8653212524260345E-2</v>
      </c>
      <c r="AS5" s="23">
        <f>'Q1 FY26-27'!AS5</f>
        <v>0</v>
      </c>
      <c r="AT5" s="24"/>
      <c r="AU5" s="25">
        <v>0</v>
      </c>
      <c r="AV5" s="22">
        <f t="shared" ref="AV5:AV9" si="23">AU5/AU$10</f>
        <v>0</v>
      </c>
      <c r="AW5" s="23">
        <f>'Q1 FY26-27'!AW5</f>
        <v>0</v>
      </c>
      <c r="AX5" s="24"/>
      <c r="AY5" s="26">
        <f>'Q1 FY26-27'!AY5</f>
        <v>0</v>
      </c>
      <c r="AZ5" s="17"/>
      <c r="BA5" s="23">
        <f>'Q1 FY26-27'!BA5</f>
        <v>0</v>
      </c>
      <c r="BB5" s="24"/>
      <c r="BC5" s="26">
        <f>'Q1 FY26-27'!BC5</f>
        <v>0</v>
      </c>
      <c r="BD5" s="17"/>
      <c r="BE5" s="23">
        <f>'Q1 FY26-27'!BE5</f>
        <v>0</v>
      </c>
      <c r="BF5" s="24"/>
      <c r="BG5" s="26">
        <f>'Q1 FY26-27'!BG5</f>
        <v>0</v>
      </c>
      <c r="BH5" s="17"/>
      <c r="BI5" s="26">
        <f>'Q1 FY26-27'!BI5</f>
        <v>0</v>
      </c>
      <c r="BJ5" s="24"/>
    </row>
    <row r="6" spans="1:62" ht="15.75" customHeight="1" x14ac:dyDescent="0.25">
      <c r="B6" s="27" t="s">
        <v>22</v>
      </c>
      <c r="C6" s="12">
        <f t="shared" si="0"/>
        <v>24020516</v>
      </c>
      <c r="D6" s="13">
        <f t="shared" si="1"/>
        <v>0.16140758275072217</v>
      </c>
      <c r="E6" s="28">
        <f t="shared" si="2"/>
        <v>0</v>
      </c>
      <c r="F6" s="29" t="e">
        <f t="shared" si="3"/>
        <v>#DIV/0!</v>
      </c>
      <c r="G6" s="16">
        <f>'Q1 FY26-27'!G6</f>
        <v>0</v>
      </c>
      <c r="H6" s="30"/>
      <c r="I6" s="18">
        <f>'Q1 FY26-27'!I6</f>
        <v>0</v>
      </c>
      <c r="J6" s="30"/>
      <c r="K6" s="19">
        <f t="shared" si="4"/>
        <v>24020516</v>
      </c>
      <c r="L6" s="13">
        <f t="shared" si="5"/>
        <v>0.16140758275072217</v>
      </c>
      <c r="M6" s="28">
        <f t="shared" si="6"/>
        <v>0</v>
      </c>
      <c r="N6" s="31" t="e">
        <f t="shared" si="7"/>
        <v>#DIV/0!</v>
      </c>
      <c r="O6" s="21">
        <f>'Q1 FY26-27'!O6</f>
        <v>9818016</v>
      </c>
      <c r="P6" s="32">
        <f t="shared" si="8"/>
        <v>0.23984818868571312</v>
      </c>
      <c r="Q6" s="23">
        <f>'Q1 FY26-27'!Q6</f>
        <v>0</v>
      </c>
      <c r="R6" s="32" t="e">
        <f t="shared" si="9"/>
        <v>#DIV/0!</v>
      </c>
      <c r="S6" s="21">
        <f>'Q1 FY26-27'!S6</f>
        <v>0</v>
      </c>
      <c r="T6" s="32">
        <f t="shared" si="10"/>
        <v>0</v>
      </c>
      <c r="U6" s="23">
        <f>'Q1 FY26-27'!U6</f>
        <v>0</v>
      </c>
      <c r="V6" s="32" t="e">
        <f t="shared" si="11"/>
        <v>#DIV/0!</v>
      </c>
      <c r="W6" s="21">
        <f>'Q1 FY26-27'!W6</f>
        <v>1505040</v>
      </c>
      <c r="X6" s="32">
        <f t="shared" si="12"/>
        <v>5.95275658243282E-2</v>
      </c>
      <c r="Y6" s="23">
        <f>'Q1 FY26-27'!Y6</f>
        <v>0</v>
      </c>
      <c r="Z6" s="32" t="e">
        <f t="shared" si="13"/>
        <v>#DIV/0!</v>
      </c>
      <c r="AA6" s="21">
        <f>'Q1 FY26-27'!AA6</f>
        <v>0</v>
      </c>
      <c r="AB6" s="32">
        <f t="shared" si="14"/>
        <v>0</v>
      </c>
      <c r="AC6" s="23">
        <f>'Q1 FY26-27'!AC6</f>
        <v>0</v>
      </c>
      <c r="AD6" s="32" t="e">
        <f t="shared" si="15"/>
        <v>#DIV/0!</v>
      </c>
      <c r="AE6" s="21">
        <f>'Q1 FY26-27'!AE6</f>
        <v>4194442.5</v>
      </c>
      <c r="AF6" s="32">
        <f t="shared" si="16"/>
        <v>0.12252722370150382</v>
      </c>
      <c r="AG6" s="23">
        <f>'Q1 FY26-27'!AG6</f>
        <v>0</v>
      </c>
      <c r="AH6" s="32" t="e">
        <f t="shared" si="17"/>
        <v>#DIV/0!</v>
      </c>
      <c r="AI6" s="21">
        <f>'Q1 FY26-27'!AI6</f>
        <v>0</v>
      </c>
      <c r="AJ6" s="32" t="e">
        <f t="shared" si="18"/>
        <v>#DIV/0!</v>
      </c>
      <c r="AK6" s="23">
        <f>'Q1 FY26-27'!AK6</f>
        <v>0</v>
      </c>
      <c r="AL6" s="22" t="e">
        <f t="shared" si="19"/>
        <v>#DIV/0!</v>
      </c>
      <c r="AM6" s="33">
        <f>'Q1 FY26-27'!AM6</f>
        <v>0</v>
      </c>
      <c r="AN6" s="32">
        <f t="shared" si="20"/>
        <v>0</v>
      </c>
      <c r="AO6" s="23">
        <f>'Q1 FY26-27'!AO6</f>
        <v>0</v>
      </c>
      <c r="AP6" s="32" t="e">
        <f t="shared" si="21"/>
        <v>#DIV/0!</v>
      </c>
      <c r="AQ6" s="21">
        <f>'Q1 FY26-27'!AQ6</f>
        <v>8503017.5</v>
      </c>
      <c r="AR6" s="32">
        <f t="shared" si="22"/>
        <v>0.35214804168839459</v>
      </c>
      <c r="AS6" s="23">
        <f>'Q1 FY26-27'!AS6</f>
        <v>0</v>
      </c>
      <c r="AT6" s="34"/>
      <c r="AU6" s="26">
        <v>0</v>
      </c>
      <c r="AV6" s="32">
        <f t="shared" si="23"/>
        <v>0</v>
      </c>
      <c r="AW6" s="23">
        <f>'Q1 FY26-27'!AW6</f>
        <v>0</v>
      </c>
      <c r="AX6" s="34"/>
      <c r="AY6" s="26">
        <f>'Q1 FY26-27'!AY6</f>
        <v>0</v>
      </c>
      <c r="AZ6" s="30"/>
      <c r="BA6" s="23">
        <f>'Q1 FY26-27'!BA6</f>
        <v>0</v>
      </c>
      <c r="BB6" s="34"/>
      <c r="BC6" s="26">
        <f>'Q1 FY26-27'!BC6</f>
        <v>0</v>
      </c>
      <c r="BD6" s="30"/>
      <c r="BE6" s="35">
        <f>'Q1 FY26-27'!BE6</f>
        <v>0</v>
      </c>
      <c r="BF6" s="34"/>
      <c r="BG6" s="26">
        <f>'Q1 FY26-27'!BG6</f>
        <v>0</v>
      </c>
      <c r="BH6" s="30"/>
      <c r="BI6" s="26">
        <f>'Q1 FY26-27'!BI6</f>
        <v>0</v>
      </c>
      <c r="BJ6" s="34"/>
    </row>
    <row r="7" spans="1:62" ht="15.75" customHeight="1" x14ac:dyDescent="0.25">
      <c r="B7" s="27" t="s">
        <v>23</v>
      </c>
      <c r="C7" s="12">
        <f t="shared" si="0"/>
        <v>108260254.03999998</v>
      </c>
      <c r="D7" s="13">
        <f t="shared" si="1"/>
        <v>0.72746255378425251</v>
      </c>
      <c r="E7" s="28">
        <f t="shared" si="2"/>
        <v>0</v>
      </c>
      <c r="F7" s="29" t="e">
        <f t="shared" si="3"/>
        <v>#DIV/0!</v>
      </c>
      <c r="G7" s="16">
        <f>'Q1 FY26-27'!G7</f>
        <v>0</v>
      </c>
      <c r="H7" s="30"/>
      <c r="I7" s="18">
        <f>'Q1 FY26-27'!I7</f>
        <v>0</v>
      </c>
      <c r="J7" s="30"/>
      <c r="K7" s="19">
        <f t="shared" si="4"/>
        <v>108260254.03999998</v>
      </c>
      <c r="L7" s="13">
        <f t="shared" si="5"/>
        <v>0.72746255378425251</v>
      </c>
      <c r="M7" s="28">
        <f t="shared" si="6"/>
        <v>0</v>
      </c>
      <c r="N7" s="31" t="e">
        <f t="shared" si="7"/>
        <v>#DIV/0!</v>
      </c>
      <c r="O7" s="21">
        <f>'Q1 FY26-27'!O7</f>
        <v>26989558.869999997</v>
      </c>
      <c r="P7" s="32">
        <f t="shared" si="8"/>
        <v>0.65933858820314828</v>
      </c>
      <c r="Q7" s="23">
        <f>'Q1 FY26-27'!Q7</f>
        <v>0</v>
      </c>
      <c r="R7" s="32" t="e">
        <f t="shared" si="9"/>
        <v>#DIV/0!</v>
      </c>
      <c r="S7" s="21">
        <f>'Q1 FY26-27'!S7</f>
        <v>1667248</v>
      </c>
      <c r="T7" s="32">
        <f t="shared" si="10"/>
        <v>1</v>
      </c>
      <c r="U7" s="23">
        <f>'Q1 FY26-27'!U7</f>
        <v>0</v>
      </c>
      <c r="V7" s="32" t="e">
        <f t="shared" si="11"/>
        <v>#DIV/0!</v>
      </c>
      <c r="W7" s="21">
        <f>'Q1 FY26-27'!W7</f>
        <v>20658266.490000002</v>
      </c>
      <c r="X7" s="32">
        <f t="shared" si="12"/>
        <v>0.8170788273401296</v>
      </c>
      <c r="Y7" s="23">
        <f>'Q1 FY26-27'!Y7</f>
        <v>0</v>
      </c>
      <c r="Z7" s="32" t="e">
        <f t="shared" si="13"/>
        <v>#DIV/0!</v>
      </c>
      <c r="AA7" s="21">
        <f>'Q1 FY26-27'!AA7</f>
        <v>16390588.15</v>
      </c>
      <c r="AB7" s="32">
        <f t="shared" si="14"/>
        <v>0.85609940805409535</v>
      </c>
      <c r="AC7" s="23">
        <f>'Q1 FY26-27'!AC7</f>
        <v>0</v>
      </c>
      <c r="AD7" s="32" t="e">
        <f t="shared" si="15"/>
        <v>#DIV/0!</v>
      </c>
      <c r="AE7" s="21">
        <f>'Q1 FY26-27'!AE7</f>
        <v>25758068.25</v>
      </c>
      <c r="AF7" s="32">
        <f t="shared" si="16"/>
        <v>0.75243958895284724</v>
      </c>
      <c r="AG7" s="23">
        <f>'Q1 FY26-27'!AG7</f>
        <v>0</v>
      </c>
      <c r="AH7" s="32" t="e">
        <f t="shared" si="17"/>
        <v>#DIV/0!</v>
      </c>
      <c r="AI7" s="21">
        <f>'Q1 FY26-27'!AI7</f>
        <v>0</v>
      </c>
      <c r="AJ7" s="32" t="e">
        <f t="shared" si="18"/>
        <v>#DIV/0!</v>
      </c>
      <c r="AK7" s="23">
        <f>'Q1 FY26-27'!AK7</f>
        <v>0</v>
      </c>
      <c r="AL7" s="22" t="e">
        <f t="shared" si="19"/>
        <v>#DIV/0!</v>
      </c>
      <c r="AM7" s="33">
        <f>'Q1 FY26-27'!AM7</f>
        <v>970993.82000000007</v>
      </c>
      <c r="AN7" s="32">
        <f t="shared" si="20"/>
        <v>1</v>
      </c>
      <c r="AO7" s="23">
        <f>'Q1 FY26-27'!AO7</f>
        <v>0</v>
      </c>
      <c r="AP7" s="32" t="e">
        <f t="shared" si="21"/>
        <v>#DIV/0!</v>
      </c>
      <c r="AQ7" s="21">
        <f>'Q1 FY26-27'!AQ7</f>
        <v>13386679.5</v>
      </c>
      <c r="AR7" s="32">
        <f t="shared" si="22"/>
        <v>0.55440236017804001</v>
      </c>
      <c r="AS7" s="23">
        <f>'Q1 FY26-27'!AS7</f>
        <v>0</v>
      </c>
      <c r="AT7" s="34"/>
      <c r="AU7" s="26">
        <f>'Q1 FY26-27'!AU7</f>
        <v>666826.99</v>
      </c>
      <c r="AV7" s="32">
        <f t="shared" si="23"/>
        <v>1</v>
      </c>
      <c r="AW7" s="23">
        <f>'Q1 FY26-27'!AW7</f>
        <v>0</v>
      </c>
      <c r="AX7" s="34"/>
      <c r="AY7" s="26">
        <f>'Q1 FY26-27'!AY7</f>
        <v>228077.89</v>
      </c>
      <c r="AZ7" s="30"/>
      <c r="BA7" s="23">
        <f>'Q1 FY26-27'!BA7</f>
        <v>0</v>
      </c>
      <c r="BB7" s="34"/>
      <c r="BC7" s="26">
        <f>'Q1 FY26-27'!BC7</f>
        <v>306961.08</v>
      </c>
      <c r="BD7" s="30"/>
      <c r="BE7" s="35">
        <f>'Q1 FY26-27'!BE7</f>
        <v>0</v>
      </c>
      <c r="BF7" s="34"/>
      <c r="BG7" s="26">
        <f>'Q1 FY26-27'!BG7</f>
        <v>1236985</v>
      </c>
      <c r="BH7" s="30"/>
      <c r="BI7" s="26">
        <f>'Q1 FY26-27'!BI7</f>
        <v>0</v>
      </c>
      <c r="BJ7" s="34"/>
    </row>
    <row r="8" spans="1:62" ht="15.75" customHeight="1" x14ac:dyDescent="0.25">
      <c r="B8" s="36" t="s">
        <v>24</v>
      </c>
      <c r="C8" s="37">
        <f t="shared" si="0"/>
        <v>4894605.05</v>
      </c>
      <c r="D8" s="13">
        <f t="shared" si="1"/>
        <v>3.2889650232325464E-2</v>
      </c>
      <c r="E8" s="38">
        <f t="shared" si="2"/>
        <v>0</v>
      </c>
      <c r="F8" s="39" t="e">
        <f t="shared" si="3"/>
        <v>#DIV/0!</v>
      </c>
      <c r="G8" s="16">
        <f>'Q1 FY26-27'!G8</f>
        <v>0</v>
      </c>
      <c r="H8" s="40"/>
      <c r="I8" s="18">
        <f>'Q1 FY26-27'!I8</f>
        <v>0</v>
      </c>
      <c r="J8" s="40"/>
      <c r="K8" s="19">
        <f t="shared" si="4"/>
        <v>4894605.05</v>
      </c>
      <c r="L8" s="13">
        <f t="shared" si="5"/>
        <v>3.2889650232325464E-2</v>
      </c>
      <c r="M8" s="38">
        <f t="shared" si="6"/>
        <v>0</v>
      </c>
      <c r="N8" s="41" t="e">
        <f t="shared" si="7"/>
        <v>#DIV/0!</v>
      </c>
      <c r="O8" s="21">
        <f>'Q1 FY26-27'!O8</f>
        <v>1719138</v>
      </c>
      <c r="P8" s="42">
        <f t="shared" si="8"/>
        <v>4.1997500859723536E-2</v>
      </c>
      <c r="Q8" s="23">
        <f>'Q1 FY26-27'!Q8</f>
        <v>0</v>
      </c>
      <c r="R8" s="42" t="e">
        <f t="shared" si="9"/>
        <v>#DIV/0!</v>
      </c>
      <c r="S8" s="21">
        <f>'Q1 FY26-27'!S8</f>
        <v>0</v>
      </c>
      <c r="T8" s="42">
        <f t="shared" si="10"/>
        <v>0</v>
      </c>
      <c r="U8" s="23">
        <f>'Q1 FY26-27'!U8</f>
        <v>0</v>
      </c>
      <c r="V8" s="42" t="e">
        <f t="shared" si="11"/>
        <v>#DIV/0!</v>
      </c>
      <c r="W8" s="21">
        <f>'Q1 FY26-27'!W8</f>
        <v>721626</v>
      </c>
      <c r="X8" s="42">
        <f t="shared" si="12"/>
        <v>2.8541858831357746E-2</v>
      </c>
      <c r="Y8" s="23">
        <f>'Q1 FY26-27'!Y8</f>
        <v>0</v>
      </c>
      <c r="Z8" s="42" t="e">
        <f t="shared" si="13"/>
        <v>#DIV/0!</v>
      </c>
      <c r="AA8" s="21">
        <f>'Q1 FY26-27'!AA8</f>
        <v>356972.05</v>
      </c>
      <c r="AB8" s="42">
        <f t="shared" si="14"/>
        <v>1.8645063734144093E-2</v>
      </c>
      <c r="AC8" s="23">
        <f>'Q1 FY26-27'!AC8</f>
        <v>0</v>
      </c>
      <c r="AD8" s="42" t="e">
        <f t="shared" si="15"/>
        <v>#DIV/0!</v>
      </c>
      <c r="AE8" s="21">
        <f>'Q1 FY26-27'!AE8</f>
        <v>1028709</v>
      </c>
      <c r="AF8" s="42">
        <f t="shared" si="16"/>
        <v>3.005044359691432E-2</v>
      </c>
      <c r="AG8" s="23">
        <f>'Q1 FY26-27'!AG8</f>
        <v>0</v>
      </c>
      <c r="AH8" s="42" t="e">
        <f t="shared" si="17"/>
        <v>#DIV/0!</v>
      </c>
      <c r="AI8" s="21">
        <f>'Q1 FY26-27'!AI8</f>
        <v>0</v>
      </c>
      <c r="AJ8" s="42" t="e">
        <f t="shared" si="18"/>
        <v>#DIV/0!</v>
      </c>
      <c r="AK8" s="23">
        <f>'Q1 FY26-27'!AK8</f>
        <v>0</v>
      </c>
      <c r="AL8" s="22" t="e">
        <f t="shared" si="19"/>
        <v>#DIV/0!</v>
      </c>
      <c r="AM8" s="33">
        <f>'Q1 FY26-27'!AM8</f>
        <v>0</v>
      </c>
      <c r="AN8" s="42">
        <f t="shared" si="20"/>
        <v>0</v>
      </c>
      <c r="AO8" s="23">
        <f>'Q1 FY26-27'!AO8</f>
        <v>0</v>
      </c>
      <c r="AP8" s="42" t="e">
        <f t="shared" si="21"/>
        <v>#DIV/0!</v>
      </c>
      <c r="AQ8" s="21">
        <f>'Q1 FY26-27'!AQ8</f>
        <v>1068160</v>
      </c>
      <c r="AR8" s="42">
        <f t="shared" si="22"/>
        <v>4.4237290139632852E-2</v>
      </c>
      <c r="AS8" s="23">
        <f>'Q1 FY26-27'!AS8</f>
        <v>0</v>
      </c>
      <c r="AT8" s="43"/>
      <c r="AU8" s="44">
        <v>0</v>
      </c>
      <c r="AV8" s="42">
        <f t="shared" si="23"/>
        <v>0</v>
      </c>
      <c r="AW8" s="23">
        <f>'Q1 FY26-27'!AW8</f>
        <v>0</v>
      </c>
      <c r="AX8" s="43"/>
      <c r="AY8" s="26">
        <f>'Q1 FY26-27'!AY8</f>
        <v>0</v>
      </c>
      <c r="AZ8" s="40"/>
      <c r="BA8" s="23">
        <f>'Q1 FY26-27'!BA8</f>
        <v>0</v>
      </c>
      <c r="BB8" s="43"/>
      <c r="BC8" s="26">
        <f>'Q1 FY26-27'!BC8</f>
        <v>0</v>
      </c>
      <c r="BD8" s="40"/>
      <c r="BE8" s="35">
        <f>'Q1 FY26-27'!BE8</f>
        <v>0</v>
      </c>
      <c r="BF8" s="43"/>
      <c r="BG8" s="26">
        <f>'Q1 FY26-27'!BG8</f>
        <v>0</v>
      </c>
      <c r="BH8" s="40"/>
      <c r="BI8" s="26">
        <f>'Q1 FY26-27'!BI8</f>
        <v>0</v>
      </c>
      <c r="BJ8" s="43"/>
    </row>
    <row r="9" spans="1:62" ht="15.75" customHeight="1" x14ac:dyDescent="0.25">
      <c r="B9" s="36" t="s">
        <v>25</v>
      </c>
      <c r="C9" s="37">
        <f t="shared" si="0"/>
        <v>35231</v>
      </c>
      <c r="D9" s="13">
        <f t="shared" si="1"/>
        <v>2.3673723528215183E-4</v>
      </c>
      <c r="E9" s="38">
        <f t="shared" si="2"/>
        <v>0</v>
      </c>
      <c r="F9" s="39" t="e">
        <f t="shared" si="3"/>
        <v>#DIV/0!</v>
      </c>
      <c r="G9" s="16">
        <f>'Q1 FY26-27'!G9</f>
        <v>0</v>
      </c>
      <c r="H9" s="40"/>
      <c r="I9" s="18">
        <f>'Q1 FY26-27'!I9</f>
        <v>0</v>
      </c>
      <c r="J9" s="40"/>
      <c r="K9" s="19">
        <f t="shared" si="4"/>
        <v>35231</v>
      </c>
      <c r="L9" s="13">
        <f t="shared" si="5"/>
        <v>2.3673723528215183E-4</v>
      </c>
      <c r="M9" s="38">
        <f t="shared" si="6"/>
        <v>0</v>
      </c>
      <c r="N9" s="41" t="e">
        <f t="shared" si="7"/>
        <v>#DIV/0!</v>
      </c>
      <c r="O9" s="45">
        <f>'Q1 FY26-27'!O9</f>
        <v>0</v>
      </c>
      <c r="P9" s="42">
        <f t="shared" si="8"/>
        <v>0</v>
      </c>
      <c r="Q9" s="23">
        <f>'Q1 FY26-27'!Q9</f>
        <v>0</v>
      </c>
      <c r="R9" s="42" t="e">
        <f t="shared" si="9"/>
        <v>#DIV/0!</v>
      </c>
      <c r="S9" s="21">
        <f>'Q1 FY26-27'!S9</f>
        <v>0</v>
      </c>
      <c r="T9" s="42">
        <f t="shared" si="10"/>
        <v>0</v>
      </c>
      <c r="U9" s="23">
        <f>'Q1 FY26-27'!U9</f>
        <v>0</v>
      </c>
      <c r="V9" s="42" t="e">
        <f t="shared" si="11"/>
        <v>#DIV/0!</v>
      </c>
      <c r="W9" s="21">
        <f>'Q1 FY26-27'!W9</f>
        <v>0</v>
      </c>
      <c r="X9" s="42">
        <f t="shared" si="12"/>
        <v>0</v>
      </c>
      <c r="Y9" s="23">
        <f>'Q1 FY26-27'!Y9</f>
        <v>0</v>
      </c>
      <c r="Z9" s="42" t="e">
        <f t="shared" si="13"/>
        <v>#DIV/0!</v>
      </c>
      <c r="AA9" s="21">
        <f>'Q1 FY26-27'!AA9</f>
        <v>8000</v>
      </c>
      <c r="AB9" s="42">
        <f t="shared" si="14"/>
        <v>4.1784926823585419E-4</v>
      </c>
      <c r="AC9" s="23">
        <f>'Q1 FY26-27'!AC9</f>
        <v>0</v>
      </c>
      <c r="AD9" s="42" t="e">
        <f t="shared" si="15"/>
        <v>#DIV/0!</v>
      </c>
      <c r="AE9" s="21">
        <f>'Q1 FY26-27'!AE9</f>
        <v>13731</v>
      </c>
      <c r="AF9" s="42">
        <f t="shared" si="16"/>
        <v>4.0110725290556465E-4</v>
      </c>
      <c r="AG9" s="23">
        <f>'Q1 FY26-27'!AG9</f>
        <v>0</v>
      </c>
      <c r="AH9" s="42" t="e">
        <f t="shared" si="17"/>
        <v>#DIV/0!</v>
      </c>
      <c r="AI9" s="21">
        <f>'Q1 FY26-27'!AI9</f>
        <v>0</v>
      </c>
      <c r="AJ9" s="42" t="e">
        <f t="shared" si="18"/>
        <v>#DIV/0!</v>
      </c>
      <c r="AK9" s="23">
        <f>'Q1 FY26-27'!AK9</f>
        <v>0</v>
      </c>
      <c r="AL9" s="22" t="e">
        <f t="shared" si="19"/>
        <v>#DIV/0!</v>
      </c>
      <c r="AM9" s="33">
        <f>'Q1 FY26-27'!AM9</f>
        <v>0</v>
      </c>
      <c r="AN9" s="42">
        <f t="shared" si="20"/>
        <v>0</v>
      </c>
      <c r="AO9" s="23">
        <f>'Q1 FY26-27'!AO9</f>
        <v>0</v>
      </c>
      <c r="AP9" s="42" t="e">
        <f t="shared" si="21"/>
        <v>#DIV/0!</v>
      </c>
      <c r="AQ9" s="21">
        <f>'Q1 FY26-27'!AQ9</f>
        <v>13500</v>
      </c>
      <c r="AR9" s="42">
        <f t="shared" si="22"/>
        <v>5.5909546967218722E-4</v>
      </c>
      <c r="AS9" s="23">
        <f>'Q1 FY26-27'!AS9</f>
        <v>0</v>
      </c>
      <c r="AT9" s="43"/>
      <c r="AU9" s="44">
        <v>0</v>
      </c>
      <c r="AV9" s="42">
        <f t="shared" si="23"/>
        <v>0</v>
      </c>
      <c r="AW9" s="23">
        <f>'Q1 FY26-27'!AW9</f>
        <v>0</v>
      </c>
      <c r="AX9" s="43"/>
      <c r="AY9" s="26">
        <f>'Q1 FY26-27'!AY9</f>
        <v>0</v>
      </c>
      <c r="AZ9" s="40"/>
      <c r="BA9" s="23">
        <f>'Q1 FY26-27'!BA9</f>
        <v>0</v>
      </c>
      <c r="BB9" s="43"/>
      <c r="BC9" s="26">
        <f>'Q1 FY26-27'!BC9</f>
        <v>0</v>
      </c>
      <c r="BD9" s="40"/>
      <c r="BE9" s="35">
        <f>'Q1 FY26-27'!BE9</f>
        <v>0</v>
      </c>
      <c r="BF9" s="43"/>
      <c r="BG9" s="26">
        <f>'Q1 FY26-27'!BG9</f>
        <v>0</v>
      </c>
      <c r="BH9" s="40"/>
      <c r="BI9" s="26">
        <f>'Q1 FY26-27'!BI9</f>
        <v>0</v>
      </c>
      <c r="BJ9" s="43"/>
    </row>
    <row r="10" spans="1:62" ht="15.75" customHeight="1" x14ac:dyDescent="0.25">
      <c r="B10" s="5" t="s">
        <v>26</v>
      </c>
      <c r="C10" s="46">
        <f>SUM(C5:C9)</f>
        <v>148819005.83999997</v>
      </c>
      <c r="D10" s="47">
        <f>C10/C10</f>
        <v>1</v>
      </c>
      <c r="E10" s="48">
        <f>SUM(E5:E9)</f>
        <v>0</v>
      </c>
      <c r="F10" s="47" t="e">
        <f>E10/E10</f>
        <v>#DIV/0!</v>
      </c>
      <c r="G10" s="46">
        <f>SUM(G5:G9)</f>
        <v>0</v>
      </c>
      <c r="H10" s="49"/>
      <c r="I10" s="46">
        <f>SUM(I5:I9)</f>
        <v>0</v>
      </c>
      <c r="J10" s="49"/>
      <c r="K10" s="50">
        <f>SUM(K5:K9)</f>
        <v>148819005.83999997</v>
      </c>
      <c r="L10" s="47">
        <f>K10/K10</f>
        <v>1</v>
      </c>
      <c r="M10" s="50">
        <f>SUM(M5:M9)</f>
        <v>0</v>
      </c>
      <c r="N10" s="51" t="e">
        <f>M10/M10</f>
        <v>#DIV/0!</v>
      </c>
      <c r="O10" s="46">
        <f>SUM(O5:O9)</f>
        <v>40934292.869999997</v>
      </c>
      <c r="P10" s="52"/>
      <c r="Q10" s="50">
        <f>SUM(Q5:Q9)</f>
        <v>0</v>
      </c>
      <c r="R10" s="53"/>
      <c r="S10" s="46">
        <f>SUM(S5:S9)</f>
        <v>1667248</v>
      </c>
      <c r="T10" s="49"/>
      <c r="U10" s="48">
        <f>SUM(U5:U8)</f>
        <v>0</v>
      </c>
      <c r="V10" s="53"/>
      <c r="W10" s="46">
        <f>SUM(W5:W9)</f>
        <v>25283076.490000002</v>
      </c>
      <c r="X10" s="49"/>
      <c r="Y10" s="48">
        <f>SUM(Y5:Y8)</f>
        <v>0</v>
      </c>
      <c r="Z10" s="53"/>
      <c r="AA10" s="46">
        <f>SUM(AA5:AA9)</f>
        <v>19145659.949999999</v>
      </c>
      <c r="AB10" s="49"/>
      <c r="AC10" s="48">
        <f>SUM(AC5:AC8)</f>
        <v>0</v>
      </c>
      <c r="AD10" s="53"/>
      <c r="AE10" s="46">
        <f>SUM(AE5:AE9)</f>
        <v>34232739.25</v>
      </c>
      <c r="AF10" s="49"/>
      <c r="AG10" s="48">
        <f>SUM(AG5:AG8)</f>
        <v>0</v>
      </c>
      <c r="AH10" s="53"/>
      <c r="AI10" s="46">
        <f>SUM(AI5:AI9)</f>
        <v>0</v>
      </c>
      <c r="AJ10" s="49"/>
      <c r="AK10" s="46">
        <f>SUM(AK5:AK9)</f>
        <v>0</v>
      </c>
      <c r="AL10" s="53"/>
      <c r="AM10" s="46">
        <f>SUM(AM5:AM9)</f>
        <v>970993.82000000007</v>
      </c>
      <c r="AN10" s="49"/>
      <c r="AO10" s="48">
        <f>SUM(AO5:AO8)</f>
        <v>0</v>
      </c>
      <c r="AP10" s="49"/>
      <c r="AQ10" s="46">
        <f>SUM(AQ5:AQ9)</f>
        <v>24146144.5</v>
      </c>
      <c r="AR10" s="49"/>
      <c r="AS10" s="48">
        <f>'Q1 FY26-27'!AS10</f>
        <v>0</v>
      </c>
      <c r="AT10" s="53"/>
      <c r="AU10" s="54">
        <f>SUM(AU5:AU8)</f>
        <v>666826.99</v>
      </c>
      <c r="AV10" s="49"/>
      <c r="AW10" s="55">
        <f>SUM(AW5:AW8)</f>
        <v>0</v>
      </c>
      <c r="AX10" s="53"/>
      <c r="AY10" s="54">
        <f>SUM(AY5:AY8)</f>
        <v>228077.89</v>
      </c>
      <c r="AZ10" s="49"/>
      <c r="BA10" s="55">
        <f>SUM(BA5:BA8)</f>
        <v>0</v>
      </c>
      <c r="BB10" s="53"/>
      <c r="BC10" s="54">
        <f>SUM(BC5:BC8)</f>
        <v>306961.08</v>
      </c>
      <c r="BD10" s="49"/>
      <c r="BE10" s="55">
        <f>SUM(BE5:BE8)</f>
        <v>0</v>
      </c>
      <c r="BF10" s="53"/>
      <c r="BG10" s="54">
        <f>SUM(BG5:BG8)</f>
        <v>1236985</v>
      </c>
      <c r="BH10" s="49"/>
      <c r="BI10" s="55">
        <f>SUM(BI5:BI8)</f>
        <v>0</v>
      </c>
      <c r="BJ10" s="53"/>
    </row>
    <row r="11" spans="1:62" ht="15.75" customHeight="1" x14ac:dyDescent="0.25">
      <c r="B11" s="56" t="s">
        <v>27</v>
      </c>
      <c r="C11" s="57">
        <f>C10/12</f>
        <v>12401583.819999998</v>
      </c>
      <c r="D11" s="57"/>
      <c r="E11" s="57">
        <f>E10/12</f>
        <v>0</v>
      </c>
      <c r="F11" s="58"/>
      <c r="G11" s="59">
        <f>'Q1 FY26-27'!G11</f>
        <v>0</v>
      </c>
      <c r="H11" s="60"/>
      <c r="I11" s="60">
        <f>'Q1 FY26-27'!I11</f>
        <v>0</v>
      </c>
      <c r="J11" s="60"/>
      <c r="K11" s="61"/>
      <c r="L11" s="60"/>
      <c r="M11" s="60"/>
      <c r="N11" s="62"/>
      <c r="O11" s="63">
        <f>'Q1 FY26-27'!O11</f>
        <v>0</v>
      </c>
      <c r="P11" s="60"/>
      <c r="Q11" s="60"/>
      <c r="R11" s="58"/>
      <c r="S11" s="59">
        <f>S10/12</f>
        <v>138937.33333333334</v>
      </c>
      <c r="T11" s="60"/>
      <c r="U11" s="59">
        <f>U10/12</f>
        <v>0</v>
      </c>
      <c r="V11" s="58"/>
      <c r="W11" s="59">
        <f>W10/12</f>
        <v>2106923.0408333335</v>
      </c>
      <c r="X11" s="60"/>
      <c r="Y11" s="59">
        <f>Y10/12</f>
        <v>0</v>
      </c>
      <c r="Z11" s="58"/>
      <c r="AA11" s="59">
        <f>AA10/12</f>
        <v>1595471.6624999999</v>
      </c>
      <c r="AB11" s="60"/>
      <c r="AC11" s="60"/>
      <c r="AD11" s="58"/>
      <c r="AE11" s="59">
        <f>AE10/12</f>
        <v>2852728.2708333335</v>
      </c>
      <c r="AF11" s="60"/>
      <c r="AG11" s="60">
        <f>'Q1 FY26-27'!AG11</f>
        <v>0</v>
      </c>
      <c r="AH11" s="58"/>
      <c r="AI11" s="59">
        <f>'Q1 FY26-27'!AI11</f>
        <v>0</v>
      </c>
      <c r="AJ11" s="60"/>
      <c r="AK11" s="60">
        <f>'Q1 FY26-27'!AK11</f>
        <v>0</v>
      </c>
      <c r="AL11" s="58"/>
      <c r="AM11" s="59">
        <f>AM10/12</f>
        <v>80916.151666666672</v>
      </c>
      <c r="AN11" s="60"/>
      <c r="AO11" s="60">
        <f>'Q1 FY26-27'!AO11</f>
        <v>0</v>
      </c>
      <c r="AP11" s="60"/>
      <c r="AQ11" s="59">
        <f>AQ10/4.5</f>
        <v>5365809.888888889</v>
      </c>
      <c r="AR11" s="60"/>
      <c r="AS11" s="60">
        <f>'Q1 FY26-27'!AS11</f>
        <v>0</v>
      </c>
      <c r="AT11" s="58"/>
      <c r="AU11" s="59">
        <v>0</v>
      </c>
      <c r="AV11" s="60"/>
      <c r="AW11" s="60">
        <v>0</v>
      </c>
      <c r="AX11" s="58"/>
      <c r="AY11" s="59">
        <v>0</v>
      </c>
      <c r="AZ11" s="60"/>
      <c r="BA11" s="60">
        <v>0</v>
      </c>
      <c r="BB11" s="58"/>
      <c r="BC11" s="59">
        <v>0</v>
      </c>
      <c r="BD11" s="60"/>
      <c r="BE11" s="60">
        <v>0</v>
      </c>
      <c r="BF11" s="58"/>
      <c r="BG11" s="59">
        <v>0</v>
      </c>
      <c r="BH11" s="60"/>
      <c r="BI11" s="60">
        <v>0</v>
      </c>
      <c r="BJ11" s="58"/>
    </row>
    <row r="12" spans="1:62" ht="15.75" customHeight="1" x14ac:dyDescent="0.25">
      <c r="B12" s="11" t="s">
        <v>28</v>
      </c>
      <c r="C12" s="64">
        <f t="shared" ref="C12:C13" si="24">G12+K12</f>
        <v>55832433.90313179</v>
      </c>
      <c r="D12" s="13">
        <f t="shared" ref="D12:D13" si="25">C12/$C$10</f>
        <v>0.37517005027677047</v>
      </c>
      <c r="E12" s="14">
        <f t="shared" ref="E12:E13" si="26">I12+M12</f>
        <v>0</v>
      </c>
      <c r="F12" s="15" t="e">
        <f t="shared" ref="F12:F14" si="27">E12/E$10</f>
        <v>#DIV/0!</v>
      </c>
      <c r="G12" s="21">
        <f>'Q1 FY26-27'!G12</f>
        <v>0</v>
      </c>
      <c r="H12" s="65">
        <f>G12/$C$10</f>
        <v>0</v>
      </c>
      <c r="I12" s="18">
        <f>'Q1 FY26-27'!I12</f>
        <v>0</v>
      </c>
      <c r="J12" s="65">
        <f>I12/$C$10</f>
        <v>0</v>
      </c>
      <c r="K12" s="19">
        <f t="shared" ref="K12:K13" si="28">O12+S12+W12+AA12+AE12+AI12+AM12+AQ12+AU12+AY12+BC12+BG12</f>
        <v>55832433.90313179</v>
      </c>
      <c r="L12" s="13">
        <f t="shared" ref="L12:L13" si="29">K12/$K$10</f>
        <v>0.37517005027677047</v>
      </c>
      <c r="M12" s="14">
        <f t="shared" ref="M12:M13" si="30">Q12+U12+Y12+AC12+AG12+AK12+AO12</f>
        <v>0</v>
      </c>
      <c r="N12" s="20" t="e">
        <f t="shared" ref="N12:N14" si="31">M12/M$10</f>
        <v>#DIV/0!</v>
      </c>
      <c r="O12" s="21">
        <f>'Q1 FY26-27'!O12</f>
        <v>14259872.55125542</v>
      </c>
      <c r="P12" s="22">
        <f t="shared" ref="P12:P14" si="32">O12/O$10</f>
        <v>0.34836005587154584</v>
      </c>
      <c r="Q12" s="23">
        <f>'Q1 FY26-27'!Q12</f>
        <v>0</v>
      </c>
      <c r="R12" s="22" t="e">
        <f t="shared" ref="R12:R14" si="33">Q12/Q$10</f>
        <v>#DIV/0!</v>
      </c>
      <c r="S12" s="21">
        <f>'Q1 FY26-27'!S12</f>
        <v>573413.45334620704</v>
      </c>
      <c r="T12" s="22">
        <f t="shared" ref="T12:T13" si="34">S12/S$10</f>
        <v>0.34392810988299705</v>
      </c>
      <c r="U12" s="23">
        <f>'Q1 FY26-27'!U12</f>
        <v>0</v>
      </c>
      <c r="V12" s="22" t="e">
        <f t="shared" ref="V12:V14" si="35">U12/U$10</f>
        <v>#DIV/0!</v>
      </c>
      <c r="W12" s="21">
        <f>'Q1 FY26-27'!W12</f>
        <v>9869489.6889233142</v>
      </c>
      <c r="X12" s="22">
        <f t="shared" ref="X12:X13" si="36">W12/W$10</f>
        <v>0.39035952340795665</v>
      </c>
      <c r="Y12" s="23">
        <f>'Q1 FY26-27'!Y12</f>
        <v>0</v>
      </c>
      <c r="Z12" s="22" t="e">
        <f t="shared" ref="Z12:Z14" si="37">Y12/Y$10</f>
        <v>#DIV/0!</v>
      </c>
      <c r="AA12" s="21">
        <f>'Q1 FY26-27'!AA12</f>
        <v>6943290.0906891581</v>
      </c>
      <c r="AB12" s="22">
        <f t="shared" ref="AB12:AB13" si="38">AA12/AA$10</f>
        <v>0.36265608544296529</v>
      </c>
      <c r="AC12" s="23">
        <f>'Q1 FY26-27'!AC12</f>
        <v>0</v>
      </c>
      <c r="AD12" s="22" t="e">
        <f t="shared" ref="AD12:AD14" si="39">AC12/AC$10</f>
        <v>#DIV/0!</v>
      </c>
      <c r="AE12" s="21">
        <f>'Q1 FY26-27'!AE12</f>
        <v>11423137.543771431</v>
      </c>
      <c r="AF12" s="22">
        <f t="shared" ref="AF12:AF13" si="40">AE12/AE$10</f>
        <v>0.33369043185089053</v>
      </c>
      <c r="AG12" s="23">
        <f>'Q1 FY26-27'!AG12</f>
        <v>0</v>
      </c>
      <c r="AH12" s="22" t="e">
        <f t="shared" ref="AH12:AH14" si="41">AG12/AG$10</f>
        <v>#DIV/0!</v>
      </c>
      <c r="AI12" s="21">
        <f>'Q1 FY26-27'!AI12</f>
        <v>0</v>
      </c>
      <c r="AJ12" s="22" t="e">
        <f t="shared" ref="AJ12:AJ14" si="42">AI12/AI$10</f>
        <v>#DIV/0!</v>
      </c>
      <c r="AK12" s="66">
        <f>'Q1 FY26-27'!AK12</f>
        <v>0</v>
      </c>
      <c r="AL12" s="24" t="e">
        <f t="shared" ref="AL12:AL14" si="43">AK12/AK$10</f>
        <v>#DIV/0!</v>
      </c>
      <c r="AM12" s="21">
        <f>'Q1 FY26-27'!AM12</f>
        <v>1697483.4840839258</v>
      </c>
      <c r="AN12" s="22">
        <f t="shared" ref="AN12:AN13" si="44">AM12/AM$10</f>
        <v>1.748191851606147</v>
      </c>
      <c r="AO12" s="66">
        <f>'Q1 FY26-27'!AO12</f>
        <v>0</v>
      </c>
      <c r="AP12" s="22" t="e">
        <f t="shared" ref="AP12:AP13" si="45">AO12/AO$10</f>
        <v>#DIV/0!</v>
      </c>
      <c r="AQ12" s="21">
        <f>'Q1 FY26-27'!AQ12</f>
        <v>9435972.9880647045</v>
      </c>
      <c r="AR12" s="22">
        <f t="shared" ref="AR12:AR13" si="46">AQ12/AQ$10</f>
        <v>0.39078590737600799</v>
      </c>
      <c r="AS12" s="23">
        <f>'Q1 FY26-27'!AS12</f>
        <v>0</v>
      </c>
      <c r="AT12" s="24"/>
      <c r="AU12" s="25">
        <f>'Q1 FY26-27'!AU12</f>
        <v>438745.12177845242</v>
      </c>
      <c r="AV12" s="22">
        <f t="shared" ref="AV12:AV13" si="47">AU12/AU$10</f>
        <v>0.65795945328855454</v>
      </c>
      <c r="AW12" s="23">
        <f>'Q1 FY26-27'!AW12</f>
        <v>0</v>
      </c>
      <c r="AX12" s="24"/>
      <c r="AY12" s="25">
        <f>'Q1 FY26-27'!AY12</f>
        <v>339203.0053802667</v>
      </c>
      <c r="AZ12" s="17"/>
      <c r="BA12" s="23">
        <f>'Q1 FY26-27'!BA12</f>
        <v>0</v>
      </c>
      <c r="BB12" s="24"/>
      <c r="BC12" s="25">
        <f>'Q1 FY26-27'!BC12</f>
        <v>495419.73495670338</v>
      </c>
      <c r="BD12" s="17"/>
      <c r="BE12" s="23">
        <f>'Q1 FY26-27'!BE12</f>
        <v>0</v>
      </c>
      <c r="BF12" s="24"/>
      <c r="BG12" s="25">
        <f>'Q1 FY26-27'!BG12</f>
        <v>356406.24088220211</v>
      </c>
      <c r="BH12" s="17"/>
      <c r="BI12" s="23">
        <f>'Q1 FY26-27'!BI12</f>
        <v>0</v>
      </c>
      <c r="BJ12" s="24"/>
    </row>
    <row r="13" spans="1:62" ht="15.75" customHeight="1" x14ac:dyDescent="0.25">
      <c r="B13" s="36" t="s">
        <v>29</v>
      </c>
      <c r="C13" s="37">
        <f t="shared" si="24"/>
        <v>1899950.22</v>
      </c>
      <c r="D13" s="67">
        <f t="shared" si="25"/>
        <v>1.2766851984233094E-2</v>
      </c>
      <c r="E13" s="38">
        <f t="shared" si="26"/>
        <v>0</v>
      </c>
      <c r="F13" s="39" t="e">
        <f t="shared" si="27"/>
        <v>#DIV/0!</v>
      </c>
      <c r="G13" s="21">
        <f>'Q1 FY26-27'!G13</f>
        <v>0</v>
      </c>
      <c r="H13" s="40"/>
      <c r="I13" s="68">
        <f>'Q1 FY26-27'!I13</f>
        <v>0</v>
      </c>
      <c r="J13" s="40"/>
      <c r="K13" s="19">
        <f t="shared" si="28"/>
        <v>1899950.22</v>
      </c>
      <c r="L13" s="13">
        <f t="shared" si="29"/>
        <v>1.2766851984233094E-2</v>
      </c>
      <c r="M13" s="38">
        <f t="shared" si="30"/>
        <v>0</v>
      </c>
      <c r="N13" s="41" t="e">
        <f t="shared" si="31"/>
        <v>#DIV/0!</v>
      </c>
      <c r="O13" s="45">
        <f>'Q1 FY26-27'!O13</f>
        <v>106548</v>
      </c>
      <c r="P13" s="42">
        <f t="shared" si="32"/>
        <v>2.6029031535582505E-3</v>
      </c>
      <c r="Q13" s="23">
        <f>'Q1 FY26-27'!Q13</f>
        <v>0</v>
      </c>
      <c r="R13" s="42" t="e">
        <f t="shared" si="33"/>
        <v>#DIV/0!</v>
      </c>
      <c r="S13" s="21">
        <f>'Q1 FY26-27'!S13</f>
        <v>73214</v>
      </c>
      <c r="T13" s="42">
        <f t="shared" si="34"/>
        <v>4.3913083116608929E-2</v>
      </c>
      <c r="U13" s="23">
        <f>'Q1 FY26-27'!U13</f>
        <v>0</v>
      </c>
      <c r="V13" s="42" t="e">
        <f t="shared" si="35"/>
        <v>#DIV/0!</v>
      </c>
      <c r="W13" s="21">
        <f>'Q1 FY26-27'!W13</f>
        <v>366401.4</v>
      </c>
      <c r="X13" s="42">
        <f t="shared" si="36"/>
        <v>1.4491962643269287E-2</v>
      </c>
      <c r="Y13" s="69">
        <f>'Q1 FY26-27'!Y13</f>
        <v>0</v>
      </c>
      <c r="Z13" s="42" t="e">
        <f t="shared" si="37"/>
        <v>#DIV/0!</v>
      </c>
      <c r="AA13" s="70">
        <f>'Q1 FY26-27'!AA13</f>
        <v>442124</v>
      </c>
      <c r="AB13" s="42">
        <f t="shared" si="38"/>
        <v>2.30926487336886E-2</v>
      </c>
      <c r="AC13" s="23">
        <f>'Q1 FY26-27'!AC13</f>
        <v>0</v>
      </c>
      <c r="AD13" s="42" t="e">
        <f t="shared" si="39"/>
        <v>#DIV/0!</v>
      </c>
      <c r="AE13" s="21">
        <f>'Q1 FY26-27'!AE13</f>
        <v>512245.02</v>
      </c>
      <c r="AF13" s="42">
        <f t="shared" si="40"/>
        <v>1.4963600086428958E-2</v>
      </c>
      <c r="AG13" s="69">
        <f>'Q1 FY26-27'!AG13</f>
        <v>0</v>
      </c>
      <c r="AH13" s="42" t="e">
        <f t="shared" si="41"/>
        <v>#DIV/0!</v>
      </c>
      <c r="AI13" s="21">
        <f>'Q1 FY26-27'!AI13</f>
        <v>1030</v>
      </c>
      <c r="AJ13" s="42" t="e">
        <f t="shared" si="42"/>
        <v>#DIV/0!</v>
      </c>
      <c r="AK13" s="71">
        <f>'Q1 FY26-27'!AK13</f>
        <v>0</v>
      </c>
      <c r="AL13" s="24" t="e">
        <f t="shared" si="43"/>
        <v>#DIV/0!</v>
      </c>
      <c r="AM13" s="70">
        <f>'Q1 FY26-27'!AM13</f>
        <v>203076.5</v>
      </c>
      <c r="AN13" s="42">
        <f t="shared" si="44"/>
        <v>0.20914293769655504</v>
      </c>
      <c r="AO13" s="71">
        <f>'Q1 FY26-27'!AO13</f>
        <v>0</v>
      </c>
      <c r="AP13" s="42" t="e">
        <f t="shared" si="45"/>
        <v>#DIV/0!</v>
      </c>
      <c r="AQ13" s="21">
        <f>'Q1 FY26-27'!AQ13</f>
        <v>85375.3</v>
      </c>
      <c r="AR13" s="42">
        <f t="shared" si="46"/>
        <v>3.5357735890299176E-3</v>
      </c>
      <c r="AS13" s="69">
        <f>'Q1 FY26-27'!AS13</f>
        <v>0</v>
      </c>
      <c r="AT13" s="43"/>
      <c r="AU13" s="25">
        <f>'Q1 FY26-27'!AU13</f>
        <v>8383</v>
      </c>
      <c r="AV13" s="42">
        <f t="shared" si="47"/>
        <v>1.2571476748414159E-2</v>
      </c>
      <c r="AW13" s="69">
        <f>'Q1 FY26-27'!AW13</f>
        <v>0</v>
      </c>
      <c r="AX13" s="43"/>
      <c r="AY13" s="25">
        <f>'Q1 FY26-27'!AY13</f>
        <v>9422</v>
      </c>
      <c r="AZ13" s="40"/>
      <c r="BA13" s="23">
        <f>'Q1 FY26-27'!BA13</f>
        <v>0</v>
      </c>
      <c r="BB13" s="43"/>
      <c r="BC13" s="25">
        <f>'Q1 FY26-27'!BC13</f>
        <v>5647</v>
      </c>
      <c r="BD13" s="40"/>
      <c r="BE13" s="23">
        <f>'Q1 FY26-27'!BE13</f>
        <v>0</v>
      </c>
      <c r="BF13" s="43"/>
      <c r="BG13" s="25">
        <f>'Q1 FY26-27'!BG13</f>
        <v>86484</v>
      </c>
      <c r="BH13" s="40"/>
      <c r="BI13" s="23">
        <f>'Q1 FY26-27'!BI13</f>
        <v>0</v>
      </c>
      <c r="BJ13" s="43"/>
    </row>
    <row r="14" spans="1:62" ht="15.75" customHeight="1" x14ac:dyDescent="0.25">
      <c r="B14" s="5" t="s">
        <v>30</v>
      </c>
      <c r="C14" s="46">
        <f>SUM(C12:C13)</f>
        <v>57732384.123131789</v>
      </c>
      <c r="D14" s="47">
        <f>C14/C10</f>
        <v>0.38793690226100358</v>
      </c>
      <c r="E14" s="48">
        <f>E12+E13</f>
        <v>0</v>
      </c>
      <c r="F14" s="72" t="e">
        <f t="shared" si="27"/>
        <v>#DIV/0!</v>
      </c>
      <c r="G14" s="46">
        <f>'Q1 FY26-27'!G14</f>
        <v>0</v>
      </c>
      <c r="H14" s="73">
        <f>G14/C10</f>
        <v>0</v>
      </c>
      <c r="I14" s="74">
        <f>'Q1 FY26-27'!I14</f>
        <v>0</v>
      </c>
      <c r="J14" s="75" t="e">
        <f>I14/E10</f>
        <v>#DIV/0!</v>
      </c>
      <c r="K14" s="76">
        <f>'Q1 FY26-27'!K14</f>
        <v>57732384.123131789</v>
      </c>
      <c r="L14" s="47">
        <f>K14/K10</f>
        <v>0.38793690226100358</v>
      </c>
      <c r="M14" s="48">
        <f>M12+M13</f>
        <v>0</v>
      </c>
      <c r="N14" s="51" t="e">
        <f t="shared" si="31"/>
        <v>#DIV/0!</v>
      </c>
      <c r="O14" s="76">
        <f>'Q1 FY26-27'!O14</f>
        <v>14366420.55125542</v>
      </c>
      <c r="P14" s="77">
        <f t="shared" si="32"/>
        <v>0.3509629590251041</v>
      </c>
      <c r="Q14" s="48">
        <f>SUM(Q12:Q13)</f>
        <v>0</v>
      </c>
      <c r="R14" s="72" t="e">
        <f t="shared" si="33"/>
        <v>#DIV/0!</v>
      </c>
      <c r="S14" s="46">
        <f>SUM(S12:S13)</f>
        <v>646627.45334620704</v>
      </c>
      <c r="T14" s="49"/>
      <c r="U14" s="48">
        <f>SUM(U12:U13)</f>
        <v>0</v>
      </c>
      <c r="V14" s="72" t="e">
        <f t="shared" si="35"/>
        <v>#DIV/0!</v>
      </c>
      <c r="W14" s="46">
        <f>SUM(W12:W13)</f>
        <v>10235891.088923315</v>
      </c>
      <c r="X14" s="49"/>
      <c r="Y14" s="48">
        <f>SUM(Y12:Y13)</f>
        <v>0</v>
      </c>
      <c r="Z14" s="72" t="e">
        <f t="shared" si="37"/>
        <v>#DIV/0!</v>
      </c>
      <c r="AA14" s="46">
        <f>SUM(AA12:AA13)</f>
        <v>7385414.0906891581</v>
      </c>
      <c r="AB14" s="49"/>
      <c r="AC14" s="48">
        <f>SUM(AC12:AC13)</f>
        <v>0</v>
      </c>
      <c r="AD14" s="72" t="e">
        <f t="shared" si="39"/>
        <v>#DIV/0!</v>
      </c>
      <c r="AE14" s="46">
        <f>SUM(AE12:AE13)</f>
        <v>11935382.56377143</v>
      </c>
      <c r="AF14" s="49"/>
      <c r="AG14" s="48">
        <f>SUM(AG12:AG13)</f>
        <v>0</v>
      </c>
      <c r="AH14" s="72" t="e">
        <f t="shared" si="41"/>
        <v>#DIV/0!</v>
      </c>
      <c r="AI14" s="46">
        <f>'Q1 FY26-27'!AI14</f>
        <v>1030</v>
      </c>
      <c r="AJ14" s="72" t="e">
        <f t="shared" si="42"/>
        <v>#DIV/0!</v>
      </c>
      <c r="AK14" s="48">
        <f>'Q1 FY26-27'!AK14</f>
        <v>0</v>
      </c>
      <c r="AL14" s="72" t="e">
        <f t="shared" si="43"/>
        <v>#DIV/0!</v>
      </c>
      <c r="AM14" s="46">
        <f>SUM(AM12:AM13)</f>
        <v>1900559.9840839258</v>
      </c>
      <c r="AN14" s="49"/>
      <c r="AO14" s="48">
        <f>SUM(AO12:AO13)</f>
        <v>0</v>
      </c>
      <c r="AP14" s="49"/>
      <c r="AQ14" s="46">
        <f>'Q1 FY26-27'!AQ14</f>
        <v>9521348.2880647052</v>
      </c>
      <c r="AR14" s="49"/>
      <c r="AS14" s="48">
        <f>SUM(AS12:AS13)</f>
        <v>0</v>
      </c>
      <c r="AT14" s="53"/>
      <c r="AU14" s="54">
        <f>AU12+AU13</f>
        <v>447128.12177845242</v>
      </c>
      <c r="AV14" s="49"/>
      <c r="AW14" s="55">
        <f>AW12+AW13</f>
        <v>0</v>
      </c>
      <c r="AX14" s="53"/>
      <c r="AY14" s="54">
        <f>AY12+AY13</f>
        <v>348625.0053802667</v>
      </c>
      <c r="AZ14" s="49"/>
      <c r="BA14" s="55">
        <f>BA12+BA13</f>
        <v>0</v>
      </c>
      <c r="BB14" s="53"/>
      <c r="BC14" s="54">
        <f>BC12+BC13</f>
        <v>501066.73495670338</v>
      </c>
      <c r="BD14" s="49"/>
      <c r="BE14" s="55">
        <f>BE12+BE13</f>
        <v>0</v>
      </c>
      <c r="BF14" s="53"/>
      <c r="BG14" s="54">
        <f>BG12+BG13</f>
        <v>442890.24088220211</v>
      </c>
      <c r="BH14" s="49"/>
      <c r="BI14" s="55">
        <f>BI12+BI13</f>
        <v>0</v>
      </c>
      <c r="BJ14" s="53"/>
    </row>
    <row r="15" spans="1:62" ht="15.75" customHeight="1" x14ac:dyDescent="0.25">
      <c r="B15" s="78" t="s">
        <v>31</v>
      </c>
      <c r="C15" s="79"/>
      <c r="D15" s="80"/>
      <c r="E15" s="81"/>
      <c r="F15" s="82"/>
      <c r="G15" s="83">
        <f>'Q1 FY26-27'!G15</f>
        <v>0</v>
      </c>
      <c r="H15" s="84"/>
      <c r="I15" s="18">
        <f>'Q1 FY26-27'!I15</f>
        <v>0</v>
      </c>
      <c r="J15" s="84"/>
      <c r="K15" s="85"/>
      <c r="L15" s="80"/>
      <c r="M15" s="80"/>
      <c r="N15" s="86"/>
      <c r="O15" s="45">
        <f>'Q1 FY26-27'!O15</f>
        <v>0</v>
      </c>
      <c r="P15" s="87"/>
      <c r="Q15" s="88"/>
      <c r="R15" s="89"/>
      <c r="S15" s="45">
        <f>'Q1 FY26-27'!S15</f>
        <v>0</v>
      </c>
      <c r="T15" s="87"/>
      <c r="U15" s="87">
        <f>'Q1 FY26-27'!U15</f>
        <v>0</v>
      </c>
      <c r="V15" s="89"/>
      <c r="W15" s="45">
        <f>'Q1 FY26-27'!W15</f>
        <v>0</v>
      </c>
      <c r="X15" s="87"/>
      <c r="Y15" s="87">
        <f>'Q1 FY26-27'!Y15</f>
        <v>0</v>
      </c>
      <c r="Z15" s="89"/>
      <c r="AA15" s="90">
        <f>'Q1 FY26-27'!AA15</f>
        <v>0</v>
      </c>
      <c r="AB15" s="87"/>
      <c r="AC15" s="87"/>
      <c r="AD15" s="89"/>
      <c r="AE15" s="90">
        <f>'Q1 FY26-27'!AE15</f>
        <v>0</v>
      </c>
      <c r="AF15" s="87"/>
      <c r="AG15" s="87">
        <f>'Q1 FY26-27'!AG15</f>
        <v>0</v>
      </c>
      <c r="AH15" s="89"/>
      <c r="AI15" s="90">
        <f>'Q1 FY26-27'!AI15</f>
        <v>0</v>
      </c>
      <c r="AJ15" s="87"/>
      <c r="AK15" s="87">
        <f>'Q1 FY26-27'!AK15</f>
        <v>0</v>
      </c>
      <c r="AL15" s="89"/>
      <c r="AM15" s="90">
        <f>'Q1 FY26-27'!AM15</f>
        <v>0</v>
      </c>
      <c r="AN15" s="87"/>
      <c r="AO15" s="87">
        <f>'Q1 FY26-27'!AO15</f>
        <v>0</v>
      </c>
      <c r="AP15" s="87"/>
      <c r="AQ15" s="83">
        <f>'Q1 FY26-27'!AQ15</f>
        <v>0</v>
      </c>
      <c r="AR15" s="87"/>
      <c r="AS15" s="84">
        <f>'Q1 FY26-27'!AS15</f>
        <v>0</v>
      </c>
      <c r="AT15" s="89"/>
      <c r="AU15" s="83">
        <v>0</v>
      </c>
      <c r="AV15" s="87"/>
      <c r="AW15" s="84">
        <v>0</v>
      </c>
      <c r="AX15" s="89"/>
      <c r="AY15" s="83">
        <v>0</v>
      </c>
      <c r="AZ15" s="87"/>
      <c r="BA15" s="84">
        <v>0</v>
      </c>
      <c r="BB15" s="89"/>
      <c r="BC15" s="83">
        <v>0</v>
      </c>
      <c r="BD15" s="87"/>
      <c r="BE15" s="84">
        <v>0</v>
      </c>
      <c r="BF15" s="89"/>
      <c r="BG15" s="83">
        <v>0</v>
      </c>
      <c r="BH15" s="87"/>
      <c r="BI15" s="84">
        <v>0</v>
      </c>
      <c r="BJ15" s="89"/>
    </row>
    <row r="16" spans="1:62" ht="15.75" customHeight="1" x14ac:dyDescent="0.25">
      <c r="A16" s="91"/>
      <c r="B16" s="92" t="s">
        <v>32</v>
      </c>
      <c r="C16" s="93">
        <f>C10-C14</f>
        <v>91086621.716868192</v>
      </c>
      <c r="D16" s="94">
        <f>C16/C10</f>
        <v>0.61206309773899648</v>
      </c>
      <c r="E16" s="95">
        <f>E10-E14</f>
        <v>0</v>
      </c>
      <c r="F16" s="96" t="e">
        <f>E16/E$10</f>
        <v>#DIV/0!</v>
      </c>
      <c r="G16" s="93">
        <f>'Q1 FY26-27'!G16</f>
        <v>0</v>
      </c>
      <c r="H16" s="94">
        <f>G16/C10</f>
        <v>0</v>
      </c>
      <c r="I16" s="60">
        <f>'Q1 FY26-27'!I16</f>
        <v>0</v>
      </c>
      <c r="J16" s="94" t="e">
        <f>I16/E10</f>
        <v>#DIV/0!</v>
      </c>
      <c r="K16" s="97">
        <f>'Q1 FY26-27'!K16</f>
        <v>91086621.716868192</v>
      </c>
      <c r="L16" s="94">
        <f>K16/K10</f>
        <v>0.61206309773899648</v>
      </c>
      <c r="M16" s="95">
        <f>Q16+U16+Y16+AC16+AG16+AK16+AO16</f>
        <v>0</v>
      </c>
      <c r="N16" s="98" t="e">
        <f>M16/M$10</f>
        <v>#DIV/0!</v>
      </c>
      <c r="O16" s="97">
        <f>'Q1 FY26-27'!O16</f>
        <v>26567872.318744577</v>
      </c>
      <c r="P16" s="99">
        <f>O16/O$10</f>
        <v>0.6490370409748959</v>
      </c>
      <c r="Q16" s="95">
        <f>'Q1 FY26-27'!Q16</f>
        <v>0</v>
      </c>
      <c r="R16" s="96" t="e">
        <f>Q16/Q$10</f>
        <v>#DIV/0!</v>
      </c>
      <c r="S16" s="93">
        <f>'Q1 FY26-27'!S16</f>
        <v>1020620.546653793</v>
      </c>
      <c r="T16" s="98">
        <f>S16/S$10</f>
        <v>0.61215880700039405</v>
      </c>
      <c r="U16" s="95">
        <f>'Q1 FY26-27'!U16</f>
        <v>0</v>
      </c>
      <c r="V16" s="96" t="e">
        <f>U16/U$10</f>
        <v>#DIV/0!</v>
      </c>
      <c r="W16" s="93">
        <f>'Q1 FY26-27'!W16</f>
        <v>15047185.401076687</v>
      </c>
      <c r="X16" s="98">
        <f>W16/W$10</f>
        <v>0.5951485139487741</v>
      </c>
      <c r="Y16" s="95">
        <f>'Q1 FY26-27'!Y16</f>
        <v>0</v>
      </c>
      <c r="Z16" s="96" t="e">
        <f>Y16/Y$10</f>
        <v>#DIV/0!</v>
      </c>
      <c r="AA16" s="93">
        <f>'Q1 FY26-27'!AA16</f>
        <v>11760245.859310845</v>
      </c>
      <c r="AB16" s="98">
        <f>AA16/AA$10</f>
        <v>0.61425126582334633</v>
      </c>
      <c r="AC16" s="95">
        <f>'Q1 FY26-27'!AC16</f>
        <v>0</v>
      </c>
      <c r="AD16" s="96" t="e">
        <f>AC16/AC$10</f>
        <v>#DIV/0!</v>
      </c>
      <c r="AE16" s="93">
        <f>'Q1 FY26-27'!AE16</f>
        <v>22297356.68622857</v>
      </c>
      <c r="AF16" s="98">
        <f>AE16/AE$10</f>
        <v>0.65134596806268052</v>
      </c>
      <c r="AG16" s="95">
        <f>'Q1 FY26-27'!AG16</f>
        <v>0</v>
      </c>
      <c r="AH16" s="96" t="e">
        <f>AG16/AG$10</f>
        <v>#DIV/0!</v>
      </c>
      <c r="AI16" s="93">
        <f>'Q1 FY26-27'!AI16</f>
        <v>-1030</v>
      </c>
      <c r="AJ16" s="98" t="e">
        <f>AI16/AI$10</f>
        <v>#DIV/0!</v>
      </c>
      <c r="AK16" s="95">
        <f>'Q1 FY26-27'!AK16</f>
        <v>0</v>
      </c>
      <c r="AL16" s="96" t="e">
        <f>AK16/AK$10</f>
        <v>#DIV/0!</v>
      </c>
      <c r="AM16" s="93">
        <f>'Q1 FY26-27'!AM16</f>
        <v>-929566.16408392577</v>
      </c>
      <c r="AN16" s="98">
        <f>AM16/AM$10</f>
        <v>-0.95733478930270199</v>
      </c>
      <c r="AO16" s="95">
        <f>'Q1 FY26-27'!AO16</f>
        <v>0</v>
      </c>
      <c r="AP16" s="98" t="e">
        <f>AO16/AO$10</f>
        <v>#DIV/0!</v>
      </c>
      <c r="AQ16" s="93">
        <f>'Q1 FY26-27'!AQ16</f>
        <v>14624796.211935295</v>
      </c>
      <c r="AR16" s="98">
        <f>AQ16/AQ$10</f>
        <v>0.60567831903496205</v>
      </c>
      <c r="AS16" s="95">
        <f>'Q1 FY26-27'!AS16</f>
        <v>0</v>
      </c>
      <c r="AT16" s="100"/>
      <c r="AU16" s="93">
        <f>'Q1 FY26-27'!AU16</f>
        <v>219698.86822154757</v>
      </c>
      <c r="AV16" s="98">
        <f>AU16/AU$10</f>
        <v>0.32946906996303132</v>
      </c>
      <c r="AW16" s="95">
        <f>'Q1 FY26-27'!AW16</f>
        <v>0</v>
      </c>
      <c r="AX16" s="100"/>
      <c r="AY16" s="95">
        <f>'Q1 FY26-27'!AY16</f>
        <v>-120547.11538026668</v>
      </c>
      <c r="AZ16" s="101"/>
      <c r="BA16" s="102">
        <f>BA10-BA14</f>
        <v>0</v>
      </c>
      <c r="BB16" s="100"/>
      <c r="BC16" s="95">
        <f>'Q1 FY26-27'!BC16</f>
        <v>-194105.65495670337</v>
      </c>
      <c r="BD16" s="101"/>
      <c r="BE16" s="102">
        <f>BE10-BE14</f>
        <v>0</v>
      </c>
      <c r="BF16" s="100"/>
      <c r="BG16" s="95">
        <f>'Q1 FY26-27'!BG16</f>
        <v>794094.75911779795</v>
      </c>
      <c r="BH16" s="101"/>
      <c r="BI16" s="102">
        <f>BI10-BI14</f>
        <v>0</v>
      </c>
      <c r="BJ16" s="100"/>
    </row>
    <row r="17" spans="1:62" ht="15.75" customHeight="1" x14ac:dyDescent="0.25">
      <c r="B17" s="56" t="s">
        <v>27</v>
      </c>
      <c r="C17" s="59"/>
      <c r="D17" s="60"/>
      <c r="E17" s="57">
        <f>E16/12</f>
        <v>0</v>
      </c>
      <c r="F17" s="58"/>
      <c r="G17" s="59">
        <f>'Q1 FY26-27'!G17</f>
        <v>0</v>
      </c>
      <c r="H17" s="60"/>
      <c r="I17" s="60">
        <f>'Q1 FY26-27'!I17</f>
        <v>0</v>
      </c>
      <c r="J17" s="60"/>
      <c r="K17" s="61"/>
      <c r="L17" s="60"/>
      <c r="M17" s="60"/>
      <c r="N17" s="62"/>
      <c r="O17" s="60">
        <f>'Q1 FY26-27'!O17</f>
        <v>0</v>
      </c>
      <c r="P17" s="61"/>
      <c r="Q17" s="60"/>
      <c r="R17" s="58"/>
      <c r="S17" s="59">
        <f>'Q1 FY26-27'!S17</f>
        <v>0</v>
      </c>
      <c r="T17" s="60"/>
      <c r="U17" s="60">
        <f>'Q1 FY26-27'!U17</f>
        <v>0</v>
      </c>
      <c r="V17" s="58"/>
      <c r="W17" s="93">
        <f>'Q1 FY26-27'!W17</f>
        <v>0</v>
      </c>
      <c r="X17" s="60"/>
      <c r="Y17" s="60">
        <f>'Q1 FY26-27'!Y17</f>
        <v>0</v>
      </c>
      <c r="Z17" s="58"/>
      <c r="AA17" s="59">
        <f>'Q1 FY26-27'!AA17</f>
        <v>0</v>
      </c>
      <c r="AB17" s="60"/>
      <c r="AC17" s="60"/>
      <c r="AD17" s="58"/>
      <c r="AE17" s="93">
        <f>'Q1 FY26-27'!AE17</f>
        <v>0</v>
      </c>
      <c r="AF17" s="60"/>
      <c r="AG17" s="60">
        <f>'Q1 FY26-27'!AG17</f>
        <v>0</v>
      </c>
      <c r="AH17" s="58"/>
      <c r="AI17" s="59">
        <f>'Q1 FY26-27'!AI17</f>
        <v>0</v>
      </c>
      <c r="AJ17" s="60"/>
      <c r="AK17" s="95">
        <f>'Q1 FY26-27'!AK17</f>
        <v>0</v>
      </c>
      <c r="AL17" s="58"/>
      <c r="AM17" s="59">
        <f>'Q1 FY26-27'!AM17</f>
        <v>0</v>
      </c>
      <c r="AN17" s="60"/>
      <c r="AO17" s="60">
        <f>'Q1 FY26-27'!AO17</f>
        <v>0</v>
      </c>
      <c r="AP17" s="60"/>
      <c r="AQ17" s="59">
        <f>'Q1 FY26-27'!AQ17</f>
        <v>0</v>
      </c>
      <c r="AR17" s="60"/>
      <c r="AS17" s="60">
        <f>'Q1 FY26-27'!AS17</f>
        <v>0</v>
      </c>
      <c r="AT17" s="58"/>
      <c r="AU17" s="59">
        <v>0</v>
      </c>
      <c r="AV17" s="60"/>
      <c r="AW17" s="60">
        <v>0</v>
      </c>
      <c r="AX17" s="58"/>
      <c r="AY17" s="59">
        <v>0</v>
      </c>
      <c r="AZ17" s="60"/>
      <c r="BA17" s="60">
        <v>0</v>
      </c>
      <c r="BB17" s="58"/>
      <c r="BC17" s="59">
        <v>0</v>
      </c>
      <c r="BD17" s="60"/>
      <c r="BE17" s="60">
        <v>0</v>
      </c>
      <c r="BF17" s="58"/>
      <c r="BG17" s="59">
        <v>0</v>
      </c>
      <c r="BH17" s="60"/>
      <c r="BI17" s="60">
        <v>0</v>
      </c>
      <c r="BJ17" s="58"/>
    </row>
    <row r="18" spans="1:62" ht="15.75" customHeight="1" x14ac:dyDescent="0.25">
      <c r="B18" s="11" t="s">
        <v>33</v>
      </c>
      <c r="C18" s="64">
        <f t="shared" ref="C18:C27" si="48">G18+K18</f>
        <v>3971287.5100000002</v>
      </c>
      <c r="D18" s="13">
        <f t="shared" ref="D18:D27" si="49">C18/$C$10</f>
        <v>2.6685351696742667E-2</v>
      </c>
      <c r="E18" s="14">
        <f t="shared" ref="E18:E28" si="50">I18+M18</f>
        <v>0</v>
      </c>
      <c r="F18" s="15" t="e">
        <f t="shared" ref="F18:F28" si="51">E18/E$10</f>
        <v>#DIV/0!</v>
      </c>
      <c r="G18" s="21">
        <f>'Q1 FY26-27'!G18</f>
        <v>128002.51333333332</v>
      </c>
      <c r="H18" s="65">
        <f t="shared" ref="H18:H27" si="52">G18/$C$10</f>
        <v>8.6012208327041829E-4</v>
      </c>
      <c r="I18" s="18">
        <f>'Q1 FY26-27'!I18</f>
        <v>0</v>
      </c>
      <c r="J18" s="65">
        <f t="shared" ref="J18:J27" si="53">I18/$C$10</f>
        <v>0</v>
      </c>
      <c r="K18" s="19">
        <f t="shared" ref="K18:K27" si="54">O18+S18+W18+AA18+AE18+AI18+AM18+AQ18+AU18+AY18+BC18+BG18</f>
        <v>3843284.9966666671</v>
      </c>
      <c r="L18" s="13">
        <f t="shared" ref="L18:L28" si="55">K18/$K$10</f>
        <v>2.582522961347225E-2</v>
      </c>
      <c r="M18" s="14">
        <f t="shared" ref="M18:M27" si="56">Q18+U18+Y18+AC18+AG18+AK18+AO18</f>
        <v>0</v>
      </c>
      <c r="N18" s="20" t="e">
        <f t="shared" ref="N18:N28" si="57">M18/M$10</f>
        <v>#DIV/0!</v>
      </c>
      <c r="O18" s="21">
        <f>'Q1 FY26-27'!O18</f>
        <v>949580.56333333347</v>
      </c>
      <c r="P18" s="22">
        <f t="shared" ref="P18:P28" si="58">O18/O$10</f>
        <v>2.3197678444062335E-2</v>
      </c>
      <c r="Q18" s="35">
        <f>'Q1 FY26-27'!Q18</f>
        <v>0</v>
      </c>
      <c r="R18" s="22" t="e">
        <f t="shared" ref="R18:R28" si="59">Q18/Q$10</f>
        <v>#DIV/0!</v>
      </c>
      <c r="S18" s="21">
        <f>'Q1 FY26-27'!S18</f>
        <v>91280.29</v>
      </c>
      <c r="T18" s="22">
        <f t="shared" ref="T18:T28" si="60">S18/S$10</f>
        <v>5.4749077521760406E-2</v>
      </c>
      <c r="U18" s="23">
        <f>'Q1 FY26-27'!U18</f>
        <v>0</v>
      </c>
      <c r="V18" s="22" t="e">
        <f t="shared" ref="V18:V28" si="61">U18/U$10</f>
        <v>#DIV/0!</v>
      </c>
      <c r="W18" s="21">
        <f>'Q1 FY26-27'!W18</f>
        <v>750009.87333333329</v>
      </c>
      <c r="X18" s="22">
        <f t="shared" ref="X18:X28" si="62">W18/W$10</f>
        <v>2.9664502009080194E-2</v>
      </c>
      <c r="Y18" s="23">
        <f>'Q1 FY26-27'!Y18</f>
        <v>0</v>
      </c>
      <c r="Z18" s="22" t="e">
        <f t="shared" ref="Z18:Z28" si="63">Y18/Y$10</f>
        <v>#DIV/0!</v>
      </c>
      <c r="AA18" s="21">
        <f>'Q1 FY26-27'!AA18</f>
        <v>483204.82333333336</v>
      </c>
      <c r="AB18" s="22">
        <f t="shared" ref="AB18:AB28" si="64">AA18/AA$10</f>
        <v>2.5238347729733566E-2</v>
      </c>
      <c r="AC18" s="23">
        <f>'Q1 FY26-27'!AC18</f>
        <v>0</v>
      </c>
      <c r="AD18" s="22" t="e">
        <f t="shared" ref="AD18:AD28" si="65">AC18/AC$10</f>
        <v>#DIV/0!</v>
      </c>
      <c r="AE18" s="21">
        <f>'Q1 FY26-27'!AE18</f>
        <v>989178.45333333337</v>
      </c>
      <c r="AF18" s="22">
        <f t="shared" ref="AF18:AF28" si="66">AE18/AE$10</f>
        <v>2.8895685095762045E-2</v>
      </c>
      <c r="AG18" s="23">
        <f>'Q1 FY26-27'!AG18</f>
        <v>0</v>
      </c>
      <c r="AH18" s="22" t="e">
        <f t="shared" ref="AH18:AH28" si="67">AG18/AG$10</f>
        <v>#DIV/0!</v>
      </c>
      <c r="AI18" s="21">
        <f>'Q1 FY26-27'!AI18</f>
        <v>35514</v>
      </c>
      <c r="AJ18" s="22" t="e">
        <f t="shared" ref="AJ18:AJ28" si="68">AI18/AI$10</f>
        <v>#DIV/0!</v>
      </c>
      <c r="AK18" s="23">
        <f>'Q1 FY26-27'!AK18</f>
        <v>0</v>
      </c>
      <c r="AL18" s="22" t="e">
        <f t="shared" ref="AL18:AL28" si="69">AK18/AK$10</f>
        <v>#DIV/0!</v>
      </c>
      <c r="AM18" s="21">
        <f>'Q1 FY26-27'!AM18</f>
        <v>71198.86</v>
      </c>
      <c r="AN18" s="22">
        <f t="shared" ref="AN18:AN28" si="70">AM18/AM$10</f>
        <v>7.3325760198968096E-2</v>
      </c>
      <c r="AO18" s="23">
        <f>'Q1 FY26-27'!AO18</f>
        <v>0</v>
      </c>
      <c r="AP18" s="22" t="e">
        <f t="shared" ref="AP18:AP28" si="71">AO18/AO$10</f>
        <v>#DIV/0!</v>
      </c>
      <c r="AQ18" s="21">
        <f>'Q1 FY26-27'!AQ18</f>
        <v>467605.1333333333</v>
      </c>
      <c r="AR18" s="22">
        <f t="shared" ref="AR18:AR28" si="72">AQ18/AQ$10</f>
        <v>1.9365623084601904E-2</v>
      </c>
      <c r="AS18" s="23">
        <f>'Q1 FY26-27'!AS18</f>
        <v>0</v>
      </c>
      <c r="AT18" s="24"/>
      <c r="AU18" s="21">
        <f>'Q1 FY26-27'!AU18</f>
        <v>0</v>
      </c>
      <c r="AV18" s="22">
        <f t="shared" ref="AV18:AV28" si="73">AU18/AU$10</f>
        <v>0</v>
      </c>
      <c r="AW18" s="23">
        <f>'Q1 FY26-27'!AW18</f>
        <v>0</v>
      </c>
      <c r="AX18" s="24"/>
      <c r="AY18" s="21">
        <f>'Q1 FY26-27'!AY18</f>
        <v>0</v>
      </c>
      <c r="AZ18" s="17"/>
      <c r="BA18" s="23">
        <f>'Q1 FY26-27'!BA18</f>
        <v>0</v>
      </c>
      <c r="BB18" s="24"/>
      <c r="BC18" s="21">
        <f>'Q1 FY26-27'!BC18</f>
        <v>0</v>
      </c>
      <c r="BD18" s="17"/>
      <c r="BE18" s="23">
        <f>'Q1 FY26-27'!BE18</f>
        <v>0</v>
      </c>
      <c r="BF18" s="24"/>
      <c r="BG18" s="21">
        <f>'Q1 FY26-27'!BG18</f>
        <v>5713</v>
      </c>
      <c r="BH18" s="17"/>
      <c r="BI18" s="23">
        <f>'Q1 FY26-27'!BI18</f>
        <v>0</v>
      </c>
      <c r="BJ18" s="24"/>
    </row>
    <row r="19" spans="1:62" ht="15.75" customHeight="1" x14ac:dyDescent="0.25">
      <c r="B19" s="27" t="s">
        <v>34</v>
      </c>
      <c r="C19" s="12">
        <f t="shared" si="48"/>
        <v>1618158.4</v>
      </c>
      <c r="D19" s="13">
        <f t="shared" si="49"/>
        <v>1.087333160752151E-2</v>
      </c>
      <c r="E19" s="28">
        <f t="shared" si="50"/>
        <v>53100</v>
      </c>
      <c r="F19" s="29" t="e">
        <f t="shared" si="51"/>
        <v>#DIV/0!</v>
      </c>
      <c r="G19" s="21">
        <f>'Q1 FY26-27'!G19</f>
        <v>106200</v>
      </c>
      <c r="H19" s="65">
        <f t="shared" si="52"/>
        <v>7.1361852876627183E-4</v>
      </c>
      <c r="I19" s="18">
        <f>'Q1 FY26-27'!I19</f>
        <v>53100</v>
      </c>
      <c r="J19" s="65">
        <f t="shared" si="53"/>
        <v>3.5680926438313591E-4</v>
      </c>
      <c r="K19" s="19">
        <f t="shared" si="54"/>
        <v>1511958.4</v>
      </c>
      <c r="L19" s="13">
        <f t="shared" si="55"/>
        <v>1.0159713078755237E-2</v>
      </c>
      <c r="M19" s="28">
        <f t="shared" si="56"/>
        <v>0</v>
      </c>
      <c r="N19" s="31" t="e">
        <f t="shared" si="57"/>
        <v>#DIV/0!</v>
      </c>
      <c r="O19" s="21">
        <f>'Q1 FY26-27'!O19</f>
        <v>72049</v>
      </c>
      <c r="P19" s="32">
        <f t="shared" si="58"/>
        <v>1.7601134635161467E-3</v>
      </c>
      <c r="Q19" s="35">
        <f>'Q1 FY26-27'!Q19</f>
        <v>0</v>
      </c>
      <c r="R19" s="32" t="e">
        <f t="shared" si="59"/>
        <v>#DIV/0!</v>
      </c>
      <c r="S19" s="21">
        <f>'Q1 FY26-27'!S19</f>
        <v>179253.69</v>
      </c>
      <c r="T19" s="32">
        <f t="shared" si="60"/>
        <v>0.10751471286815159</v>
      </c>
      <c r="U19" s="23">
        <f>'Q1 FY26-27'!U19</f>
        <v>0</v>
      </c>
      <c r="V19" s="32" t="e">
        <f t="shared" si="61"/>
        <v>#DIV/0!</v>
      </c>
      <c r="W19" s="21">
        <f>'Q1 FY26-27'!W19</f>
        <v>406787.44</v>
      </c>
      <c r="X19" s="32">
        <f t="shared" si="62"/>
        <v>1.6089317301274358E-2</v>
      </c>
      <c r="Y19" s="23">
        <f>'Q1 FY26-27'!Y19</f>
        <v>0</v>
      </c>
      <c r="Z19" s="32" t="e">
        <f t="shared" si="63"/>
        <v>#DIV/0!</v>
      </c>
      <c r="AA19" s="21">
        <f>'Q1 FY26-27'!AA19</f>
        <v>215071.5</v>
      </c>
      <c r="AB19" s="32">
        <f t="shared" si="64"/>
        <v>1.1233433611673439E-2</v>
      </c>
      <c r="AC19" s="23">
        <f>'Q1 FY26-27'!AC19</f>
        <v>0</v>
      </c>
      <c r="AD19" s="32" t="e">
        <f t="shared" si="65"/>
        <v>#DIV/0!</v>
      </c>
      <c r="AE19" s="21">
        <f>'Q1 FY26-27'!AE19</f>
        <v>187484</v>
      </c>
      <c r="AF19" s="32">
        <f t="shared" si="66"/>
        <v>5.476745481301208E-3</v>
      </c>
      <c r="AG19" s="23">
        <f>'Q1 FY26-27'!AG19</f>
        <v>0</v>
      </c>
      <c r="AH19" s="32" t="e">
        <f t="shared" si="67"/>
        <v>#DIV/0!</v>
      </c>
      <c r="AI19" s="21">
        <f>'Q1 FY26-27'!AI19</f>
        <v>80000</v>
      </c>
      <c r="AJ19" s="32" t="e">
        <f t="shared" si="68"/>
        <v>#DIV/0!</v>
      </c>
      <c r="AK19" s="23">
        <f>'Q1 FY26-27'!AK19</f>
        <v>0</v>
      </c>
      <c r="AL19" s="22" t="e">
        <f t="shared" si="69"/>
        <v>#DIV/0!</v>
      </c>
      <c r="AM19" s="21">
        <f>'Q1 FY26-27'!AM19</f>
        <v>103790.78</v>
      </c>
      <c r="AN19" s="32">
        <f t="shared" si="70"/>
        <v>0.10689128793837224</v>
      </c>
      <c r="AO19" s="23">
        <f>'Q1 FY26-27'!AO19</f>
        <v>0</v>
      </c>
      <c r="AP19" s="32" t="e">
        <f t="shared" si="71"/>
        <v>#DIV/0!</v>
      </c>
      <c r="AQ19" s="21">
        <f>'Q1 FY26-27'!AQ19</f>
        <v>52063.979999999996</v>
      </c>
      <c r="AR19" s="32">
        <f t="shared" si="72"/>
        <v>2.156202618600249E-3</v>
      </c>
      <c r="AS19" s="23">
        <f>'Q1 FY26-27'!AS19</f>
        <v>35000</v>
      </c>
      <c r="AT19" s="34"/>
      <c r="AU19" s="21">
        <f>'Q1 FY26-27'!AU19</f>
        <v>113959.52</v>
      </c>
      <c r="AV19" s="32">
        <f t="shared" si="73"/>
        <v>0.17089818155080977</v>
      </c>
      <c r="AW19" s="23">
        <f>'Q1 FY26-27'!AW19</f>
        <v>0</v>
      </c>
      <c r="AX19" s="34"/>
      <c r="AY19" s="21">
        <f>'Q1 FY26-27'!AY19</f>
        <v>43183.46</v>
      </c>
      <c r="AZ19" s="30"/>
      <c r="BA19" s="23">
        <f>'Q1 FY26-27'!BA19</f>
        <v>0</v>
      </c>
      <c r="BB19" s="34"/>
      <c r="BC19" s="21">
        <f>'Q1 FY26-27'!BC19</f>
        <v>43467.03</v>
      </c>
      <c r="BD19" s="30"/>
      <c r="BE19" s="23">
        <f>'Q1 FY26-27'!BE19</f>
        <v>0</v>
      </c>
      <c r="BF19" s="34"/>
      <c r="BG19" s="21">
        <f>'Q1 FY26-27'!BG19</f>
        <v>14848</v>
      </c>
      <c r="BH19" s="30"/>
      <c r="BI19" s="23">
        <f>'Q1 FY26-27'!BI19</f>
        <v>0</v>
      </c>
      <c r="BJ19" s="34"/>
    </row>
    <row r="20" spans="1:62" ht="15.75" customHeight="1" x14ac:dyDescent="0.25">
      <c r="B20" s="27" t="s">
        <v>35</v>
      </c>
      <c r="C20" s="12">
        <f t="shared" si="48"/>
        <v>4609465.08</v>
      </c>
      <c r="D20" s="13">
        <f t="shared" si="49"/>
        <v>3.0973631721178018E-2</v>
      </c>
      <c r="E20" s="28">
        <f t="shared" si="50"/>
        <v>0</v>
      </c>
      <c r="F20" s="29" t="e">
        <f t="shared" si="51"/>
        <v>#DIV/0!</v>
      </c>
      <c r="G20" s="21">
        <f>'Q1 FY26-27'!G20</f>
        <v>0</v>
      </c>
      <c r="H20" s="65">
        <f t="shared" si="52"/>
        <v>0</v>
      </c>
      <c r="I20" s="18">
        <f>'Q1 FY26-27'!I20</f>
        <v>0</v>
      </c>
      <c r="J20" s="65">
        <f t="shared" si="53"/>
        <v>0</v>
      </c>
      <c r="K20" s="19">
        <f t="shared" si="54"/>
        <v>4609465.08</v>
      </c>
      <c r="L20" s="13">
        <f t="shared" si="55"/>
        <v>3.0973631721178018E-2</v>
      </c>
      <c r="M20" s="28">
        <f t="shared" si="56"/>
        <v>0</v>
      </c>
      <c r="N20" s="31" t="e">
        <f t="shared" si="57"/>
        <v>#DIV/0!</v>
      </c>
      <c r="O20" s="21">
        <f>'Q1 FY26-27'!O20</f>
        <v>173480.51</v>
      </c>
      <c r="P20" s="32">
        <f t="shared" si="58"/>
        <v>4.2380238630466424E-3</v>
      </c>
      <c r="Q20" s="35">
        <f>'Q1 FY26-27'!Q20</f>
        <v>0</v>
      </c>
      <c r="R20" s="32" t="e">
        <f t="shared" si="59"/>
        <v>#DIV/0!</v>
      </c>
      <c r="S20" s="21">
        <f>'Q1 FY26-27'!S20</f>
        <v>228974.03</v>
      </c>
      <c r="T20" s="32">
        <f t="shared" si="60"/>
        <v>0.13733651502355979</v>
      </c>
      <c r="U20" s="23">
        <f>'Q1 FY26-27'!U20</f>
        <v>0</v>
      </c>
      <c r="V20" s="32" t="e">
        <f t="shared" si="61"/>
        <v>#DIV/0!</v>
      </c>
      <c r="W20" s="21">
        <f>'Q1 FY26-27'!W20</f>
        <v>960909.78999999992</v>
      </c>
      <c r="X20" s="32">
        <f t="shared" si="62"/>
        <v>3.8006046866173912E-2</v>
      </c>
      <c r="Y20" s="23">
        <f>'Q1 FY26-27'!Y20</f>
        <v>0</v>
      </c>
      <c r="Z20" s="32" t="e">
        <f t="shared" si="63"/>
        <v>#DIV/0!</v>
      </c>
      <c r="AA20" s="21">
        <f>'Q1 FY26-27'!AA20</f>
        <v>1396555.24</v>
      </c>
      <c r="AB20" s="32">
        <f t="shared" si="64"/>
        <v>7.2943698135618462E-2</v>
      </c>
      <c r="AC20" s="23">
        <f>'Q1 FY26-27'!AC20</f>
        <v>0</v>
      </c>
      <c r="AD20" s="32" t="e">
        <f t="shared" si="65"/>
        <v>#DIV/0!</v>
      </c>
      <c r="AE20" s="21">
        <f>'Q1 FY26-27'!AE20</f>
        <v>1307943</v>
      </c>
      <c r="AF20" s="32">
        <f t="shared" si="66"/>
        <v>3.8207371909333841E-2</v>
      </c>
      <c r="AG20" s="23">
        <f>'Q1 FY26-27'!AG20</f>
        <v>0</v>
      </c>
      <c r="AH20" s="32" t="e">
        <f t="shared" si="67"/>
        <v>#DIV/0!</v>
      </c>
      <c r="AI20" s="21">
        <f>'Q1 FY26-27'!AI20</f>
        <v>0</v>
      </c>
      <c r="AJ20" s="32" t="e">
        <f t="shared" si="68"/>
        <v>#DIV/0!</v>
      </c>
      <c r="AK20" s="23">
        <f>'Q1 FY26-27'!AK20</f>
        <v>0</v>
      </c>
      <c r="AL20" s="22" t="e">
        <f t="shared" si="69"/>
        <v>#DIV/0!</v>
      </c>
      <c r="AM20" s="21">
        <f>'Q1 FY26-27'!AM20</f>
        <v>78387.37</v>
      </c>
      <c r="AN20" s="32">
        <f t="shared" si="70"/>
        <v>8.0729010201115378E-2</v>
      </c>
      <c r="AO20" s="23">
        <f>'Q1 FY26-27'!AO20</f>
        <v>0</v>
      </c>
      <c r="AP20" s="32" t="e">
        <f t="shared" si="71"/>
        <v>#DIV/0!</v>
      </c>
      <c r="AQ20" s="21">
        <f>'Q1 FY26-27'!AQ20</f>
        <v>0</v>
      </c>
      <c r="AR20" s="32">
        <f t="shared" si="72"/>
        <v>0</v>
      </c>
      <c r="AS20" s="23">
        <f>'Q1 FY26-27'!AS20</f>
        <v>0</v>
      </c>
      <c r="AT20" s="34"/>
      <c r="AU20" s="21">
        <f>'Q1 FY26-27'!AU20</f>
        <v>162351.78999999998</v>
      </c>
      <c r="AV20" s="32">
        <f t="shared" si="73"/>
        <v>0.24346913432523176</v>
      </c>
      <c r="AW20" s="23">
        <f>'Q1 FY26-27'!AW20</f>
        <v>0</v>
      </c>
      <c r="AX20" s="34"/>
      <c r="AY20" s="21">
        <f>'Q1 FY26-27'!AY20</f>
        <v>69035.850000000006</v>
      </c>
      <c r="AZ20" s="30"/>
      <c r="BA20" s="23">
        <f>'Q1 FY26-27'!BA20</f>
        <v>0</v>
      </c>
      <c r="BB20" s="34"/>
      <c r="BC20" s="21">
        <f>'Q1 FY26-27'!BC20</f>
        <v>85672.94</v>
      </c>
      <c r="BD20" s="30"/>
      <c r="BE20" s="23">
        <f>'Q1 FY26-27'!BE20</f>
        <v>0</v>
      </c>
      <c r="BF20" s="34"/>
      <c r="BG20" s="21">
        <f>'Q1 FY26-27'!BG20</f>
        <v>146154.56</v>
      </c>
      <c r="BH20" s="30"/>
      <c r="BI20" s="23">
        <f>'Q1 FY26-27'!BI20</f>
        <v>0</v>
      </c>
      <c r="BJ20" s="34"/>
    </row>
    <row r="21" spans="1:62" ht="15.75" customHeight="1" x14ac:dyDescent="0.25">
      <c r="B21" s="27" t="s">
        <v>36</v>
      </c>
      <c r="C21" s="12">
        <f t="shared" si="48"/>
        <v>16374760.940000001</v>
      </c>
      <c r="D21" s="13">
        <f t="shared" si="49"/>
        <v>0.11003138240020918</v>
      </c>
      <c r="E21" s="28">
        <f t="shared" si="50"/>
        <v>3057546</v>
      </c>
      <c r="F21" s="29" t="e">
        <f t="shared" si="51"/>
        <v>#DIV/0!</v>
      </c>
      <c r="G21" s="21">
        <f>'Q1 FY26-27'!G21</f>
        <v>1627794.7333333334</v>
      </c>
      <c r="H21" s="65">
        <f t="shared" si="52"/>
        <v>1.0938083641570803E-2</v>
      </c>
      <c r="I21" s="18">
        <f>'Q1 FY26-27'!I21</f>
        <v>0</v>
      </c>
      <c r="J21" s="65">
        <f t="shared" si="53"/>
        <v>0</v>
      </c>
      <c r="K21" s="19">
        <f t="shared" si="54"/>
        <v>14746966.206666667</v>
      </c>
      <c r="L21" s="13">
        <f t="shared" si="55"/>
        <v>9.9093298758638385E-2</v>
      </c>
      <c r="M21" s="28">
        <f t="shared" si="56"/>
        <v>3057546</v>
      </c>
      <c r="N21" s="31" t="e">
        <f t="shared" si="57"/>
        <v>#DIV/0!</v>
      </c>
      <c r="O21" s="21">
        <f>'Q1 FY26-27'!O21</f>
        <v>3665933.833333333</v>
      </c>
      <c r="P21" s="32">
        <f t="shared" si="58"/>
        <v>8.955654480158444E-2</v>
      </c>
      <c r="Q21" s="35">
        <f>'Q1 FY26-27'!Q21</f>
        <v>1419717</v>
      </c>
      <c r="R21" s="32" t="e">
        <f t="shared" si="59"/>
        <v>#DIV/0!</v>
      </c>
      <c r="S21" s="21">
        <f>'Q1 FY26-27'!S21</f>
        <v>213175</v>
      </c>
      <c r="T21" s="32">
        <f t="shared" si="60"/>
        <v>0.12786040229168066</v>
      </c>
      <c r="U21" s="23">
        <f>'Q1 FY26-27'!U21</f>
        <v>76212</v>
      </c>
      <c r="V21" s="32" t="e">
        <f t="shared" si="61"/>
        <v>#DIV/0!</v>
      </c>
      <c r="W21" s="21">
        <f>'Q1 FY26-27'!W21</f>
        <v>3480038.333333333</v>
      </c>
      <c r="X21" s="32">
        <f t="shared" si="62"/>
        <v>0.13764299351424905</v>
      </c>
      <c r="Y21" s="23">
        <f>'Q1 FY26-27'!Y21</f>
        <v>1314963</v>
      </c>
      <c r="Z21" s="32" t="e">
        <f t="shared" si="63"/>
        <v>#DIV/0!</v>
      </c>
      <c r="AA21" s="21">
        <f>'Q1 FY26-27'!AA21</f>
        <v>2210248.04</v>
      </c>
      <c r="AB21" s="32">
        <f t="shared" si="64"/>
        <v>0.11544381576671636</v>
      </c>
      <c r="AC21" s="23">
        <f>'Q1 FY26-27'!AC21</f>
        <v>0</v>
      </c>
      <c r="AD21" s="32" t="e">
        <f t="shared" si="65"/>
        <v>#DIV/0!</v>
      </c>
      <c r="AE21" s="21">
        <f>'Q1 FY26-27'!AE21</f>
        <v>2351243</v>
      </c>
      <c r="AF21" s="32">
        <f t="shared" si="66"/>
        <v>6.8684044908851397E-2</v>
      </c>
      <c r="AG21" s="23">
        <f>'Q1 FY26-27'!AG21</f>
        <v>0</v>
      </c>
      <c r="AH21" s="32" t="e">
        <f t="shared" si="67"/>
        <v>#DIV/0!</v>
      </c>
      <c r="AI21" s="21">
        <f>'Q1 FY26-27'!AI21</f>
        <v>370741</v>
      </c>
      <c r="AJ21" s="32" t="e">
        <f t="shared" si="68"/>
        <v>#DIV/0!</v>
      </c>
      <c r="AK21" s="23">
        <f>'Q1 FY26-27'!AK21</f>
        <v>90931</v>
      </c>
      <c r="AL21" s="22" t="e">
        <f t="shared" si="69"/>
        <v>#DIV/0!</v>
      </c>
      <c r="AM21" s="21">
        <f>'Q1 FY26-27'!AM21</f>
        <v>489829</v>
      </c>
      <c r="AN21" s="32">
        <f t="shared" si="70"/>
        <v>0.5044615011040956</v>
      </c>
      <c r="AO21" s="23">
        <f>'Q1 FY26-27'!AO21</f>
        <v>155723</v>
      </c>
      <c r="AP21" s="32" t="e">
        <f t="shared" si="71"/>
        <v>#DIV/0!</v>
      </c>
      <c r="AQ21" s="21">
        <f>'Q1 FY26-27'!AQ21</f>
        <v>1965758</v>
      </c>
      <c r="AR21" s="32">
        <f t="shared" si="72"/>
        <v>8.1410843871989588E-2</v>
      </c>
      <c r="AS21" s="23">
        <f>'Q1 FY26-27'!AS21</f>
        <v>2419</v>
      </c>
      <c r="AT21" s="34"/>
      <c r="AU21" s="21">
        <f>'Q1 FY26-27'!AU21</f>
        <v>0</v>
      </c>
      <c r="AV21" s="32">
        <f t="shared" si="73"/>
        <v>0</v>
      </c>
      <c r="AW21" s="23">
        <f>'Q1 FY26-27'!AW21</f>
        <v>0</v>
      </c>
      <c r="AX21" s="34"/>
      <c r="AY21" s="21">
        <f>'Q1 FY26-27'!AY21</f>
        <v>0</v>
      </c>
      <c r="AZ21" s="30"/>
      <c r="BA21" s="23">
        <f>'Q1 FY26-27'!BA21</f>
        <v>0</v>
      </c>
      <c r="BB21" s="34"/>
      <c r="BC21" s="21">
        <f>'Q1 FY26-27'!BC21</f>
        <v>0</v>
      </c>
      <c r="BD21" s="30"/>
      <c r="BE21" s="23">
        <f>'Q1 FY26-27'!BE21</f>
        <v>0</v>
      </c>
      <c r="BF21" s="34"/>
      <c r="BG21" s="21">
        <f>'Q1 FY26-27'!BG21</f>
        <v>0</v>
      </c>
      <c r="BH21" s="30"/>
      <c r="BI21" s="23">
        <f>'Q1 FY26-27'!BI21</f>
        <v>0</v>
      </c>
      <c r="BJ21" s="34"/>
    </row>
    <row r="22" spans="1:62" ht="15.75" customHeight="1" x14ac:dyDescent="0.25">
      <c r="B22" s="27" t="s">
        <v>37</v>
      </c>
      <c r="C22" s="12">
        <f t="shared" si="48"/>
        <v>48806327.079999998</v>
      </c>
      <c r="D22" s="13">
        <f t="shared" si="49"/>
        <v>0.32795762076567847</v>
      </c>
      <c r="E22" s="28">
        <f t="shared" si="50"/>
        <v>758150</v>
      </c>
      <c r="F22" s="29" t="e">
        <f t="shared" si="51"/>
        <v>#DIV/0!</v>
      </c>
      <c r="G22" s="21">
        <f>'Q1 FY26-27'!G22</f>
        <v>7747821.54</v>
      </c>
      <c r="H22" s="65">
        <f t="shared" si="52"/>
        <v>5.2062043394712154E-2</v>
      </c>
      <c r="I22" s="18">
        <f>'Q1 FY26-27'!I22</f>
        <v>0</v>
      </c>
      <c r="J22" s="65">
        <f t="shared" si="53"/>
        <v>0</v>
      </c>
      <c r="K22" s="19">
        <f t="shared" si="54"/>
        <v>41058505.539999999</v>
      </c>
      <c r="L22" s="13">
        <f t="shared" si="55"/>
        <v>0.27589557737096632</v>
      </c>
      <c r="M22" s="28">
        <f t="shared" si="56"/>
        <v>758150</v>
      </c>
      <c r="N22" s="31" t="e">
        <f t="shared" si="57"/>
        <v>#DIV/0!</v>
      </c>
      <c r="O22" s="21">
        <f>'Q1 FY26-27'!O22</f>
        <v>10602073.41</v>
      </c>
      <c r="P22" s="32">
        <f t="shared" si="58"/>
        <v>0.25900223667403494</v>
      </c>
      <c r="Q22" s="35">
        <f>'Q1 FY26-27'!Q22</f>
        <v>663750</v>
      </c>
      <c r="R22" s="32" t="e">
        <f t="shared" si="59"/>
        <v>#DIV/0!</v>
      </c>
      <c r="S22" s="21">
        <f>'Q1 FY26-27'!S22</f>
        <v>679710.73</v>
      </c>
      <c r="T22" s="32">
        <f t="shared" si="60"/>
        <v>0.40768423773787704</v>
      </c>
      <c r="U22" s="23">
        <f>'Q1 FY26-27'!U22</f>
        <v>0</v>
      </c>
      <c r="V22" s="32" t="e">
        <f t="shared" si="61"/>
        <v>#DIV/0!</v>
      </c>
      <c r="W22" s="21">
        <f>'Q1 FY26-27'!W22</f>
        <v>6422135.0333333332</v>
      </c>
      <c r="X22" s="32">
        <f t="shared" si="62"/>
        <v>0.25400923957467852</v>
      </c>
      <c r="Y22" s="23">
        <f>'Q1 FY26-27'!Y22</f>
        <v>0</v>
      </c>
      <c r="Z22" s="32" t="e">
        <f t="shared" si="63"/>
        <v>#DIV/0!</v>
      </c>
      <c r="AA22" s="21">
        <f>'Q1 FY26-27'!AA22</f>
        <v>3537149.7333333334</v>
      </c>
      <c r="AB22" s="32">
        <f t="shared" si="64"/>
        <v>0.18474942846424749</v>
      </c>
      <c r="AC22" s="23">
        <f>'Q1 FY26-27'!AC22</f>
        <v>0</v>
      </c>
      <c r="AD22" s="32" t="e">
        <f t="shared" si="65"/>
        <v>#DIV/0!</v>
      </c>
      <c r="AE22" s="21">
        <f>'Q1 FY26-27'!AE22</f>
        <v>7545416.0033333329</v>
      </c>
      <c r="AF22" s="32">
        <f t="shared" si="66"/>
        <v>0.22041519810113744</v>
      </c>
      <c r="AG22" s="23">
        <f>'Q1 FY26-27'!AG22</f>
        <v>0</v>
      </c>
      <c r="AH22" s="32" t="e">
        <f t="shared" si="67"/>
        <v>#DIV/0!</v>
      </c>
      <c r="AI22" s="21">
        <f>'Q1 FY26-27'!AI22</f>
        <v>460392</v>
      </c>
      <c r="AJ22" s="32" t="e">
        <f t="shared" si="68"/>
        <v>#DIV/0!</v>
      </c>
      <c r="AK22" s="23">
        <f>'Q1 FY26-27'!AK22</f>
        <v>0</v>
      </c>
      <c r="AL22" s="22" t="e">
        <f t="shared" si="69"/>
        <v>#DIV/0!</v>
      </c>
      <c r="AM22" s="21">
        <f>'Q1 FY26-27'!AM22</f>
        <v>3028630.58</v>
      </c>
      <c r="AN22" s="32">
        <f t="shared" si="70"/>
        <v>3.1191038682408916</v>
      </c>
      <c r="AO22" s="23">
        <f>'Q1 FY26-27'!AO22</f>
        <v>94400</v>
      </c>
      <c r="AP22" s="32" t="e">
        <f t="shared" si="71"/>
        <v>#DIV/0!</v>
      </c>
      <c r="AQ22" s="21">
        <f>'Q1 FY26-27'!AQ22</f>
        <v>7579231.5499999998</v>
      </c>
      <c r="AR22" s="32">
        <f t="shared" si="72"/>
        <v>0.31388992764455625</v>
      </c>
      <c r="AS22" s="23">
        <f>'Q1 FY26-27'!AS22</f>
        <v>0</v>
      </c>
      <c r="AT22" s="34"/>
      <c r="AU22" s="21">
        <f>'Q1 FY26-27'!AU22</f>
        <v>0</v>
      </c>
      <c r="AV22" s="32">
        <f t="shared" si="73"/>
        <v>0</v>
      </c>
      <c r="AW22" s="23">
        <f>'Q1 FY26-27'!AW22</f>
        <v>0</v>
      </c>
      <c r="AX22" s="34"/>
      <c r="AY22" s="21">
        <f>'Q1 FY26-27'!AY22</f>
        <v>0</v>
      </c>
      <c r="AZ22" s="30"/>
      <c r="BA22" s="23">
        <f>'Q1 FY26-27'!BA22</f>
        <v>0</v>
      </c>
      <c r="BB22" s="34"/>
      <c r="BC22" s="21">
        <f>'Q1 FY26-27'!BC22</f>
        <v>0</v>
      </c>
      <c r="BD22" s="30"/>
      <c r="BE22" s="23">
        <f>'Q1 FY26-27'!BE22</f>
        <v>0</v>
      </c>
      <c r="BF22" s="34"/>
      <c r="BG22" s="21">
        <f>'Q1 FY26-27'!BG22</f>
        <v>1203766.5</v>
      </c>
      <c r="BH22" s="30"/>
      <c r="BI22" s="23">
        <f>'Q1 FY26-27'!BI22</f>
        <v>0</v>
      </c>
      <c r="BJ22" s="34"/>
    </row>
    <row r="23" spans="1:62" ht="15.75" customHeight="1" x14ac:dyDescent="0.25">
      <c r="B23" s="27" t="s">
        <v>38</v>
      </c>
      <c r="C23" s="12">
        <f t="shared" si="48"/>
        <v>2024886.97</v>
      </c>
      <c r="D23" s="13">
        <f t="shared" si="49"/>
        <v>1.3606373450559265E-2</v>
      </c>
      <c r="E23" s="28">
        <f t="shared" si="50"/>
        <v>0</v>
      </c>
      <c r="F23" s="29" t="e">
        <f t="shared" si="51"/>
        <v>#DIV/0!</v>
      </c>
      <c r="G23" s="21">
        <f>'Q1 FY26-27'!G23</f>
        <v>879987</v>
      </c>
      <c r="H23" s="65">
        <f t="shared" si="52"/>
        <v>5.9131358594486372E-3</v>
      </c>
      <c r="I23" s="18">
        <f>'Q1 FY26-27'!I23</f>
        <v>0</v>
      </c>
      <c r="J23" s="65">
        <f t="shared" si="53"/>
        <v>0</v>
      </c>
      <c r="K23" s="19">
        <f t="shared" si="54"/>
        <v>1144899.97</v>
      </c>
      <c r="L23" s="13">
        <f t="shared" si="55"/>
        <v>7.6932375911106287E-3</v>
      </c>
      <c r="M23" s="28">
        <f t="shared" si="56"/>
        <v>0</v>
      </c>
      <c r="N23" s="31" t="e">
        <f t="shared" si="57"/>
        <v>#DIV/0!</v>
      </c>
      <c r="O23" s="21">
        <f>'Q1 FY26-27'!O23</f>
        <v>947509.88</v>
      </c>
      <c r="P23" s="32">
        <f t="shared" si="58"/>
        <v>2.3147092903476364E-2</v>
      </c>
      <c r="Q23" s="35">
        <f>'Q1 FY26-27'!Q23</f>
        <v>0</v>
      </c>
      <c r="R23" s="32" t="e">
        <f t="shared" si="59"/>
        <v>#DIV/0!</v>
      </c>
      <c r="S23" s="21">
        <f>'Q1 FY26-27'!S23</f>
        <v>0</v>
      </c>
      <c r="T23" s="32">
        <f t="shared" si="60"/>
        <v>0</v>
      </c>
      <c r="U23" s="23">
        <f>'Q1 FY26-27'!U23</f>
        <v>0</v>
      </c>
      <c r="V23" s="32" t="e">
        <f t="shared" si="61"/>
        <v>#DIV/0!</v>
      </c>
      <c r="W23" s="21">
        <f>'Q1 FY26-27'!W23</f>
        <v>46560.5</v>
      </c>
      <c r="X23" s="32">
        <f t="shared" si="62"/>
        <v>1.8415678178411426E-3</v>
      </c>
      <c r="Y23" s="23">
        <f>'Q1 FY26-27'!Y23</f>
        <v>0</v>
      </c>
      <c r="Z23" s="32" t="e">
        <f t="shared" si="63"/>
        <v>#DIV/0!</v>
      </c>
      <c r="AA23" s="21">
        <f>'Q1 FY26-27'!AA23</f>
        <v>55147.82</v>
      </c>
      <c r="AB23" s="32">
        <f t="shared" si="64"/>
        <v>2.8804345289753252E-3</v>
      </c>
      <c r="AC23" s="23">
        <f>'Q1 FY26-27'!AC23</f>
        <v>0</v>
      </c>
      <c r="AD23" s="32" t="e">
        <f t="shared" si="65"/>
        <v>#DIV/0!</v>
      </c>
      <c r="AE23" s="21">
        <f>'Q1 FY26-27'!AE23</f>
        <v>47677.729999999996</v>
      </c>
      <c r="AF23" s="32">
        <f t="shared" si="66"/>
        <v>1.3927524073318203E-3</v>
      </c>
      <c r="AG23" s="23">
        <f>'Q1 FY26-27'!AG23</f>
        <v>0</v>
      </c>
      <c r="AH23" s="32" t="e">
        <f t="shared" si="67"/>
        <v>#DIV/0!</v>
      </c>
      <c r="AI23" s="21">
        <f>'Q1 FY26-27'!AI23</f>
        <v>0</v>
      </c>
      <c r="AJ23" s="32" t="e">
        <f t="shared" si="68"/>
        <v>#DIV/0!</v>
      </c>
      <c r="AK23" s="23">
        <f>'Q1 FY26-27'!AK23</f>
        <v>0</v>
      </c>
      <c r="AL23" s="22" t="e">
        <f t="shared" si="69"/>
        <v>#DIV/0!</v>
      </c>
      <c r="AM23" s="21">
        <f>'Q1 FY26-27'!AM23</f>
        <v>11118.42</v>
      </c>
      <c r="AN23" s="32">
        <f t="shared" si="70"/>
        <v>1.1450556914976038E-2</v>
      </c>
      <c r="AO23" s="23">
        <f>'Q1 FY26-27'!AO23</f>
        <v>0</v>
      </c>
      <c r="AP23" s="32" t="e">
        <f t="shared" si="71"/>
        <v>#DIV/0!</v>
      </c>
      <c r="AQ23" s="21">
        <f>'Q1 FY26-27'!AQ23</f>
        <v>36885.620000000003</v>
      </c>
      <c r="AR23" s="32">
        <f t="shared" si="72"/>
        <v>1.5275987435592461E-3</v>
      </c>
      <c r="AS23" s="23">
        <f>'Q1 FY26-27'!AS23</f>
        <v>0</v>
      </c>
      <c r="AT23" s="34"/>
      <c r="AU23" s="21">
        <f>'Q1 FY26-27'!AU23</f>
        <v>0</v>
      </c>
      <c r="AV23" s="32">
        <f t="shared" si="73"/>
        <v>0</v>
      </c>
      <c r="AW23" s="23">
        <f>'Q1 FY26-27'!AW23</f>
        <v>0</v>
      </c>
      <c r="AX23" s="34"/>
      <c r="AY23" s="21">
        <f>'Q1 FY26-27'!AY23</f>
        <v>0</v>
      </c>
      <c r="AZ23" s="30"/>
      <c r="BA23" s="23">
        <f>'Q1 FY26-27'!BA23</f>
        <v>0</v>
      </c>
      <c r="BB23" s="34"/>
      <c r="BC23" s="21">
        <f>'Q1 FY26-27'!BC23</f>
        <v>0</v>
      </c>
      <c r="BD23" s="30"/>
      <c r="BE23" s="23">
        <f>'Q1 FY26-27'!BE23</f>
        <v>0</v>
      </c>
      <c r="BF23" s="34"/>
      <c r="BG23" s="21">
        <f>'Q1 FY26-27'!BG23</f>
        <v>0</v>
      </c>
      <c r="BH23" s="30"/>
      <c r="BI23" s="23">
        <f>'Q1 FY26-27'!BI23</f>
        <v>0</v>
      </c>
      <c r="BJ23" s="34"/>
    </row>
    <row r="24" spans="1:62" ht="15.75" customHeight="1" x14ac:dyDescent="0.25">
      <c r="B24" s="27" t="s">
        <v>39</v>
      </c>
      <c r="C24" s="12">
        <f t="shared" si="48"/>
        <v>964259.07000000007</v>
      </c>
      <c r="D24" s="13">
        <f t="shared" si="49"/>
        <v>6.4794080874099212E-3</v>
      </c>
      <c r="E24" s="28">
        <f t="shared" si="50"/>
        <v>134471.91666666669</v>
      </c>
      <c r="F24" s="29" t="e">
        <f t="shared" si="51"/>
        <v>#DIV/0!</v>
      </c>
      <c r="G24" s="21">
        <f>'Q1 FY26-27'!G24</f>
        <v>241237.57</v>
      </c>
      <c r="H24" s="65">
        <f t="shared" si="52"/>
        <v>1.6210131806643176E-3</v>
      </c>
      <c r="I24" s="18">
        <f>'Q1 FY26-27'!I24</f>
        <v>0</v>
      </c>
      <c r="J24" s="65">
        <f t="shared" si="53"/>
        <v>0</v>
      </c>
      <c r="K24" s="19">
        <f t="shared" si="54"/>
        <v>723021.50000000012</v>
      </c>
      <c r="L24" s="13">
        <f t="shared" si="55"/>
        <v>4.8583949067456033E-3</v>
      </c>
      <c r="M24" s="28">
        <f t="shared" si="56"/>
        <v>134471.91666666669</v>
      </c>
      <c r="N24" s="31" t="e">
        <f t="shared" si="57"/>
        <v>#DIV/0!</v>
      </c>
      <c r="O24" s="21">
        <f>'Q1 FY26-27'!O24</f>
        <v>48494.333333333328</v>
      </c>
      <c r="P24" s="32">
        <f t="shared" si="58"/>
        <v>1.1846872129278663E-3</v>
      </c>
      <c r="Q24" s="35">
        <f>'Q1 FY26-27'!Q24</f>
        <v>0</v>
      </c>
      <c r="R24" s="32" t="e">
        <f t="shared" si="59"/>
        <v>#DIV/0!</v>
      </c>
      <c r="S24" s="21">
        <f>'Q1 FY26-27'!S24</f>
        <v>46181</v>
      </c>
      <c r="T24" s="32">
        <f t="shared" si="60"/>
        <v>2.7698938610212758E-2</v>
      </c>
      <c r="U24" s="23">
        <f>'Q1 FY26-27'!U24</f>
        <v>0</v>
      </c>
      <c r="V24" s="32" t="e">
        <f t="shared" si="61"/>
        <v>#DIV/0!</v>
      </c>
      <c r="W24" s="21">
        <f>'Q1 FY26-27'!W24</f>
        <v>127370.66666666667</v>
      </c>
      <c r="X24" s="32">
        <f t="shared" si="62"/>
        <v>5.0377835433533767E-3</v>
      </c>
      <c r="Y24" s="23">
        <f>'Q1 FY26-27'!Y24</f>
        <v>0</v>
      </c>
      <c r="Z24" s="32" t="e">
        <f t="shared" si="63"/>
        <v>#DIV/0!</v>
      </c>
      <c r="AA24" s="21">
        <f>'Q1 FY26-27'!AA24</f>
        <v>99640.666666666672</v>
      </c>
      <c r="AB24" s="32">
        <f t="shared" si="64"/>
        <v>5.2043474566499173E-3</v>
      </c>
      <c r="AC24" s="23">
        <f>'Q1 FY26-27'!AC24</f>
        <v>49820.333333333336</v>
      </c>
      <c r="AD24" s="32" t="e">
        <f t="shared" si="65"/>
        <v>#DIV/0!</v>
      </c>
      <c r="AE24" s="21">
        <f>'Q1 FY26-27'!AE24</f>
        <v>155690.66666666669</v>
      </c>
      <c r="AF24" s="32">
        <f t="shared" si="66"/>
        <v>4.5480049238731807E-3</v>
      </c>
      <c r="AG24" s="23">
        <f>'Q1 FY26-27'!AG24</f>
        <v>77845.333333333343</v>
      </c>
      <c r="AH24" s="32" t="e">
        <f t="shared" si="67"/>
        <v>#DIV/0!</v>
      </c>
      <c r="AI24" s="21">
        <f>'Q1 FY26-27'!AI24</f>
        <v>13612.5</v>
      </c>
      <c r="AJ24" s="32" t="e">
        <f t="shared" si="68"/>
        <v>#DIV/0!</v>
      </c>
      <c r="AK24" s="23">
        <f>'Q1 FY26-27'!AK24</f>
        <v>6806.25</v>
      </c>
      <c r="AL24" s="22" t="e">
        <f t="shared" si="69"/>
        <v>#DIV/0!</v>
      </c>
      <c r="AM24" s="21">
        <f>'Q1 FY26-27'!AM24</f>
        <v>72561.333333333343</v>
      </c>
      <c r="AN24" s="32">
        <f t="shared" si="70"/>
        <v>7.4728934251438742E-2</v>
      </c>
      <c r="AO24" s="23">
        <f>'Q1 FY26-27'!AO24</f>
        <v>0</v>
      </c>
      <c r="AP24" s="32" t="e">
        <f t="shared" si="71"/>
        <v>#DIV/0!</v>
      </c>
      <c r="AQ24" s="21">
        <f>'Q1 FY26-27'!AQ24</f>
        <v>6293.333333333333</v>
      </c>
      <c r="AR24" s="32">
        <f t="shared" si="72"/>
        <v>2.6063512265212083E-4</v>
      </c>
      <c r="AS24" s="23">
        <f>'Q1 FY26-27'!AS24</f>
        <v>3146.6666666666665</v>
      </c>
      <c r="AT24" s="34"/>
      <c r="AU24" s="21">
        <f>'Q1 FY26-27'!AU24</f>
        <v>58819</v>
      </c>
      <c r="AV24" s="32">
        <f t="shared" si="73"/>
        <v>8.820728747047267E-2</v>
      </c>
      <c r="AW24" s="23">
        <f>'Q1 FY26-27'!AW24</f>
        <v>0</v>
      </c>
      <c r="AX24" s="34"/>
      <c r="AY24" s="21">
        <f>'Q1 FY26-27'!AY24</f>
        <v>46182</v>
      </c>
      <c r="AZ24" s="30"/>
      <c r="BA24" s="23">
        <f>'Q1 FY26-27'!BA24</f>
        <v>0</v>
      </c>
      <c r="BB24" s="34"/>
      <c r="BC24" s="21">
        <f>'Q1 FY26-27'!BC24</f>
        <v>46182</v>
      </c>
      <c r="BD24" s="30"/>
      <c r="BE24" s="23">
        <f>'Q1 FY26-27'!BE24</f>
        <v>0</v>
      </c>
      <c r="BF24" s="34"/>
      <c r="BG24" s="21">
        <f>'Q1 FY26-27'!BG24</f>
        <v>1994</v>
      </c>
      <c r="BH24" s="30"/>
      <c r="BI24" s="23">
        <f>'Q1 FY26-27'!BI24</f>
        <v>0</v>
      </c>
      <c r="BJ24" s="34"/>
    </row>
    <row r="25" spans="1:62" ht="15.75" customHeight="1" x14ac:dyDescent="0.25">
      <c r="B25" s="27" t="s">
        <v>40</v>
      </c>
      <c r="C25" s="12">
        <f t="shared" si="48"/>
        <v>10055140.08</v>
      </c>
      <c r="D25" s="13">
        <f t="shared" si="49"/>
        <v>6.7566236068063779E-2</v>
      </c>
      <c r="E25" s="28">
        <f t="shared" si="50"/>
        <v>356555.58333333331</v>
      </c>
      <c r="F25" s="29" t="e">
        <f t="shared" si="51"/>
        <v>#DIV/0!</v>
      </c>
      <c r="G25" s="21">
        <f>'Q1 FY26-27'!G25</f>
        <v>2356900</v>
      </c>
      <c r="H25" s="65">
        <f t="shared" si="52"/>
        <v>1.5837358855454106E-2</v>
      </c>
      <c r="I25" s="18">
        <f>'Q1 FY26-27'!I25</f>
        <v>737.5</v>
      </c>
      <c r="J25" s="65">
        <f t="shared" si="53"/>
        <v>4.9556842275435549E-6</v>
      </c>
      <c r="K25" s="19">
        <f t="shared" si="54"/>
        <v>7698240.0800000001</v>
      </c>
      <c r="L25" s="13">
        <f t="shared" si="55"/>
        <v>5.1728877212609672E-2</v>
      </c>
      <c r="M25" s="28">
        <f t="shared" si="56"/>
        <v>355818.08333333331</v>
      </c>
      <c r="N25" s="31" t="e">
        <f t="shared" si="57"/>
        <v>#DIV/0!</v>
      </c>
      <c r="O25" s="21">
        <f>'Q1 FY26-27'!O25</f>
        <v>2374341.2633333337</v>
      </c>
      <c r="P25" s="32">
        <f t="shared" si="58"/>
        <v>5.8003720031852446E-2</v>
      </c>
      <c r="Q25" s="35">
        <f>'Q1 FY26-27'!Q25</f>
        <v>184154.58333333331</v>
      </c>
      <c r="R25" s="32" t="e">
        <f t="shared" si="59"/>
        <v>#DIV/0!</v>
      </c>
      <c r="S25" s="21">
        <f>'Q1 FY26-27'!S25</f>
        <v>155919</v>
      </c>
      <c r="T25" s="32">
        <f t="shared" si="60"/>
        <v>9.3518780649309519E-2</v>
      </c>
      <c r="U25" s="23">
        <f>'Q1 FY26-27'!U25</f>
        <v>0</v>
      </c>
      <c r="V25" s="32" t="e">
        <f t="shared" si="61"/>
        <v>#DIV/0!</v>
      </c>
      <c r="W25" s="21">
        <f>'Q1 FY26-27'!W25</f>
        <v>1114412.6666666665</v>
      </c>
      <c r="X25" s="32">
        <f t="shared" si="62"/>
        <v>4.4077415464349859E-2</v>
      </c>
      <c r="Y25" s="23">
        <f>'Q1 FY26-27'!Y25</f>
        <v>0</v>
      </c>
      <c r="Z25" s="32" t="e">
        <f t="shared" si="63"/>
        <v>#DIV/0!</v>
      </c>
      <c r="AA25" s="21">
        <f>'Q1 FY26-27'!AA25</f>
        <v>468887.5</v>
      </c>
      <c r="AB25" s="32">
        <f t="shared" si="64"/>
        <v>2.4490537344992385E-2</v>
      </c>
      <c r="AC25" s="23">
        <f>'Q1 FY26-27'!AC25</f>
        <v>15522.25</v>
      </c>
      <c r="AD25" s="32" t="e">
        <f t="shared" si="65"/>
        <v>#DIV/0!</v>
      </c>
      <c r="AE25" s="21">
        <f>'Q1 FY26-27'!AE25</f>
        <v>922235.09333333327</v>
      </c>
      <c r="AF25" s="32">
        <f t="shared" si="66"/>
        <v>2.6940148919965066E-2</v>
      </c>
      <c r="AG25" s="23">
        <f>'Q1 FY26-27'!AG25</f>
        <v>133043</v>
      </c>
      <c r="AH25" s="32" t="e">
        <f t="shared" si="67"/>
        <v>#DIV/0!</v>
      </c>
      <c r="AI25" s="21">
        <f>'Q1 FY26-27'!AI25</f>
        <v>1414742.5133333334</v>
      </c>
      <c r="AJ25" s="32" t="e">
        <f t="shared" si="68"/>
        <v>#DIV/0!</v>
      </c>
      <c r="AK25" s="23">
        <f>'Q1 FY26-27'!AK25</f>
        <v>5934.916666666667</v>
      </c>
      <c r="AL25" s="22" t="e">
        <f t="shared" si="69"/>
        <v>#DIV/0!</v>
      </c>
      <c r="AM25" s="21">
        <f>'Q1 FY26-27'!AM25</f>
        <v>161457.59666666668</v>
      </c>
      <c r="AN25" s="32">
        <f t="shared" si="70"/>
        <v>0.16628076651061144</v>
      </c>
      <c r="AO25" s="23">
        <f>'Q1 FY26-27'!AO25</f>
        <v>17163.333333333332</v>
      </c>
      <c r="AP25" s="32" t="e">
        <f t="shared" si="71"/>
        <v>#DIV/0!</v>
      </c>
      <c r="AQ25" s="21">
        <f>'Q1 FY26-27'!AQ25</f>
        <v>994208.44666666666</v>
      </c>
      <c r="AR25" s="32">
        <f t="shared" si="72"/>
        <v>4.1174625069715233E-2</v>
      </c>
      <c r="AS25" s="23">
        <f>'Q1 FY26-27'!AS25</f>
        <v>212632.08333333334</v>
      </c>
      <c r="AT25" s="34"/>
      <c r="AU25" s="21">
        <f>'Q1 FY26-27'!AU25</f>
        <v>8100</v>
      </c>
      <c r="AV25" s="32">
        <f t="shared" si="73"/>
        <v>1.2147078809752437E-2</v>
      </c>
      <c r="AW25" s="23">
        <f>'Q1 FY26-27'!AW25</f>
        <v>0</v>
      </c>
      <c r="AX25" s="34"/>
      <c r="AY25" s="21">
        <f>'Q1 FY26-27'!AY25</f>
        <v>8100</v>
      </c>
      <c r="AZ25" s="30"/>
      <c r="BA25" s="23">
        <f>'Q1 FY26-27'!BA25</f>
        <v>0</v>
      </c>
      <c r="BB25" s="34"/>
      <c r="BC25" s="21">
        <f>'Q1 FY26-27'!BC25</f>
        <v>0</v>
      </c>
      <c r="BD25" s="30"/>
      <c r="BE25" s="23">
        <f>'Q1 FY26-27'!BE25</f>
        <v>0</v>
      </c>
      <c r="BF25" s="34"/>
      <c r="BG25" s="21">
        <f>'Q1 FY26-27'!BG25</f>
        <v>75836</v>
      </c>
      <c r="BH25" s="30"/>
      <c r="BI25" s="23">
        <f>'Q1 FY26-27'!BI25</f>
        <v>0</v>
      </c>
      <c r="BJ25" s="34"/>
    </row>
    <row r="26" spans="1:62" ht="15.75" customHeight="1" x14ac:dyDescent="0.25">
      <c r="B26" s="27" t="s">
        <v>41</v>
      </c>
      <c r="C26" s="12">
        <f t="shared" si="48"/>
        <v>925817</v>
      </c>
      <c r="D26" s="13">
        <f t="shared" si="49"/>
        <v>6.2210938365989035E-3</v>
      </c>
      <c r="E26" s="28">
        <f t="shared" si="50"/>
        <v>10010</v>
      </c>
      <c r="F26" s="29" t="e">
        <f t="shared" si="51"/>
        <v>#DIV/0!</v>
      </c>
      <c r="G26" s="21">
        <f>'Q1 FY26-27'!G26</f>
        <v>828298</v>
      </c>
      <c r="H26" s="65">
        <f t="shared" si="52"/>
        <v>5.5658079109232152E-3</v>
      </c>
      <c r="I26" s="18">
        <f>'Q1 FY26-27'!I26</f>
        <v>0</v>
      </c>
      <c r="J26" s="65">
        <f t="shared" si="53"/>
        <v>0</v>
      </c>
      <c r="K26" s="19">
        <f t="shared" si="54"/>
        <v>97519</v>
      </c>
      <c r="L26" s="13">
        <f t="shared" si="55"/>
        <v>6.5528592567568804E-4</v>
      </c>
      <c r="M26" s="28">
        <f t="shared" si="56"/>
        <v>10010</v>
      </c>
      <c r="N26" s="31" t="e">
        <f t="shared" si="57"/>
        <v>#DIV/0!</v>
      </c>
      <c r="O26" s="21">
        <f>'Q1 FY26-27'!O26</f>
        <v>40644</v>
      </c>
      <c r="P26" s="32">
        <f t="shared" si="58"/>
        <v>9.9290832088093188E-4</v>
      </c>
      <c r="Q26" s="35">
        <f>'Q1 FY26-27'!Q26</f>
        <v>0</v>
      </c>
      <c r="R26" s="32" t="e">
        <f t="shared" si="59"/>
        <v>#DIV/0!</v>
      </c>
      <c r="S26" s="21">
        <f>'Q1 FY26-27'!S26</f>
        <v>0</v>
      </c>
      <c r="T26" s="32">
        <f t="shared" si="60"/>
        <v>0</v>
      </c>
      <c r="U26" s="23">
        <f>'Q1 FY26-27'!U26</f>
        <v>0</v>
      </c>
      <c r="V26" s="32" t="e">
        <f t="shared" si="61"/>
        <v>#DIV/0!</v>
      </c>
      <c r="W26" s="21">
        <f>'Q1 FY26-27'!W26</f>
        <v>20335</v>
      </c>
      <c r="X26" s="32">
        <f t="shared" si="62"/>
        <v>8.0429294306976157E-4</v>
      </c>
      <c r="Y26" s="23">
        <f>'Q1 FY26-27'!Y26</f>
        <v>0</v>
      </c>
      <c r="Z26" s="32" t="e">
        <f t="shared" si="63"/>
        <v>#DIV/0!</v>
      </c>
      <c r="AA26" s="21">
        <f>'Q1 FY26-27'!AA26</f>
        <v>0</v>
      </c>
      <c r="AB26" s="32">
        <f t="shared" si="64"/>
        <v>0</v>
      </c>
      <c r="AC26" s="23">
        <f>'Q1 FY26-27'!AC26</f>
        <v>0</v>
      </c>
      <c r="AD26" s="32" t="e">
        <f t="shared" si="65"/>
        <v>#DIV/0!</v>
      </c>
      <c r="AE26" s="21">
        <f>'Q1 FY26-27'!AE26</f>
        <v>20020</v>
      </c>
      <c r="AF26" s="32">
        <f t="shared" si="66"/>
        <v>5.8482027552031208E-4</v>
      </c>
      <c r="AG26" s="23">
        <f>'Q1 FY26-27'!AG26</f>
        <v>10010</v>
      </c>
      <c r="AH26" s="32" t="e">
        <f t="shared" si="67"/>
        <v>#DIV/0!</v>
      </c>
      <c r="AI26" s="21">
        <f>'Q1 FY26-27'!AI26</f>
        <v>0</v>
      </c>
      <c r="AJ26" s="32" t="e">
        <f t="shared" si="68"/>
        <v>#DIV/0!</v>
      </c>
      <c r="AK26" s="23">
        <f>'Q1 FY26-27'!AK26</f>
        <v>0</v>
      </c>
      <c r="AL26" s="22" t="e">
        <f t="shared" si="69"/>
        <v>#DIV/0!</v>
      </c>
      <c r="AM26" s="21">
        <f>'Q1 FY26-27'!AM26</f>
        <v>0</v>
      </c>
      <c r="AN26" s="32">
        <f t="shared" si="70"/>
        <v>0</v>
      </c>
      <c r="AO26" s="23">
        <f>'Q1 FY26-27'!AO26</f>
        <v>0</v>
      </c>
      <c r="AP26" s="32" t="e">
        <f t="shared" si="71"/>
        <v>#DIV/0!</v>
      </c>
      <c r="AQ26" s="21">
        <f>'Q1 FY26-27'!AQ26</f>
        <v>16520</v>
      </c>
      <c r="AR26" s="32">
        <f t="shared" si="72"/>
        <v>6.8416719696181726E-4</v>
      </c>
      <c r="AS26" s="23">
        <f>'Q1 FY26-27'!AS26</f>
        <v>8260</v>
      </c>
      <c r="AT26" s="34"/>
      <c r="AU26" s="21">
        <f>'Q1 FY26-27'!AU26</f>
        <v>0</v>
      </c>
      <c r="AV26" s="32">
        <f t="shared" si="73"/>
        <v>0</v>
      </c>
      <c r="AW26" s="23">
        <f>'Q1 FY26-27'!AW26</f>
        <v>0</v>
      </c>
      <c r="AX26" s="34"/>
      <c r="AY26" s="21">
        <f>'Q1 FY26-27'!AY26</f>
        <v>0</v>
      </c>
      <c r="AZ26" s="30"/>
      <c r="BA26" s="23">
        <f>'Q1 FY26-27'!BA26</f>
        <v>0</v>
      </c>
      <c r="BB26" s="34"/>
      <c r="BC26" s="21">
        <f>'Q1 FY26-27'!BC26</f>
        <v>0</v>
      </c>
      <c r="BD26" s="30"/>
      <c r="BE26" s="23">
        <f>'Q1 FY26-27'!BE26</f>
        <v>0</v>
      </c>
      <c r="BF26" s="34"/>
      <c r="BG26" s="21">
        <f>'Q1 FY26-27'!BG26</f>
        <v>0</v>
      </c>
      <c r="BH26" s="30"/>
      <c r="BI26" s="23">
        <f>'Q1 FY26-27'!BI26</f>
        <v>0</v>
      </c>
      <c r="BJ26" s="34"/>
    </row>
    <row r="27" spans="1:62" ht="15.75" customHeight="1" x14ac:dyDescent="0.25">
      <c r="B27" s="36" t="s">
        <v>42</v>
      </c>
      <c r="C27" s="37">
        <f t="shared" si="48"/>
        <v>-3653883.59</v>
      </c>
      <c r="D27" s="13">
        <f t="shared" si="49"/>
        <v>-2.455253325592301E-2</v>
      </c>
      <c r="E27" s="38">
        <f t="shared" si="50"/>
        <v>0</v>
      </c>
      <c r="F27" s="39" t="e">
        <f t="shared" si="51"/>
        <v>#DIV/0!</v>
      </c>
      <c r="G27" s="45">
        <f>'Q1 FY26-27'!G27</f>
        <v>352790.41</v>
      </c>
      <c r="H27" s="65">
        <f t="shared" si="52"/>
        <v>2.3706005023262696E-3</v>
      </c>
      <c r="I27" s="18">
        <f>'Q1 FY26-27'!I27</f>
        <v>0</v>
      </c>
      <c r="J27" s="65">
        <f t="shared" si="53"/>
        <v>0</v>
      </c>
      <c r="K27" s="19">
        <f t="shared" si="54"/>
        <v>-4006674</v>
      </c>
      <c r="L27" s="13">
        <f t="shared" si="55"/>
        <v>-2.6923133758249281E-2</v>
      </c>
      <c r="M27" s="38">
        <f t="shared" si="56"/>
        <v>0</v>
      </c>
      <c r="N27" s="41" t="e">
        <f t="shared" si="57"/>
        <v>#DIV/0!</v>
      </c>
      <c r="O27" s="21">
        <f>'Q1 FY26-27'!O27</f>
        <v>0</v>
      </c>
      <c r="P27" s="42">
        <f t="shared" si="58"/>
        <v>0</v>
      </c>
      <c r="Q27" s="35">
        <f>'Q1 FY26-27'!Q27</f>
        <v>0</v>
      </c>
      <c r="R27" s="42" t="e">
        <f t="shared" si="59"/>
        <v>#DIV/0!</v>
      </c>
      <c r="S27" s="21">
        <f>'Q1 FY26-27'!S27</f>
        <v>0</v>
      </c>
      <c r="T27" s="42">
        <f t="shared" si="60"/>
        <v>0</v>
      </c>
      <c r="U27" s="23">
        <f>'Q1 FY26-27'!U27</f>
        <v>0</v>
      </c>
      <c r="V27" s="42" t="e">
        <f t="shared" si="61"/>
        <v>#DIV/0!</v>
      </c>
      <c r="W27" s="21">
        <f>'Q1 FY26-27'!W27</f>
        <v>0</v>
      </c>
      <c r="X27" s="42">
        <f t="shared" si="62"/>
        <v>0</v>
      </c>
      <c r="Y27" s="23">
        <f>'Q1 FY26-27'!Y27</f>
        <v>0</v>
      </c>
      <c r="Z27" s="42" t="e">
        <f t="shared" si="63"/>
        <v>#DIV/0!</v>
      </c>
      <c r="AA27" s="21">
        <f>'Q1 FY26-27'!AA27</f>
        <v>0</v>
      </c>
      <c r="AB27" s="42">
        <f t="shared" si="64"/>
        <v>0</v>
      </c>
      <c r="AC27" s="23">
        <f>'Q1 FY26-27'!AC27</f>
        <v>0</v>
      </c>
      <c r="AD27" s="42" t="e">
        <f t="shared" si="65"/>
        <v>#DIV/0!</v>
      </c>
      <c r="AE27" s="21">
        <f>'Q1 FY26-27'!AE27</f>
        <v>0</v>
      </c>
      <c r="AF27" s="42">
        <f t="shared" si="66"/>
        <v>0</v>
      </c>
      <c r="AG27" s="23">
        <f>'Q1 FY26-27'!AG27</f>
        <v>0</v>
      </c>
      <c r="AH27" s="42" t="e">
        <f t="shared" si="67"/>
        <v>#DIV/0!</v>
      </c>
      <c r="AI27" s="21">
        <f>'Q1 FY26-27'!AI27</f>
        <v>0</v>
      </c>
      <c r="AJ27" s="42" t="e">
        <f t="shared" si="68"/>
        <v>#DIV/0!</v>
      </c>
      <c r="AK27" s="23">
        <f>'Q1 FY26-27'!AK27</f>
        <v>0</v>
      </c>
      <c r="AL27" s="22" t="e">
        <f t="shared" si="69"/>
        <v>#DIV/0!</v>
      </c>
      <c r="AM27" s="21">
        <f>'Q1 FY26-27'!AM27</f>
        <v>-4016974</v>
      </c>
      <c r="AN27" s="42">
        <f t="shared" si="70"/>
        <v>-4.1369717471528293</v>
      </c>
      <c r="AO27" s="23">
        <f>'Q1 FY26-27'!AO27</f>
        <v>0</v>
      </c>
      <c r="AP27" s="42" t="e">
        <f t="shared" si="71"/>
        <v>#DIV/0!</v>
      </c>
      <c r="AQ27" s="21">
        <f>'Q1 FY26-27'!AQ27</f>
        <v>0</v>
      </c>
      <c r="AR27" s="42">
        <f t="shared" si="72"/>
        <v>0</v>
      </c>
      <c r="AS27" s="23">
        <f>'Q1 FY26-27'!AS27</f>
        <v>0</v>
      </c>
      <c r="AT27" s="43"/>
      <c r="AU27" s="21">
        <f>'Q1 FY26-27'!AU27</f>
        <v>0</v>
      </c>
      <c r="AV27" s="42">
        <f t="shared" si="73"/>
        <v>0</v>
      </c>
      <c r="AW27" s="23">
        <f>'Q1 FY26-27'!AW27</f>
        <v>0</v>
      </c>
      <c r="AX27" s="43"/>
      <c r="AY27" s="21">
        <f>'Q1 FY26-27'!AY27</f>
        <v>0</v>
      </c>
      <c r="AZ27" s="40"/>
      <c r="BA27" s="23">
        <f>'Q1 FY26-27'!BA27</f>
        <v>0</v>
      </c>
      <c r="BB27" s="43"/>
      <c r="BC27" s="21">
        <f>'Q1 FY26-27'!BC27</f>
        <v>0</v>
      </c>
      <c r="BD27" s="40"/>
      <c r="BE27" s="23">
        <f>'Q1 FY26-27'!BE27</f>
        <v>0</v>
      </c>
      <c r="BF27" s="43"/>
      <c r="BG27" s="21">
        <f>'Q1 FY26-27'!BG27</f>
        <v>10300</v>
      </c>
      <c r="BH27" s="40"/>
      <c r="BI27" s="23">
        <f>'Q1 FY26-27'!BI27</f>
        <v>0</v>
      </c>
      <c r="BJ27" s="43"/>
    </row>
    <row r="28" spans="1:62" ht="15.75" customHeight="1" x14ac:dyDescent="0.25">
      <c r="A28" s="91"/>
      <c r="B28" s="5" t="s">
        <v>43</v>
      </c>
      <c r="C28" s="46">
        <f>SUM(C18:C27)</f>
        <v>85696218.539999977</v>
      </c>
      <c r="D28" s="47">
        <f>C28/C10</f>
        <v>0.57584189637803851</v>
      </c>
      <c r="E28" s="48">
        <f t="shared" si="50"/>
        <v>4369833.5</v>
      </c>
      <c r="F28" s="72" t="e">
        <f t="shared" si="51"/>
        <v>#DIV/0!</v>
      </c>
      <c r="G28" s="103">
        <f>'Q1 FY26-27'!G28</f>
        <v>14269031.766666668</v>
      </c>
      <c r="H28" s="104">
        <f>G28/C10</f>
        <v>9.5881783957136202E-2</v>
      </c>
      <c r="I28" s="105">
        <f>'Q1 FY26-27'!I28</f>
        <v>53837.5</v>
      </c>
      <c r="J28" s="104" t="e">
        <f>I28/E10</f>
        <v>#DIV/0!</v>
      </c>
      <c r="K28" s="50">
        <f>SUM(K18:K27)</f>
        <v>71427186.773333326</v>
      </c>
      <c r="L28" s="47">
        <f t="shared" si="55"/>
        <v>0.47996011242090247</v>
      </c>
      <c r="M28" s="48">
        <f>SUM(M18:M27)</f>
        <v>4315996</v>
      </c>
      <c r="N28" s="51" t="e">
        <f t="shared" si="57"/>
        <v>#DIV/0!</v>
      </c>
      <c r="O28" s="50">
        <f>SUM(O18:O27)</f>
        <v>18874106.793333337</v>
      </c>
      <c r="P28" s="106">
        <f t="shared" si="58"/>
        <v>0.46108300571538219</v>
      </c>
      <c r="Q28" s="48">
        <f>SUM(Q18:Q27)</f>
        <v>2267621.5833333335</v>
      </c>
      <c r="R28" s="106" t="e">
        <f t="shared" si="59"/>
        <v>#DIV/0!</v>
      </c>
      <c r="S28" s="50">
        <f>SUM(S18:S27)</f>
        <v>1594493.74</v>
      </c>
      <c r="T28" s="106">
        <f t="shared" si="60"/>
        <v>0.95636266470255171</v>
      </c>
      <c r="U28" s="105">
        <f>'Q1 FY26-27'!U28</f>
        <v>76212</v>
      </c>
      <c r="V28" s="106" t="e">
        <f t="shared" si="61"/>
        <v>#DIV/0!</v>
      </c>
      <c r="W28" s="50">
        <f>SUM(W18:W27)</f>
        <v>13328559.303333331</v>
      </c>
      <c r="X28" s="106">
        <f t="shared" si="62"/>
        <v>0.52717315903407014</v>
      </c>
      <c r="Y28" s="105">
        <f>'Q1 FY26-27'!Y28</f>
        <v>1314963</v>
      </c>
      <c r="Z28" s="106" t="e">
        <f t="shared" si="63"/>
        <v>#DIV/0!</v>
      </c>
      <c r="AA28" s="50">
        <f>SUM(AA18:AA27)</f>
        <v>8465905.3233333342</v>
      </c>
      <c r="AB28" s="106">
        <f t="shared" si="64"/>
        <v>0.44218404303860703</v>
      </c>
      <c r="AC28" s="105">
        <f>'Q1 FY26-27'!AC28</f>
        <v>65342.583333333336</v>
      </c>
      <c r="AD28" s="106" t="e">
        <f t="shared" si="65"/>
        <v>#DIV/0!</v>
      </c>
      <c r="AE28" s="50">
        <f>SUM(AE18:AE27)</f>
        <v>13526887.946666667</v>
      </c>
      <c r="AF28" s="106">
        <f t="shared" si="66"/>
        <v>0.39514477202307635</v>
      </c>
      <c r="AG28" s="105">
        <f>'Q1 FY26-27'!AG28</f>
        <v>220898.33333333334</v>
      </c>
      <c r="AH28" s="106" t="e">
        <f t="shared" si="67"/>
        <v>#DIV/0!</v>
      </c>
      <c r="AI28" s="50">
        <f>SUM(AI18:AI27)</f>
        <v>2375002.0133333337</v>
      </c>
      <c r="AJ28" s="106" t="e">
        <f t="shared" si="68"/>
        <v>#DIV/0!</v>
      </c>
      <c r="AK28" s="105">
        <f>'Q1 FY26-27'!AK28</f>
        <v>103672.16666666667</v>
      </c>
      <c r="AL28" s="106" t="e">
        <f t="shared" si="69"/>
        <v>#DIV/0!</v>
      </c>
      <c r="AM28" s="50">
        <f>SUM(AM18:AM27)</f>
        <v>-6.0000000055879354E-2</v>
      </c>
      <c r="AN28" s="106">
        <f t="shared" si="70"/>
        <v>-6.1792360383796621E-8</v>
      </c>
      <c r="AO28" s="105">
        <f>'Q1 FY26-27'!AO28</f>
        <v>267286.33333333331</v>
      </c>
      <c r="AP28" s="106" t="e">
        <f t="shared" si="71"/>
        <v>#DIV/0!</v>
      </c>
      <c r="AQ28" s="50">
        <f>SUM(AQ18:AQ27)</f>
        <v>11118566.063333334</v>
      </c>
      <c r="AR28" s="106">
        <f t="shared" si="72"/>
        <v>0.46046962335263647</v>
      </c>
      <c r="AS28" s="105">
        <f>'Q1 FY26-27'!AS28</f>
        <v>261457.75</v>
      </c>
      <c r="AT28" s="107"/>
      <c r="AU28" s="50">
        <f>SUM(AU18:AU27)</f>
        <v>343230.31</v>
      </c>
      <c r="AV28" s="106">
        <f t="shared" si="73"/>
        <v>0.51472168215626668</v>
      </c>
      <c r="AW28" s="108">
        <f>SUM(AW18:AW27)</f>
        <v>0</v>
      </c>
      <c r="AX28" s="107"/>
      <c r="AY28" s="50">
        <f>SUM(AY18:AY27)</f>
        <v>166501.31</v>
      </c>
      <c r="AZ28" s="109"/>
      <c r="BA28" s="108">
        <f>SUM(BA18:BA27)</f>
        <v>0</v>
      </c>
      <c r="BB28" s="107"/>
      <c r="BC28" s="50">
        <f>SUM(BC18:BC27)</f>
        <v>175321.97</v>
      </c>
      <c r="BD28" s="109"/>
      <c r="BE28" s="108">
        <f>SUM(BE18:BE27)</f>
        <v>0</v>
      </c>
      <c r="BF28" s="107"/>
      <c r="BG28" s="50">
        <f>SUM(BG18:BG27)</f>
        <v>1458612.06</v>
      </c>
      <c r="BH28" s="109"/>
      <c r="BI28" s="108">
        <f>SUM(BI18:BI27)</f>
        <v>0</v>
      </c>
      <c r="BJ28" s="107"/>
    </row>
    <row r="29" spans="1:62" ht="15.75" customHeight="1" x14ac:dyDescent="0.25">
      <c r="B29" s="78"/>
      <c r="C29" s="79"/>
      <c r="D29" s="80"/>
      <c r="E29" s="81"/>
      <c r="F29" s="82"/>
      <c r="G29" s="90"/>
      <c r="H29" s="87"/>
      <c r="I29" s="88"/>
      <c r="J29" s="87"/>
      <c r="K29" s="85"/>
      <c r="L29" s="80"/>
      <c r="M29" s="80"/>
      <c r="N29" s="86"/>
      <c r="O29" s="90"/>
      <c r="P29" s="87"/>
      <c r="Q29" s="88"/>
      <c r="R29" s="89"/>
      <c r="S29" s="90"/>
      <c r="T29" s="87"/>
      <c r="U29" s="87"/>
      <c r="V29" s="89"/>
      <c r="W29" s="90"/>
      <c r="X29" s="87"/>
      <c r="Y29" s="87"/>
      <c r="Z29" s="89"/>
      <c r="AA29" s="90"/>
      <c r="AB29" s="87"/>
      <c r="AC29" s="87"/>
      <c r="AD29" s="89"/>
      <c r="AE29" s="90"/>
      <c r="AF29" s="87"/>
      <c r="AG29" s="87"/>
      <c r="AH29" s="89"/>
      <c r="AI29" s="90"/>
      <c r="AJ29" s="87"/>
      <c r="AK29" s="87"/>
      <c r="AL29" s="89"/>
      <c r="AM29" s="90"/>
      <c r="AN29" s="87"/>
      <c r="AO29" s="87"/>
      <c r="AP29" s="89"/>
      <c r="AQ29" s="90"/>
      <c r="AR29" s="87"/>
      <c r="AS29" s="87"/>
      <c r="AT29" s="89"/>
      <c r="AU29" s="83"/>
      <c r="AV29" s="87"/>
      <c r="AW29" s="84"/>
      <c r="AX29" s="89"/>
      <c r="AY29" s="83"/>
      <c r="AZ29" s="87"/>
      <c r="BA29" s="84"/>
      <c r="BB29" s="89"/>
      <c r="BC29" s="83"/>
      <c r="BD29" s="87"/>
      <c r="BE29" s="84"/>
      <c r="BF29" s="89"/>
      <c r="BG29" s="83"/>
      <c r="BH29" s="87"/>
      <c r="BI29" s="84"/>
      <c r="BJ29" s="89"/>
    </row>
    <row r="30" spans="1:62" ht="15.75" customHeight="1" x14ac:dyDescent="0.25">
      <c r="A30" s="91"/>
      <c r="B30" s="5" t="s">
        <v>44</v>
      </c>
      <c r="C30" s="46">
        <f>C16-C28</f>
        <v>5390403.1768682152</v>
      </c>
      <c r="D30" s="47">
        <f>C30/C$10</f>
        <v>3.6221201360957946E-2</v>
      </c>
      <c r="E30" s="48">
        <f>E16-E28</f>
        <v>-4369833.5</v>
      </c>
      <c r="F30" s="72" t="e">
        <f>E30/E$10</f>
        <v>#DIV/0!</v>
      </c>
      <c r="G30" s="110">
        <f>G16-G28</f>
        <v>-14269031.766666668</v>
      </c>
      <c r="H30" s="104">
        <f>G30/C10</f>
        <v>-9.5881783957136202E-2</v>
      </c>
      <c r="I30" s="105">
        <f>I16-I28</f>
        <v>-53837.5</v>
      </c>
      <c r="J30" s="104" t="e">
        <f>I30/E10</f>
        <v>#DIV/0!</v>
      </c>
      <c r="K30" s="50">
        <f>K16-K28</f>
        <v>19659434.943534866</v>
      </c>
      <c r="L30" s="47">
        <f>K30/$K$10</f>
        <v>0.13210298531809403</v>
      </c>
      <c r="M30" s="48">
        <f>M16-M28</f>
        <v>-4315996</v>
      </c>
      <c r="N30" s="51" t="e">
        <f>M30/M$10</f>
        <v>#DIV/0!</v>
      </c>
      <c r="O30" s="110">
        <f>O16-O28</f>
        <v>7693765.5254112408</v>
      </c>
      <c r="P30" s="106">
        <f>O30/O$10</f>
        <v>0.18795403525951374</v>
      </c>
      <c r="Q30" s="105">
        <f>Q16-Q28</f>
        <v>-2267621.5833333335</v>
      </c>
      <c r="R30" s="106" t="e">
        <f>Q30/Q$10</f>
        <v>#DIV/0!</v>
      </c>
      <c r="S30" s="110">
        <f>S16-S28</f>
        <v>-573873.19334620703</v>
      </c>
      <c r="T30" s="106">
        <f>S30/S$10</f>
        <v>-0.34420385770215772</v>
      </c>
      <c r="U30" s="105">
        <f>U16-U28</f>
        <v>-76212</v>
      </c>
      <c r="V30" s="106" t="e">
        <f>U30/U$10</f>
        <v>#DIV/0!</v>
      </c>
      <c r="W30" s="110">
        <f>W16-W28</f>
        <v>1718626.0977433566</v>
      </c>
      <c r="X30" s="106">
        <f>W30/W$10</f>
        <v>6.7975354914703912E-2</v>
      </c>
      <c r="Y30" s="105">
        <f>Y16-Y28</f>
        <v>-1314963</v>
      </c>
      <c r="Z30" s="106" t="e">
        <f>Y30/Y$10</f>
        <v>#DIV/0!</v>
      </c>
      <c r="AA30" s="110">
        <f>AA16-AA28</f>
        <v>3294340.5359775107</v>
      </c>
      <c r="AB30" s="106">
        <f>AA30/AA$10</f>
        <v>0.17206722278473932</v>
      </c>
      <c r="AC30" s="105">
        <f>AC16-AC28</f>
        <v>-65342.583333333336</v>
      </c>
      <c r="AD30" s="106" t="e">
        <f>AC30/AC$10</f>
        <v>#DIV/0!</v>
      </c>
      <c r="AE30" s="110">
        <f>AE16-AE28</f>
        <v>8770468.7395619024</v>
      </c>
      <c r="AF30" s="106">
        <f>AE30/AE$10</f>
        <v>0.25620119603960417</v>
      </c>
      <c r="AG30" s="105">
        <f>AG16-AG28</f>
        <v>-220898.33333333334</v>
      </c>
      <c r="AH30" s="106" t="e">
        <f>AG30/AG$10</f>
        <v>#DIV/0!</v>
      </c>
      <c r="AI30" s="110">
        <f>AI16-AI28</f>
        <v>-2376032.0133333337</v>
      </c>
      <c r="AJ30" s="106" t="e">
        <f>AI30/AI$10</f>
        <v>#DIV/0!</v>
      </c>
      <c r="AK30" s="105">
        <f>AK16-AK28</f>
        <v>-103672.16666666667</v>
      </c>
      <c r="AL30" s="106" t="e">
        <f>AK30/AK$10</f>
        <v>#DIV/0!</v>
      </c>
      <c r="AM30" s="110">
        <f>AM16-AM28</f>
        <v>-929566.10408392572</v>
      </c>
      <c r="AN30" s="106">
        <f>AM30/AM$10</f>
        <v>-0.95733472751034154</v>
      </c>
      <c r="AO30" s="105">
        <f>AO16-AO28</f>
        <v>-267286.33333333331</v>
      </c>
      <c r="AP30" s="106" t="e">
        <f>AO30/AO$10</f>
        <v>#DIV/0!</v>
      </c>
      <c r="AQ30" s="110">
        <f>AQ16-AQ28</f>
        <v>3506230.1486019604</v>
      </c>
      <c r="AR30" s="106">
        <f>AQ30/AQ$10</f>
        <v>0.14520869568232561</v>
      </c>
      <c r="AS30" s="105">
        <f>AS16-AS28</f>
        <v>-261457.75</v>
      </c>
      <c r="AT30" s="106" t="e">
        <f>AS30/AS$10</f>
        <v>#DIV/0!</v>
      </c>
      <c r="AU30" s="111">
        <f>AU16-AU28</f>
        <v>-123531.44177845243</v>
      </c>
      <c r="AV30" s="106">
        <f>AU30/AU$10</f>
        <v>-0.18525261219323536</v>
      </c>
      <c r="AW30" s="108">
        <f>AW16-AW28</f>
        <v>0</v>
      </c>
      <c r="AX30" s="107"/>
      <c r="AY30" s="111">
        <f>AY16-AY28</f>
        <v>-287048.42538026668</v>
      </c>
      <c r="AZ30" s="109"/>
      <c r="BA30" s="108">
        <f>BA16-BA28</f>
        <v>0</v>
      </c>
      <c r="BB30" s="107"/>
      <c r="BC30" s="111">
        <f>BC16-BC28</f>
        <v>-369427.6249567034</v>
      </c>
      <c r="BD30" s="109"/>
      <c r="BE30" s="108">
        <f>BE16-BE28</f>
        <v>0</v>
      </c>
      <c r="BF30" s="107"/>
      <c r="BG30" s="111">
        <f>BG16-BG28</f>
        <v>-664517.30088220211</v>
      </c>
      <c r="BH30" s="109"/>
      <c r="BI30" s="108">
        <f>BI16-BI28</f>
        <v>0</v>
      </c>
      <c r="BJ30" s="107"/>
    </row>
    <row r="31" spans="1:62" ht="15.75" customHeight="1" x14ac:dyDescent="0.2"/>
    <row r="32" spans="1:62" ht="15.75" customHeight="1" x14ac:dyDescent="0.2">
      <c r="C32" s="112"/>
      <c r="D32" s="113"/>
      <c r="K32" s="112"/>
      <c r="L32" s="113"/>
      <c r="Q32" s="114"/>
    </row>
    <row r="33" spans="2:59" ht="15.75" customHeight="1" x14ac:dyDescent="0.2">
      <c r="C33" s="112">
        <f>'Q1 FY26-27'!C10</f>
        <v>148819005.83999997</v>
      </c>
      <c r="E33" s="115"/>
      <c r="G33" s="112">
        <f>'Q1 FY26-27'!G10</f>
        <v>0</v>
      </c>
      <c r="K33" s="112">
        <f>'Q1 FY26-27'!K10</f>
        <v>148819005.83999997</v>
      </c>
      <c r="L33" s="116"/>
      <c r="M33" s="116"/>
      <c r="O33" s="112">
        <f>'Q1 FY26-27'!O10</f>
        <v>40934292.869999997</v>
      </c>
      <c r="Q33" s="114"/>
      <c r="S33" s="112">
        <f>'Q1 FY26-27'!S10</f>
        <v>1667248</v>
      </c>
      <c r="W33" s="112">
        <f>'Q1 FY26-27'!W10</f>
        <v>25283076.490000002</v>
      </c>
      <c r="AA33" s="112">
        <f>'Q1 FY26-27'!AA10</f>
        <v>19145659.950000003</v>
      </c>
      <c r="AE33" s="112">
        <f>'Q1 FY26-27'!AE10</f>
        <v>34232739.25</v>
      </c>
      <c r="AI33" s="112">
        <f>'Q1 FY26-27'!AI10</f>
        <v>0</v>
      </c>
      <c r="AM33" s="112">
        <f>'Q1 FY26-27'!AM10</f>
        <v>970993.82000000007</v>
      </c>
      <c r="AQ33" s="112">
        <f>'Q1 FY26-27'!AQ10</f>
        <v>24146144.5</v>
      </c>
      <c r="AU33" s="112">
        <f>'Q1 FY26-27'!AU10</f>
        <v>666826.99</v>
      </c>
      <c r="AY33" s="112">
        <f>'Q1 FY26-27'!AY10</f>
        <v>228077.89</v>
      </c>
      <c r="BC33" s="112">
        <f>'Q1 FY26-27'!BC10</f>
        <v>306961.08</v>
      </c>
      <c r="BG33" s="112">
        <f>'Q1 FY26-27'!BG10</f>
        <v>1236985</v>
      </c>
    </row>
    <row r="34" spans="2:59" ht="15.75" customHeight="1" x14ac:dyDescent="0.2">
      <c r="B34" s="117"/>
      <c r="C34" s="116"/>
      <c r="J34" s="112"/>
      <c r="K34" s="116"/>
      <c r="L34" s="116"/>
      <c r="M34" s="116"/>
      <c r="O34" s="116"/>
      <c r="S34" s="116"/>
      <c r="W34" s="116"/>
      <c r="AA34" s="116"/>
      <c r="AE34" s="116"/>
      <c r="AI34" s="116"/>
      <c r="AM34" s="116"/>
      <c r="AQ34" s="116"/>
      <c r="AU34" s="116"/>
      <c r="AY34" s="116"/>
      <c r="BC34" s="116"/>
      <c r="BG34" s="116"/>
    </row>
    <row r="35" spans="2:59" ht="15.75" customHeight="1" x14ac:dyDescent="0.2">
      <c r="C35" s="116">
        <f>C10-C33</f>
        <v>0</v>
      </c>
      <c r="G35" s="112">
        <f>G10-G33</f>
        <v>0</v>
      </c>
      <c r="J35" s="112"/>
      <c r="K35" s="116">
        <f>K10-K33</f>
        <v>0</v>
      </c>
      <c r="L35" s="116"/>
      <c r="M35" s="116"/>
      <c r="O35" s="116">
        <f>O10-O33</f>
        <v>0</v>
      </c>
      <c r="Q35" s="112"/>
      <c r="S35" s="116">
        <f>S10-S33</f>
        <v>0</v>
      </c>
      <c r="W35" s="116">
        <f>W10-W33</f>
        <v>0</v>
      </c>
      <c r="AA35" s="116">
        <f>AA10-AA33</f>
        <v>0</v>
      </c>
      <c r="AE35" s="116">
        <f>AE10-AE33</f>
        <v>0</v>
      </c>
      <c r="AI35" s="116">
        <f>AI10-AI33</f>
        <v>0</v>
      </c>
      <c r="AM35" s="116">
        <f>AM10-AM33</f>
        <v>0</v>
      </c>
      <c r="AQ35" s="116">
        <f>AQ10-AQ33</f>
        <v>0</v>
      </c>
      <c r="AU35" s="116">
        <f>AU10-AU33</f>
        <v>0</v>
      </c>
      <c r="AY35" s="116">
        <f>AY10-AY33</f>
        <v>0</v>
      </c>
      <c r="BC35" s="116">
        <f>BC10-BC33</f>
        <v>0</v>
      </c>
      <c r="BG35" s="116">
        <f>BG10-BG33</f>
        <v>0</v>
      </c>
    </row>
    <row r="36" spans="2:59" ht="15.75" customHeight="1" x14ac:dyDescent="0.2">
      <c r="C36" s="118"/>
      <c r="K36" s="118"/>
      <c r="L36" s="116"/>
      <c r="M36" s="118"/>
      <c r="O36" s="116"/>
      <c r="S36" s="116"/>
      <c r="W36" s="116"/>
      <c r="AA36" s="116"/>
      <c r="AE36" s="116"/>
      <c r="AI36" s="116"/>
      <c r="AM36" s="116"/>
      <c r="AQ36" s="116"/>
      <c r="AU36" s="116"/>
      <c r="AY36" s="116"/>
      <c r="BC36" s="116"/>
      <c r="BG36" s="116"/>
    </row>
    <row r="37" spans="2:59" ht="15.75" customHeight="1" x14ac:dyDescent="0.2"/>
    <row r="38" spans="2:59" ht="15.75" customHeight="1" x14ac:dyDescent="0.2">
      <c r="C38" s="116"/>
      <c r="K38" s="116"/>
      <c r="L38" s="116"/>
      <c r="M38" s="116"/>
      <c r="O38" s="116"/>
      <c r="S38" s="116"/>
      <c r="W38" s="116"/>
      <c r="AA38" s="116"/>
      <c r="AE38" s="116"/>
      <c r="AI38" s="116"/>
      <c r="AM38" s="116"/>
      <c r="AQ38" s="116"/>
      <c r="AU38" s="116"/>
      <c r="AY38" s="116"/>
      <c r="BC38" s="116"/>
      <c r="BG38" s="116"/>
    </row>
    <row r="39" spans="2:59" ht="15.75" customHeight="1" x14ac:dyDescent="0.2">
      <c r="C39" s="116"/>
      <c r="K39" s="116"/>
      <c r="O39" s="116"/>
      <c r="S39" s="116"/>
      <c r="W39" s="116"/>
      <c r="AA39" s="116"/>
      <c r="AE39" s="116"/>
      <c r="AI39" s="116"/>
      <c r="AM39" s="116"/>
      <c r="AQ39" s="116"/>
      <c r="AU39" s="118"/>
      <c r="AY39" s="118"/>
      <c r="BC39" s="118"/>
      <c r="BG39" s="118"/>
    </row>
    <row r="40" spans="2:59" ht="15.75" customHeight="1" x14ac:dyDescent="0.2"/>
    <row r="41" spans="2:59" ht="15.75" customHeight="1" x14ac:dyDescent="0.2"/>
    <row r="42" spans="2:59" ht="15.75" customHeight="1" x14ac:dyDescent="0.2"/>
    <row r="43" spans="2:59" ht="15.75" customHeight="1" x14ac:dyDescent="0.2"/>
    <row r="44" spans="2:59" ht="15.75" customHeight="1" x14ac:dyDescent="0.2"/>
    <row r="45" spans="2:59" ht="15.75" customHeight="1" x14ac:dyDescent="0.2"/>
    <row r="46" spans="2:59" ht="15.75" customHeight="1" x14ac:dyDescent="0.2"/>
    <row r="47" spans="2:59" ht="15.75" customHeight="1" x14ac:dyDescent="0.2"/>
    <row r="48" spans="2:5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AU3:AX3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J10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0" sqref="C10"/>
    </sheetView>
  </sheetViews>
  <sheetFormatPr defaultColWidth="12.5703125" defaultRowHeight="15" customHeight="1" x14ac:dyDescent="0.2"/>
  <cols>
    <col min="1" max="1" width="3" customWidth="1"/>
    <col min="2" max="2" width="22.42578125" customWidth="1"/>
    <col min="3" max="3" width="14.28515625" customWidth="1"/>
    <col min="4" max="4" width="12.5703125" customWidth="1"/>
    <col min="5" max="5" width="14.28515625" customWidth="1"/>
    <col min="6" max="6" width="12.5703125" customWidth="1"/>
    <col min="7" max="7" width="15" customWidth="1"/>
    <col min="8" max="8" width="12.5703125" customWidth="1"/>
    <col min="9" max="9" width="15" customWidth="1"/>
    <col min="10" max="10" width="12.5703125" customWidth="1"/>
    <col min="11" max="11" width="14.28515625" customWidth="1"/>
    <col min="12" max="12" width="12.5703125" customWidth="1"/>
    <col min="13" max="13" width="14.28515625" customWidth="1"/>
    <col min="14" max="14" width="12.5703125" customWidth="1"/>
    <col min="15" max="15" width="14.28515625" customWidth="1"/>
    <col min="16" max="16" width="12.5703125" customWidth="1"/>
    <col min="17" max="17" width="14.28515625" customWidth="1"/>
    <col min="18" max="18" width="12.5703125" customWidth="1"/>
    <col min="19" max="19" width="12.7109375" customWidth="1"/>
    <col min="20" max="20" width="12.5703125" customWidth="1"/>
    <col min="21" max="21" width="12.7109375" customWidth="1"/>
    <col min="22" max="22" width="12.5703125" customWidth="1"/>
    <col min="23" max="23" width="14.28515625" customWidth="1"/>
    <col min="24" max="24" width="12.5703125" customWidth="1"/>
    <col min="25" max="25" width="14.28515625" customWidth="1"/>
    <col min="26" max="26" width="12.5703125" customWidth="1"/>
    <col min="27" max="27" width="12.7109375" customWidth="1"/>
    <col min="28" max="28" width="12.5703125" customWidth="1"/>
    <col min="29" max="29" width="12.7109375" customWidth="1"/>
    <col min="30" max="30" width="12.5703125" customWidth="1"/>
    <col min="31" max="31" width="14.28515625" customWidth="1"/>
    <col min="32" max="32" width="12.5703125" customWidth="1"/>
    <col min="33" max="33" width="14.28515625" customWidth="1"/>
    <col min="34" max="34" width="12.5703125" customWidth="1"/>
    <col min="35" max="35" width="12.7109375" customWidth="1"/>
    <col min="36" max="36" width="12.5703125" customWidth="1"/>
    <col min="37" max="37" width="12.7109375" customWidth="1"/>
    <col min="38" max="38" width="12.5703125" customWidth="1"/>
    <col min="39" max="39" width="12.7109375" customWidth="1"/>
    <col min="40" max="40" width="12.5703125" customWidth="1"/>
    <col min="41" max="41" width="12.7109375" customWidth="1"/>
    <col min="42" max="42" width="12.5703125" customWidth="1"/>
    <col min="43" max="43" width="12.7109375" customWidth="1"/>
    <col min="44" max="44" width="12.5703125" customWidth="1"/>
    <col min="45" max="45" width="12.7109375" customWidth="1"/>
    <col min="46" max="46" width="12.5703125" customWidth="1"/>
    <col min="47" max="47" width="12.7109375" customWidth="1"/>
    <col min="48" max="48" width="12.5703125" customWidth="1"/>
    <col min="49" max="49" width="12.7109375" customWidth="1"/>
    <col min="50" max="50" width="12.5703125" customWidth="1"/>
    <col min="51" max="51" width="12.7109375" customWidth="1"/>
    <col min="52" max="52" width="12.5703125" customWidth="1"/>
    <col min="53" max="53" width="12.7109375" customWidth="1"/>
    <col min="54" max="62" width="12.5703125" customWidth="1"/>
  </cols>
  <sheetData>
    <row r="1" spans="1:62" ht="15.75" customHeight="1" x14ac:dyDescent="0.25">
      <c r="A1" s="2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62" ht="15.75" customHeight="1" x14ac:dyDescent="0.25">
      <c r="A2" s="2"/>
      <c r="B2" s="3" t="s">
        <v>45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62" ht="15.75" customHeight="1" x14ac:dyDescent="0.25">
      <c r="A3" s="2"/>
      <c r="B3" s="936" t="s">
        <v>46</v>
      </c>
      <c r="C3" s="932" t="s">
        <v>47</v>
      </c>
      <c r="D3" s="933"/>
      <c r="E3" s="933"/>
      <c r="F3" s="934"/>
      <c r="G3" s="938" t="s">
        <v>48</v>
      </c>
      <c r="H3" s="933"/>
      <c r="I3" s="933"/>
      <c r="J3" s="939"/>
      <c r="K3" s="940" t="s">
        <v>4</v>
      </c>
      <c r="L3" s="933"/>
      <c r="M3" s="933"/>
      <c r="N3" s="939"/>
      <c r="O3" s="940" t="s">
        <v>5</v>
      </c>
      <c r="P3" s="933"/>
      <c r="Q3" s="933"/>
      <c r="R3" s="939"/>
      <c r="S3" s="940" t="s">
        <v>6</v>
      </c>
      <c r="T3" s="933"/>
      <c r="U3" s="933"/>
      <c r="V3" s="939"/>
      <c r="W3" s="940" t="s">
        <v>7</v>
      </c>
      <c r="X3" s="933"/>
      <c r="Y3" s="933"/>
      <c r="Z3" s="939"/>
      <c r="AA3" s="940" t="s">
        <v>8</v>
      </c>
      <c r="AB3" s="933"/>
      <c r="AC3" s="933"/>
      <c r="AD3" s="939"/>
      <c r="AE3" s="940" t="s">
        <v>9</v>
      </c>
      <c r="AF3" s="933"/>
      <c r="AG3" s="933"/>
      <c r="AH3" s="939"/>
      <c r="AI3" s="940" t="s">
        <v>10</v>
      </c>
      <c r="AJ3" s="933"/>
      <c r="AK3" s="933"/>
      <c r="AL3" s="939"/>
      <c r="AM3" s="940" t="s">
        <v>11</v>
      </c>
      <c r="AN3" s="933"/>
      <c r="AO3" s="933"/>
      <c r="AP3" s="939"/>
      <c r="AQ3" s="940" t="s">
        <v>12</v>
      </c>
      <c r="AR3" s="933"/>
      <c r="AS3" s="933"/>
      <c r="AT3" s="939"/>
      <c r="AU3" s="940" t="s">
        <v>13</v>
      </c>
      <c r="AV3" s="933"/>
      <c r="AW3" s="933"/>
      <c r="AX3" s="939"/>
      <c r="AY3" s="940" t="s">
        <v>14</v>
      </c>
      <c r="AZ3" s="933"/>
      <c r="BA3" s="933"/>
      <c r="BB3" s="934"/>
      <c r="BC3" s="929" t="s">
        <v>15</v>
      </c>
      <c r="BD3" s="930"/>
      <c r="BE3" s="930"/>
      <c r="BF3" s="931"/>
      <c r="BG3" s="929" t="s">
        <v>49</v>
      </c>
      <c r="BH3" s="930"/>
      <c r="BI3" s="930"/>
      <c r="BJ3" s="931"/>
    </row>
    <row r="4" spans="1:62" ht="15.75" customHeight="1" x14ac:dyDescent="0.25">
      <c r="A4" s="2"/>
      <c r="B4" s="937"/>
      <c r="C4" s="9" t="s">
        <v>17</v>
      </c>
      <c r="D4" s="7" t="s">
        <v>18</v>
      </c>
      <c r="E4" s="7" t="s">
        <v>19</v>
      </c>
      <c r="F4" s="8" t="s">
        <v>18</v>
      </c>
      <c r="G4" s="6" t="s">
        <v>17</v>
      </c>
      <c r="H4" s="7" t="s">
        <v>18</v>
      </c>
      <c r="I4" s="7" t="s">
        <v>19</v>
      </c>
      <c r="J4" s="7" t="s">
        <v>18</v>
      </c>
      <c r="K4" s="7" t="s">
        <v>17</v>
      </c>
      <c r="L4" s="7" t="s">
        <v>18</v>
      </c>
      <c r="M4" s="7" t="s">
        <v>19</v>
      </c>
      <c r="N4" s="7" t="s">
        <v>18</v>
      </c>
      <c r="O4" s="7" t="s">
        <v>17</v>
      </c>
      <c r="P4" s="7" t="s">
        <v>18</v>
      </c>
      <c r="Q4" s="7" t="s">
        <v>19</v>
      </c>
      <c r="R4" s="7" t="s">
        <v>18</v>
      </c>
      <c r="S4" s="7" t="s">
        <v>17</v>
      </c>
      <c r="T4" s="7" t="s">
        <v>18</v>
      </c>
      <c r="U4" s="7" t="s">
        <v>19</v>
      </c>
      <c r="V4" s="7" t="s">
        <v>18</v>
      </c>
      <c r="W4" s="7" t="s">
        <v>17</v>
      </c>
      <c r="X4" s="7" t="s">
        <v>18</v>
      </c>
      <c r="Y4" s="7" t="s">
        <v>19</v>
      </c>
      <c r="Z4" s="7" t="s">
        <v>18</v>
      </c>
      <c r="AA4" s="7" t="s">
        <v>17</v>
      </c>
      <c r="AB4" s="7" t="s">
        <v>18</v>
      </c>
      <c r="AC4" s="7" t="s">
        <v>19</v>
      </c>
      <c r="AD4" s="7" t="s">
        <v>18</v>
      </c>
      <c r="AE4" s="7" t="s">
        <v>17</v>
      </c>
      <c r="AF4" s="7" t="s">
        <v>18</v>
      </c>
      <c r="AG4" s="7" t="s">
        <v>19</v>
      </c>
      <c r="AH4" s="7" t="s">
        <v>18</v>
      </c>
      <c r="AI4" s="7" t="s">
        <v>17</v>
      </c>
      <c r="AJ4" s="7" t="s">
        <v>18</v>
      </c>
      <c r="AK4" s="7" t="s">
        <v>19</v>
      </c>
      <c r="AL4" s="7" t="s">
        <v>18</v>
      </c>
      <c r="AM4" s="7" t="s">
        <v>17</v>
      </c>
      <c r="AN4" s="7" t="s">
        <v>18</v>
      </c>
      <c r="AO4" s="7" t="s">
        <v>19</v>
      </c>
      <c r="AP4" s="7" t="s">
        <v>18</v>
      </c>
      <c r="AQ4" s="7" t="s">
        <v>17</v>
      </c>
      <c r="AR4" s="7" t="s">
        <v>18</v>
      </c>
      <c r="AS4" s="7" t="s">
        <v>19</v>
      </c>
      <c r="AT4" s="7" t="s">
        <v>18</v>
      </c>
      <c r="AU4" s="7" t="s">
        <v>17</v>
      </c>
      <c r="AV4" s="7" t="s">
        <v>18</v>
      </c>
      <c r="AW4" s="7" t="s">
        <v>19</v>
      </c>
      <c r="AX4" s="7" t="s">
        <v>18</v>
      </c>
      <c r="AY4" s="7" t="s">
        <v>17</v>
      </c>
      <c r="AZ4" s="7" t="s">
        <v>18</v>
      </c>
      <c r="BA4" s="7" t="s">
        <v>19</v>
      </c>
      <c r="BB4" s="8" t="s">
        <v>18</v>
      </c>
      <c r="BC4" s="7" t="s">
        <v>17</v>
      </c>
      <c r="BD4" s="7" t="s">
        <v>18</v>
      </c>
      <c r="BE4" s="7" t="s">
        <v>19</v>
      </c>
      <c r="BF4" s="8" t="s">
        <v>18</v>
      </c>
      <c r="BG4" s="7" t="s">
        <v>17</v>
      </c>
      <c r="BH4" s="7" t="s">
        <v>18</v>
      </c>
      <c r="BI4" s="7" t="s">
        <v>19</v>
      </c>
      <c r="BJ4" s="8" t="s">
        <v>18</v>
      </c>
    </row>
    <row r="5" spans="1:62" ht="15.75" customHeight="1" x14ac:dyDescent="0.25">
      <c r="A5" s="2"/>
      <c r="B5" s="11" t="s">
        <v>21</v>
      </c>
      <c r="C5" s="64">
        <f t="shared" ref="C5:C9" si="0">G5+K5</f>
        <v>11608399.75</v>
      </c>
      <c r="D5" s="13">
        <f t="shared" ref="D5:D9" si="1">C5/$C$10</f>
        <v>7.8003475997417679E-2</v>
      </c>
      <c r="E5" s="14">
        <f t="shared" ref="E5:E9" si="2">I5+M5</f>
        <v>0</v>
      </c>
      <c r="F5" s="15" t="e">
        <f t="shared" ref="F5:F9" si="3">E5/$E$10</f>
        <v>#DIV/0!</v>
      </c>
      <c r="G5" s="119">
        <f>'Summary Sheet - April 2026'!G5 + 'Summary Sheet - May 2026'!G5</f>
        <v>0</v>
      </c>
      <c r="H5" s="66"/>
      <c r="I5" s="66">
        <f>'Summary Sheet - April 2026'!I5</f>
        <v>0</v>
      </c>
      <c r="J5" s="66"/>
      <c r="K5" s="14">
        <f t="shared" ref="K5:K9" si="4">O5+S5+W5+AA5+AE5+AI5+AM5+AQ5+AU5+AY5+BC5+BG5</f>
        <v>11608399.75</v>
      </c>
      <c r="L5" s="120"/>
      <c r="M5" s="14">
        <f t="shared" ref="M5:M9" si="5">Q5+U5+Y5+AC5+AG5+AK5+AO5</f>
        <v>0</v>
      </c>
      <c r="N5" s="120"/>
      <c r="O5" s="23">
        <f>'Summary Sheet - April 2026'!O5 + 'Summary Sheet - May 2026'!O5</f>
        <v>2407580</v>
      </c>
      <c r="P5" s="17"/>
      <c r="Q5" s="23">
        <f>'Summary Sheet - April 2026'!Q5</f>
        <v>0</v>
      </c>
      <c r="R5" s="17"/>
      <c r="S5" s="23">
        <f>'Summary Sheet - April 2026'!S5 + 'Summary Sheet - May 2026'!S5</f>
        <v>0</v>
      </c>
      <c r="T5" s="17"/>
      <c r="U5" s="23">
        <f>'Summary Sheet - April 2026'!U5</f>
        <v>0</v>
      </c>
      <c r="V5" s="17"/>
      <c r="W5" s="23">
        <f>'Summary Sheet - April 2026'!W5+'Summary Sheet - May 2026'!W5</f>
        <v>2398144</v>
      </c>
      <c r="X5" s="17"/>
      <c r="Y5" s="23">
        <f>'Summary Sheet - April 2026'!Y5</f>
        <v>0</v>
      </c>
      <c r="Z5" s="17"/>
      <c r="AA5" s="23">
        <f>'Summary Sheet - April 2026'!AA5 + 'Summary Sheet - May 2026'!AA5</f>
        <v>2390099.75</v>
      </c>
      <c r="AB5" s="17"/>
      <c r="AC5" s="23">
        <f>'Summary Sheet - April 2026'!AC5</f>
        <v>0</v>
      </c>
      <c r="AD5" s="17"/>
      <c r="AE5" s="23">
        <f>'Summary Sheet - April 2026'!AE5 + 'Summary Sheet - May 2026'!AE5</f>
        <v>3237788.5</v>
      </c>
      <c r="AF5" s="17"/>
      <c r="AG5" s="23">
        <f>'Summary Sheet - April 2026'!AG5</f>
        <v>0</v>
      </c>
      <c r="AH5" s="17"/>
      <c r="AI5" s="23">
        <f>'Summary Sheet - April 2026'!AI5 + 'Summary Sheet - May 2026'!AI5</f>
        <v>0</v>
      </c>
      <c r="AJ5" s="17"/>
      <c r="AK5" s="23">
        <f>'Summary Sheet - April 2026'!AK5</f>
        <v>0</v>
      </c>
      <c r="AL5" s="17"/>
      <c r="AM5" s="23">
        <f>'Summary Sheet - April 2026'!AM5 + 'Summary Sheet - May 2026'!AM5</f>
        <v>0</v>
      </c>
      <c r="AN5" s="17"/>
      <c r="AO5" s="23">
        <f>'Summary Sheet - April 2026'!AO5</f>
        <v>0</v>
      </c>
      <c r="AP5" s="17"/>
      <c r="AQ5" s="23">
        <f>'Summary Sheet - April 2026'!AQ5 + 'Summary Sheet - May 2026'!AQ5</f>
        <v>1174787.5</v>
      </c>
      <c r="AR5" s="17"/>
      <c r="AS5" s="23">
        <f>'Summary Sheet - April 2026'!AS5</f>
        <v>0</v>
      </c>
      <c r="AT5" s="17"/>
      <c r="AU5" s="23">
        <f>'Summary Sheet - April 2026'!AU5 + 'Summary Sheet - May 2026'!AU5</f>
        <v>0</v>
      </c>
      <c r="AV5" s="23"/>
      <c r="AW5" s="23">
        <f>'Summary Sheet - April 2026'!AW5</f>
        <v>0</v>
      </c>
      <c r="AX5" s="17"/>
      <c r="AY5" s="35">
        <f>'Summary Sheet - April 2026'!AY5 + 'Summary Sheet - May 2026'!AY5</f>
        <v>0</v>
      </c>
      <c r="AZ5" s="17"/>
      <c r="BA5" s="35">
        <f>'Summary Sheet - April 2026'!BL5</f>
        <v>0</v>
      </c>
      <c r="BB5" s="24"/>
      <c r="BC5" s="35">
        <f>'Summary Sheet - April 2026'!BC5 + 'Summary Sheet - May 2026'!BC5</f>
        <v>0</v>
      </c>
      <c r="BD5" s="17"/>
      <c r="BE5" s="35">
        <f>'Summary Sheet - April 2026'!BP5</f>
        <v>0</v>
      </c>
      <c r="BF5" s="24"/>
      <c r="BG5" s="35">
        <f>'Summary Sheet - April 2026'!BG5 + 'Summary Sheet - May 2026'!BG5</f>
        <v>0</v>
      </c>
      <c r="BH5" s="17"/>
      <c r="BI5" s="35">
        <f>'Summary Sheet - April 2026'!BT5</f>
        <v>0</v>
      </c>
      <c r="BJ5" s="24"/>
    </row>
    <row r="6" spans="1:62" ht="15.75" customHeight="1" x14ac:dyDescent="0.25">
      <c r="A6" s="2"/>
      <c r="B6" s="27" t="s">
        <v>22</v>
      </c>
      <c r="C6" s="12">
        <f t="shared" si="0"/>
        <v>24020516</v>
      </c>
      <c r="D6" s="13">
        <f t="shared" si="1"/>
        <v>0.16140758275072217</v>
      </c>
      <c r="E6" s="28">
        <f t="shared" si="2"/>
        <v>0</v>
      </c>
      <c r="F6" s="15" t="e">
        <f t="shared" si="3"/>
        <v>#DIV/0!</v>
      </c>
      <c r="G6" s="119">
        <f>'Summary Sheet - April 2026'!G6 + 'Summary Sheet - May 2026'!G6</f>
        <v>0</v>
      </c>
      <c r="H6" s="121"/>
      <c r="I6" s="66">
        <f>'Summary Sheet - April 2026'!I6</f>
        <v>0</v>
      </c>
      <c r="J6" s="121"/>
      <c r="K6" s="14">
        <f t="shared" si="4"/>
        <v>24020516</v>
      </c>
      <c r="L6" s="122"/>
      <c r="M6" s="28">
        <f t="shared" si="5"/>
        <v>0</v>
      </c>
      <c r="N6" s="122"/>
      <c r="O6" s="23">
        <f>'Summary Sheet - April 2026'!O6 + 'Summary Sheet - May 2026'!O6</f>
        <v>9818016</v>
      </c>
      <c r="P6" s="30"/>
      <c r="Q6" s="23">
        <f>'Summary Sheet - April 2026'!Q6</f>
        <v>0</v>
      </c>
      <c r="R6" s="30"/>
      <c r="S6" s="23">
        <f>'Summary Sheet - April 2026'!S6 + 'Summary Sheet - May 2026'!S6</f>
        <v>0</v>
      </c>
      <c r="T6" s="30"/>
      <c r="U6" s="23">
        <f>'Summary Sheet - April 2026'!U6</f>
        <v>0</v>
      </c>
      <c r="V6" s="30"/>
      <c r="W6" s="23">
        <f>'Summary Sheet - April 2026'!W6+'Summary Sheet - May 2026'!W6</f>
        <v>1505040</v>
      </c>
      <c r="X6" s="30"/>
      <c r="Y6" s="23">
        <f>'Summary Sheet - April 2026'!Y6</f>
        <v>0</v>
      </c>
      <c r="Z6" s="30"/>
      <c r="AA6" s="23">
        <f>'Summary Sheet - April 2026'!AA6 + 'Summary Sheet - May 2026'!AA6</f>
        <v>0</v>
      </c>
      <c r="AB6" s="30"/>
      <c r="AC6" s="23">
        <f>'Summary Sheet - April 2026'!AC6</f>
        <v>0</v>
      </c>
      <c r="AD6" s="30"/>
      <c r="AE6" s="23">
        <f>'Summary Sheet - April 2026'!AE6 + 'Summary Sheet - May 2026'!AE6</f>
        <v>4194442.5</v>
      </c>
      <c r="AF6" s="30"/>
      <c r="AG6" s="23">
        <f>'Summary Sheet - April 2026'!AG6</f>
        <v>0</v>
      </c>
      <c r="AH6" s="30"/>
      <c r="AI6" s="23">
        <f>'Summary Sheet - April 2026'!AI6 + 'Summary Sheet - May 2026'!AI6</f>
        <v>0</v>
      </c>
      <c r="AJ6" s="30"/>
      <c r="AK6" s="23">
        <f>'Summary Sheet - April 2026'!AK6</f>
        <v>0</v>
      </c>
      <c r="AL6" s="30"/>
      <c r="AM6" s="23">
        <f>'Summary Sheet - April 2026'!AM6 + 'Summary Sheet - May 2026'!AM6</f>
        <v>0</v>
      </c>
      <c r="AN6" s="30"/>
      <c r="AO6" s="23">
        <f>'Summary Sheet - April 2026'!AO6</f>
        <v>0</v>
      </c>
      <c r="AP6" s="30"/>
      <c r="AQ6" s="23">
        <f>'Summary Sheet - April 2026'!AQ6 + 'Summary Sheet - May 2026'!AQ6</f>
        <v>8503017.5</v>
      </c>
      <c r="AR6" s="30"/>
      <c r="AS6" s="23">
        <f>'Summary Sheet - April 2026'!AS6</f>
        <v>0</v>
      </c>
      <c r="AT6" s="30"/>
      <c r="AU6" s="23">
        <f>'Summary Sheet - April 2026'!AU6 + 'Summary Sheet - May 2026'!AU6</f>
        <v>0</v>
      </c>
      <c r="AV6" s="30"/>
      <c r="AW6" s="23">
        <f>'Summary Sheet - April 2026'!AW6</f>
        <v>0</v>
      </c>
      <c r="AX6" s="30"/>
      <c r="AY6" s="35">
        <f>'Summary Sheet - April 2026'!AY6 + 'Summary Sheet - May 2026'!AY6</f>
        <v>0</v>
      </c>
      <c r="AZ6" s="30"/>
      <c r="BA6" s="35">
        <f>'Summary Sheet - April 2026'!BL6</f>
        <v>0</v>
      </c>
      <c r="BB6" s="34"/>
      <c r="BC6" s="35">
        <f>'Summary Sheet - April 2026'!BC6 + 'Summary Sheet - May 2026'!BC6</f>
        <v>0</v>
      </c>
      <c r="BD6" s="30"/>
      <c r="BE6" s="35">
        <f>'Summary Sheet - April 2026'!BP6</f>
        <v>0</v>
      </c>
      <c r="BF6" s="34"/>
      <c r="BG6" s="35">
        <f>'Summary Sheet - April 2026'!BG6 + 'Summary Sheet - May 2026'!BG6</f>
        <v>0</v>
      </c>
      <c r="BH6" s="30"/>
      <c r="BI6" s="35">
        <f>'Summary Sheet - April 2026'!BT6</f>
        <v>0</v>
      </c>
      <c r="BJ6" s="34"/>
    </row>
    <row r="7" spans="1:62" ht="15.75" customHeight="1" x14ac:dyDescent="0.25">
      <c r="A7" s="2"/>
      <c r="B7" s="27" t="s">
        <v>23</v>
      </c>
      <c r="C7" s="12">
        <f t="shared" si="0"/>
        <v>108260254.03999998</v>
      </c>
      <c r="D7" s="13">
        <f t="shared" si="1"/>
        <v>0.72746255378425251</v>
      </c>
      <c r="E7" s="28">
        <f t="shared" si="2"/>
        <v>0</v>
      </c>
      <c r="F7" s="15" t="e">
        <f t="shared" si="3"/>
        <v>#DIV/0!</v>
      </c>
      <c r="G7" s="119">
        <f>'Summary Sheet - April 2026'!G7 + 'Summary Sheet - May 2026'!G7</f>
        <v>0</v>
      </c>
      <c r="H7" s="121"/>
      <c r="I7" s="66">
        <f>'Summary Sheet - April 2026'!I7</f>
        <v>0</v>
      </c>
      <c r="J7" s="71"/>
      <c r="K7" s="14">
        <f t="shared" si="4"/>
        <v>108260254.03999998</v>
      </c>
      <c r="L7" s="122"/>
      <c r="M7" s="28">
        <f t="shared" si="5"/>
        <v>0</v>
      </c>
      <c r="N7" s="122"/>
      <c r="O7" s="23">
        <f>'Summary Sheet - April 2026'!O7 + 'Summary Sheet - May 2026'!O7</f>
        <v>26989558.869999997</v>
      </c>
      <c r="P7" s="30"/>
      <c r="Q7" s="23">
        <f>'Summary Sheet - April 2026'!Q7</f>
        <v>0</v>
      </c>
      <c r="R7" s="30"/>
      <c r="S7" s="23">
        <f>'Summary Sheet - April 2026'!S7 + 'Summary Sheet - May 2026'!S7</f>
        <v>1667248</v>
      </c>
      <c r="T7" s="30"/>
      <c r="U7" s="23">
        <f>'Summary Sheet - April 2026'!U7</f>
        <v>0</v>
      </c>
      <c r="V7" s="30"/>
      <c r="W7" s="23">
        <f>'Summary Sheet - April 2026'!W7+'Summary Sheet - May 2026'!W7</f>
        <v>20658266.490000002</v>
      </c>
      <c r="X7" s="30"/>
      <c r="Y7" s="23">
        <f>'Summary Sheet - April 2026'!Y7</f>
        <v>0</v>
      </c>
      <c r="Z7" s="30"/>
      <c r="AA7" s="23">
        <f>'Summary Sheet - April 2026'!AA7 + 'Summary Sheet - May 2026'!AA7</f>
        <v>16390588.15</v>
      </c>
      <c r="AB7" s="30"/>
      <c r="AC7" s="23">
        <f>'Summary Sheet - April 2026'!AC7</f>
        <v>0</v>
      </c>
      <c r="AD7" s="30"/>
      <c r="AE7" s="23">
        <f>'Summary Sheet - April 2026'!AE7 + 'Summary Sheet - May 2026'!AE7</f>
        <v>25758068.25</v>
      </c>
      <c r="AF7" s="30"/>
      <c r="AG7" s="23">
        <f>'Summary Sheet - April 2026'!AG7</f>
        <v>0</v>
      </c>
      <c r="AH7" s="30"/>
      <c r="AI7" s="23">
        <f>'Summary Sheet - April 2026'!AI7 + 'Summary Sheet - May 2026'!AI7</f>
        <v>0</v>
      </c>
      <c r="AJ7" s="30"/>
      <c r="AK7" s="23">
        <f>'Summary Sheet - April 2026'!AK7</f>
        <v>0</v>
      </c>
      <c r="AL7" s="30"/>
      <c r="AM7" s="23">
        <f>'Summary Sheet - April 2026'!AM7 + 'Summary Sheet - May 2026'!AM7</f>
        <v>970993.82000000007</v>
      </c>
      <c r="AN7" s="30"/>
      <c r="AO7" s="23">
        <f>'Summary Sheet - April 2026'!AO7</f>
        <v>0</v>
      </c>
      <c r="AP7" s="30"/>
      <c r="AQ7" s="23">
        <f>'Summary Sheet - April 2026'!AQ7 + 'Summary Sheet - May 2026'!AQ7</f>
        <v>13386679.5</v>
      </c>
      <c r="AR7" s="30"/>
      <c r="AS7" s="23">
        <f>'Summary Sheet - April 2026'!AS7</f>
        <v>0</v>
      </c>
      <c r="AT7" s="30"/>
      <c r="AU7" s="23">
        <f>'Summary Sheet - April 2026'!AU7 + 'Summary Sheet - May 2026'!AU7</f>
        <v>666826.99</v>
      </c>
      <c r="AV7" s="30"/>
      <c r="AW7" s="23">
        <f>'Summary Sheet - April 2026'!AW7</f>
        <v>0</v>
      </c>
      <c r="AX7" s="30"/>
      <c r="AY7" s="35">
        <f>'Summary Sheet - April 2026'!AY7 + 'Summary Sheet - May 2026'!AY7</f>
        <v>228077.89</v>
      </c>
      <c r="AZ7" s="30"/>
      <c r="BA7" s="35">
        <f>'Summary Sheet - April 2026'!BL7</f>
        <v>0</v>
      </c>
      <c r="BB7" s="34"/>
      <c r="BC7" s="35">
        <f>'Summary Sheet - April 2026'!BC7 + 'Summary Sheet - May 2026'!BC7</f>
        <v>306961.08</v>
      </c>
      <c r="BD7" s="30"/>
      <c r="BE7" s="35">
        <f>'Summary Sheet - April 2026'!BP7</f>
        <v>0</v>
      </c>
      <c r="BF7" s="34"/>
      <c r="BG7" s="35">
        <f>'Summary Sheet - April 2026'!BG7 + 'Summary Sheet - May 2026'!BG7</f>
        <v>1236985</v>
      </c>
      <c r="BH7" s="30"/>
      <c r="BI7" s="35">
        <f>'Summary Sheet - April 2026'!BT7</f>
        <v>0</v>
      </c>
      <c r="BJ7" s="34"/>
    </row>
    <row r="8" spans="1:62" ht="15.75" customHeight="1" x14ac:dyDescent="0.25">
      <c r="A8" s="2"/>
      <c r="B8" s="36" t="s">
        <v>24</v>
      </c>
      <c r="C8" s="37">
        <f t="shared" si="0"/>
        <v>4894605.05</v>
      </c>
      <c r="D8" s="13">
        <f t="shared" si="1"/>
        <v>3.2889650232325464E-2</v>
      </c>
      <c r="E8" s="38">
        <f t="shared" si="2"/>
        <v>0</v>
      </c>
      <c r="F8" s="15" t="e">
        <f t="shared" si="3"/>
        <v>#DIV/0!</v>
      </c>
      <c r="G8" s="119">
        <f>'Summary Sheet - April 2026'!G8 + 'Summary Sheet - May 2026'!G8</f>
        <v>0</v>
      </c>
      <c r="H8" s="71"/>
      <c r="I8" s="123">
        <f>'Summary Sheet - April 2026'!I8</f>
        <v>0</v>
      </c>
      <c r="J8" s="121"/>
      <c r="K8" s="19">
        <f t="shared" si="4"/>
        <v>4894605.05</v>
      </c>
      <c r="L8" s="124"/>
      <c r="M8" s="38">
        <f t="shared" si="5"/>
        <v>0</v>
      </c>
      <c r="N8" s="124"/>
      <c r="O8" s="23">
        <f>'Summary Sheet - April 2026'!O8 + 'Summary Sheet - May 2026'!O8</f>
        <v>1719138</v>
      </c>
      <c r="P8" s="40"/>
      <c r="Q8" s="23">
        <f>'Summary Sheet - April 2026'!Q8</f>
        <v>0</v>
      </c>
      <c r="R8" s="40"/>
      <c r="S8" s="23">
        <f>'Summary Sheet - April 2026'!S8 + 'Summary Sheet - May 2026'!S8</f>
        <v>0</v>
      </c>
      <c r="T8" s="40"/>
      <c r="U8" s="23">
        <f>'Summary Sheet - April 2026'!U8</f>
        <v>0</v>
      </c>
      <c r="V8" s="40"/>
      <c r="W8" s="23">
        <f>'Summary Sheet - April 2026'!W8+'Summary Sheet - May 2026'!W8</f>
        <v>721626</v>
      </c>
      <c r="X8" s="40"/>
      <c r="Y8" s="23">
        <f>'Summary Sheet - April 2026'!Y8</f>
        <v>0</v>
      </c>
      <c r="Z8" s="40"/>
      <c r="AA8" s="23">
        <f>'Summary Sheet - April 2026'!AA8 + 'Summary Sheet - May 2026'!AA8</f>
        <v>356972.05</v>
      </c>
      <c r="AB8" s="40"/>
      <c r="AC8" s="23">
        <f>'Summary Sheet - April 2026'!AC8</f>
        <v>0</v>
      </c>
      <c r="AD8" s="40"/>
      <c r="AE8" s="23">
        <f>'Summary Sheet - April 2026'!AE8 + 'Summary Sheet - May 2026'!AE8</f>
        <v>1028709</v>
      </c>
      <c r="AF8" s="40"/>
      <c r="AG8" s="23">
        <f>'Summary Sheet - April 2026'!AG8</f>
        <v>0</v>
      </c>
      <c r="AH8" s="40"/>
      <c r="AI8" s="23">
        <f>'Summary Sheet - April 2026'!AI8 + 'Summary Sheet - May 2026'!AI8</f>
        <v>0</v>
      </c>
      <c r="AJ8" s="40"/>
      <c r="AK8" s="23">
        <f>'Summary Sheet - April 2026'!AK8</f>
        <v>0</v>
      </c>
      <c r="AL8" s="40"/>
      <c r="AM8" s="23">
        <f>'Summary Sheet - April 2026'!AM8 + 'Summary Sheet - May 2026'!AM8</f>
        <v>0</v>
      </c>
      <c r="AN8" s="40"/>
      <c r="AO8" s="23">
        <f>'Summary Sheet - April 2026'!AO8</f>
        <v>0</v>
      </c>
      <c r="AP8" s="40"/>
      <c r="AQ8" s="23">
        <f>'Summary Sheet - April 2026'!AQ8 + 'Summary Sheet - May 2026'!AQ8</f>
        <v>1068160</v>
      </c>
      <c r="AR8" s="40"/>
      <c r="AS8" s="23">
        <f>'Summary Sheet - April 2026'!AS8</f>
        <v>0</v>
      </c>
      <c r="AT8" s="40"/>
      <c r="AU8" s="23">
        <f>'Summary Sheet - April 2026'!AU8 + 'Summary Sheet - May 2026'!AU8</f>
        <v>0</v>
      </c>
      <c r="AV8" s="40"/>
      <c r="AW8" s="23">
        <f>'Summary Sheet - April 2026'!AW8</f>
        <v>0</v>
      </c>
      <c r="AX8" s="40"/>
      <c r="AY8" s="35">
        <f>'Summary Sheet - April 2026'!AY8 + 'Summary Sheet - May 2026'!AY8</f>
        <v>0</v>
      </c>
      <c r="AZ8" s="40"/>
      <c r="BA8" s="35">
        <f>'Summary Sheet - April 2026'!BL8</f>
        <v>0</v>
      </c>
      <c r="BB8" s="43"/>
      <c r="BC8" s="35">
        <f>'Summary Sheet - April 2026'!BC8 + 'Summary Sheet - May 2026'!BC8</f>
        <v>0</v>
      </c>
      <c r="BD8" s="40"/>
      <c r="BE8" s="35">
        <f>'Summary Sheet - April 2026'!BP8</f>
        <v>0</v>
      </c>
      <c r="BF8" s="43"/>
      <c r="BG8" s="35">
        <f>'Summary Sheet - April 2026'!BG8 + 'Summary Sheet - May 2026'!BG8</f>
        <v>0</v>
      </c>
      <c r="BH8" s="40"/>
      <c r="BI8" s="35">
        <f>'Summary Sheet - April 2026'!BT8</f>
        <v>0</v>
      </c>
      <c r="BJ8" s="43"/>
    </row>
    <row r="9" spans="1:62" ht="15.75" customHeight="1" x14ac:dyDescent="0.25">
      <c r="A9" s="2"/>
      <c r="B9" s="36" t="s">
        <v>25</v>
      </c>
      <c r="C9" s="37">
        <f t="shared" si="0"/>
        <v>35231</v>
      </c>
      <c r="D9" s="13">
        <f t="shared" si="1"/>
        <v>2.3673723528215183E-4</v>
      </c>
      <c r="E9" s="38">
        <f t="shared" si="2"/>
        <v>0</v>
      </c>
      <c r="F9" s="15" t="e">
        <f t="shared" si="3"/>
        <v>#DIV/0!</v>
      </c>
      <c r="G9" s="125"/>
      <c r="H9" s="126"/>
      <c r="I9" s="127"/>
      <c r="J9" s="71"/>
      <c r="K9" s="19">
        <f t="shared" si="4"/>
        <v>35231</v>
      </c>
      <c r="L9" s="124"/>
      <c r="M9" s="38">
        <f t="shared" si="5"/>
        <v>0</v>
      </c>
      <c r="N9" s="124"/>
      <c r="O9" s="23">
        <f>'Summary Sheet - April 2026'!O9 + 'Summary Sheet - May 2026'!O9</f>
        <v>0</v>
      </c>
      <c r="P9" s="40"/>
      <c r="Q9" s="23">
        <f>'Summary Sheet - April 2026'!Q9</f>
        <v>0</v>
      </c>
      <c r="R9" s="40"/>
      <c r="S9" s="23">
        <f>'Summary Sheet - April 2026'!S9 + 'Summary Sheet - May 2026'!S9</f>
        <v>0</v>
      </c>
      <c r="T9" s="40"/>
      <c r="U9" s="23">
        <f>'Summary Sheet - April 2026'!U9</f>
        <v>0</v>
      </c>
      <c r="V9" s="40"/>
      <c r="W9" s="23">
        <f>'Summary Sheet - April 2026'!W9+'Summary Sheet - May 2026'!W9</f>
        <v>0</v>
      </c>
      <c r="X9" s="40"/>
      <c r="Y9" s="23">
        <f>'Summary Sheet - April 2026'!Y9</f>
        <v>0</v>
      </c>
      <c r="Z9" s="40"/>
      <c r="AA9" s="88">
        <f>'Summary Sheet - April 2026'!AA9 + 'Summary Sheet - May 2026'!AA9</f>
        <v>8000</v>
      </c>
      <c r="AB9" s="40"/>
      <c r="AC9" s="23">
        <f>'Summary Sheet - April 2026'!AC9</f>
        <v>0</v>
      </c>
      <c r="AD9" s="40"/>
      <c r="AE9" s="23">
        <f>'Summary Sheet - April 2026'!AE9 + 'Summary Sheet - May 2026'!AE9</f>
        <v>13731</v>
      </c>
      <c r="AF9" s="40"/>
      <c r="AG9" s="23">
        <f>'Summary Sheet - April 2026'!AG9</f>
        <v>0</v>
      </c>
      <c r="AH9" s="40"/>
      <c r="AI9" s="88">
        <f>'Summary Sheet - April 2026'!AI9 + 'Summary Sheet - May 2026'!AI9</f>
        <v>0</v>
      </c>
      <c r="AJ9" s="40"/>
      <c r="AK9" s="23">
        <f>'Summary Sheet - April 2026'!AK9</f>
        <v>0</v>
      </c>
      <c r="AL9" s="40"/>
      <c r="AM9" s="88">
        <f>'Summary Sheet - April 2026'!AM9 + 'Summary Sheet - May 2026'!AM9</f>
        <v>0</v>
      </c>
      <c r="AN9" s="40"/>
      <c r="AO9" s="23">
        <f>'Summary Sheet - April 2026'!AO9</f>
        <v>0</v>
      </c>
      <c r="AP9" s="40"/>
      <c r="AQ9" s="88">
        <f>'Summary Sheet - April 2026'!AQ9 + 'Summary Sheet - May 2026'!AQ9</f>
        <v>13500</v>
      </c>
      <c r="AR9" s="40"/>
      <c r="AS9" s="23">
        <f>'Summary Sheet - April 2026'!AS9</f>
        <v>0</v>
      </c>
      <c r="AT9" s="40"/>
      <c r="AU9" s="23">
        <f>'Summary Sheet - April 2026'!AU9 + 'Summary Sheet - May 2026'!AU9</f>
        <v>0</v>
      </c>
      <c r="AV9" s="40"/>
      <c r="AW9" s="23">
        <f>'Summary Sheet - April 2026'!AW9</f>
        <v>0</v>
      </c>
      <c r="AX9" s="40"/>
      <c r="AY9" s="35">
        <f>'Summary Sheet - April 2026'!AY9 + 'Summary Sheet - May 2026'!AY9</f>
        <v>0</v>
      </c>
      <c r="AZ9" s="40"/>
      <c r="BA9" s="35">
        <f>'Summary Sheet - April 2026'!BL9</f>
        <v>0</v>
      </c>
      <c r="BB9" s="43"/>
      <c r="BC9" s="35">
        <f>'Summary Sheet - April 2026'!BC9 + 'Summary Sheet - May 2026'!BC9</f>
        <v>0</v>
      </c>
      <c r="BD9" s="40"/>
      <c r="BE9" s="35">
        <f>'Summary Sheet - April 2026'!BP9</f>
        <v>0</v>
      </c>
      <c r="BF9" s="43"/>
      <c r="BG9" s="35">
        <f>'Summary Sheet - April 2026'!BG9 + 'Summary Sheet - May 2026'!BG9</f>
        <v>0</v>
      </c>
      <c r="BH9" s="40"/>
      <c r="BI9" s="35">
        <f>'Summary Sheet - April 2026'!BT9</f>
        <v>0</v>
      </c>
      <c r="BJ9" s="43"/>
    </row>
    <row r="10" spans="1:62" ht="15.75" customHeight="1" x14ac:dyDescent="0.25">
      <c r="A10" s="2"/>
      <c r="B10" s="5" t="s">
        <v>26</v>
      </c>
      <c r="C10" s="46">
        <f>SUM(C5:C9)</f>
        <v>148819005.83999997</v>
      </c>
      <c r="D10" s="47">
        <f>C10/C10</f>
        <v>1</v>
      </c>
      <c r="E10" s="46">
        <f>SUM(E5:E9)</f>
        <v>0</v>
      </c>
      <c r="F10" s="72" t="e">
        <f>E10/E10</f>
        <v>#DIV/0!</v>
      </c>
      <c r="G10" s="128">
        <f>SUM(G5:G8)</f>
        <v>0</v>
      </c>
      <c r="H10" s="108"/>
      <c r="I10" s="129">
        <f>SUM(I5:I8)</f>
        <v>0</v>
      </c>
      <c r="J10" s="130"/>
      <c r="K10" s="50">
        <f>SUM(K5:K9)</f>
        <v>148819005.83999997</v>
      </c>
      <c r="L10" s="49"/>
      <c r="M10" s="46">
        <f>SUM(M5:M9)</f>
        <v>0</v>
      </c>
      <c r="N10" s="49"/>
      <c r="O10" s="105">
        <f>'Summary Sheet - April 2026'!O10 + 'Summary Sheet - May 2026'!O10</f>
        <v>40934292.869999997</v>
      </c>
      <c r="P10" s="109"/>
      <c r="Q10" s="105">
        <f>'Summary Sheet - April 2026'!Q10</f>
        <v>0</v>
      </c>
      <c r="R10" s="109"/>
      <c r="S10" s="105">
        <f>'Summary Sheet - April 2026'!S10 + 'Summary Sheet - May 2026'!S10</f>
        <v>1667248</v>
      </c>
      <c r="T10" s="109"/>
      <c r="U10" s="105">
        <f>'Summary Sheet - April 2026'!U10</f>
        <v>0</v>
      </c>
      <c r="V10" s="109"/>
      <c r="W10" s="105">
        <f>'Summary Sheet - April 2026'!W10 + 'Summary Sheet - May 2026'!W10</f>
        <v>25283076.490000002</v>
      </c>
      <c r="X10" s="109"/>
      <c r="Y10" s="105">
        <f>'Summary Sheet - April 2026'!Y10</f>
        <v>0</v>
      </c>
      <c r="Z10" s="109"/>
      <c r="AA10" s="131">
        <f>'Summary Sheet - April 2026'!AA10 + 'Summary Sheet - May 2026'!AA10</f>
        <v>19145659.950000003</v>
      </c>
      <c r="AB10" s="109"/>
      <c r="AC10" s="105">
        <f>'Summary Sheet - April 2026'!AC10</f>
        <v>0</v>
      </c>
      <c r="AD10" s="109"/>
      <c r="AE10" s="105">
        <f>'Summary Sheet - April 2026'!AE10 +'Summary Sheet - May 2026'!AE10</f>
        <v>34232739.25</v>
      </c>
      <c r="AF10" s="109"/>
      <c r="AG10" s="105">
        <f>'Summary Sheet - April 2026'!AG10</f>
        <v>0</v>
      </c>
      <c r="AH10" s="132"/>
      <c r="AI10" s="133">
        <f>'Summary Sheet - April 2026'!AI10 + 'Summary Sheet - May 2026'!AI10</f>
        <v>0</v>
      </c>
      <c r="AJ10" s="134"/>
      <c r="AK10" s="105">
        <f>'Summary Sheet - April 2026'!AK10</f>
        <v>0</v>
      </c>
      <c r="AL10" s="132"/>
      <c r="AM10" s="133">
        <f>'Summary Sheet - April 2026'!AM10 + 'Summary Sheet - May 2026'!AM10</f>
        <v>970993.82000000007</v>
      </c>
      <c r="AN10" s="134"/>
      <c r="AO10" s="105">
        <f>'Summary Sheet - April 2026'!AO10</f>
        <v>0</v>
      </c>
      <c r="AP10" s="132"/>
      <c r="AQ10" s="48">
        <f>'Summary Sheet - April 2026'!AQ10 + 'Summary Sheet - May 2026'!AQ10</f>
        <v>24146144.5</v>
      </c>
      <c r="AR10" s="134"/>
      <c r="AS10" s="105">
        <f>'Summary Sheet - April 2026'!AS10</f>
        <v>0</v>
      </c>
      <c r="AT10" s="109"/>
      <c r="AU10" s="48">
        <f>'Summary Sheet - April 2026'!AU10 + 'Summary Sheet - May 2026'!AU10</f>
        <v>666826.99</v>
      </c>
      <c r="AV10" s="49"/>
      <c r="AW10" s="48">
        <f>SUM(AW5:AW8)</f>
        <v>0</v>
      </c>
      <c r="AX10" s="49"/>
      <c r="AY10" s="48">
        <f>'Summary Sheet - April 2026'!AY10 + 'Summary Sheet - May 2026'!AY10</f>
        <v>228077.89</v>
      </c>
      <c r="AZ10" s="49"/>
      <c r="BA10" s="48">
        <f>SUM(BA5:BA8)</f>
        <v>0</v>
      </c>
      <c r="BB10" s="53"/>
      <c r="BC10" s="48">
        <f>SUM(BC5:BC8)</f>
        <v>306961.08</v>
      </c>
      <c r="BD10" s="49"/>
      <c r="BE10" s="48">
        <f>SUM(BE5:BE8)</f>
        <v>0</v>
      </c>
      <c r="BF10" s="53"/>
      <c r="BG10" s="48">
        <f>SUM(BG5:BG8)</f>
        <v>1236985</v>
      </c>
      <c r="BH10" s="49"/>
      <c r="BI10" s="48">
        <f>SUM(BI5:BI8)</f>
        <v>0</v>
      </c>
      <c r="BJ10" s="53"/>
    </row>
    <row r="11" spans="1:62" ht="15.75" customHeight="1" x14ac:dyDescent="0.25">
      <c r="A11" s="2"/>
      <c r="B11" s="11"/>
      <c r="C11" s="135"/>
      <c r="D11" s="120"/>
      <c r="E11" s="120"/>
      <c r="F11" s="136"/>
      <c r="G11" s="119"/>
      <c r="H11" s="66"/>
      <c r="I11" s="66"/>
      <c r="J11" s="66"/>
      <c r="K11" s="120"/>
      <c r="L11" s="120"/>
      <c r="M11" s="120"/>
      <c r="N11" s="120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24"/>
      <c r="BC11" s="17"/>
      <c r="BD11" s="17"/>
      <c r="BE11" s="17"/>
      <c r="BF11" s="24"/>
      <c r="BG11" s="17"/>
      <c r="BH11" s="17"/>
      <c r="BI11" s="17"/>
      <c r="BJ11" s="24"/>
    </row>
    <row r="12" spans="1:62" ht="15.75" customHeight="1" x14ac:dyDescent="0.25">
      <c r="A12" s="2"/>
      <c r="B12" s="27" t="s">
        <v>28</v>
      </c>
      <c r="C12" s="12">
        <f t="shared" ref="C12:C13" si="6">G12+K12</f>
        <v>55832433.90313179</v>
      </c>
      <c r="D12" s="67">
        <f t="shared" ref="D12:D13" si="7">C12/$C$10</f>
        <v>0.37517005027677047</v>
      </c>
      <c r="E12" s="28">
        <f t="shared" ref="E12:E13" si="8">I12+M12</f>
        <v>0</v>
      </c>
      <c r="F12" s="137"/>
      <c r="G12" s="138">
        <f>'Summary Sheet - April 2026'!G12 + 'Summary Sheet - May 2026'!G12</f>
        <v>0</v>
      </c>
      <c r="H12" s="121"/>
      <c r="I12" s="121">
        <f>'Summary Sheet - April 2026'!I12</f>
        <v>0</v>
      </c>
      <c r="J12" s="121"/>
      <c r="K12" s="14">
        <f t="shared" ref="K12:K13" si="9">O12+S12+W12+AA12+AE12+AI12+AM12+AQ12+AU12+AY12+BC12+BG12</f>
        <v>55832433.90313179</v>
      </c>
      <c r="L12" s="122"/>
      <c r="M12" s="28">
        <f t="shared" ref="M12:M14" si="10">Q12+U12+Y12+AC12+AG12+AK12+AO12</f>
        <v>0</v>
      </c>
      <c r="N12" s="122"/>
      <c r="O12" s="69">
        <f>'Summary Sheet - April 2026'!O12 +'Summary Sheet - May 2026'!O12</f>
        <v>14259872.55125542</v>
      </c>
      <c r="P12" s="30"/>
      <c r="Q12" s="35">
        <f>'Summary Sheet - April 2026'!Q12</f>
        <v>0</v>
      </c>
      <c r="R12" s="30"/>
      <c r="S12" s="69">
        <f>'Summary Sheet - April 2026'!S12 + 'Summary Sheet - May 2026'!S12</f>
        <v>573413.45334620704</v>
      </c>
      <c r="T12" s="30"/>
      <c r="U12" s="35">
        <f>'Summary Sheet - April 2026'!U12</f>
        <v>0</v>
      </c>
      <c r="V12" s="30"/>
      <c r="W12" s="35">
        <f>'Summary Sheet - April 2026'!W12 + 'Summary Sheet - May 2026'!W12</f>
        <v>9869489.6889233142</v>
      </c>
      <c r="X12" s="30"/>
      <c r="Y12" s="35">
        <f>'Summary Sheet - April 2026'!Y12</f>
        <v>0</v>
      </c>
      <c r="Z12" s="30"/>
      <c r="AA12" s="35">
        <f>'Summary Sheet - April 2026'!AA12 + 'Summary Sheet - May 2026'!AA12</f>
        <v>6943290.0906891581</v>
      </c>
      <c r="AB12" s="30"/>
      <c r="AC12" s="35">
        <f>'Summary Sheet - April 2026'!AC12</f>
        <v>0</v>
      </c>
      <c r="AD12" s="30"/>
      <c r="AE12" s="35">
        <f>'Summary Sheet - April 2026'!AE12 + 'Summary Sheet - May 2026'!AE12</f>
        <v>11423137.543771431</v>
      </c>
      <c r="AF12" s="30"/>
      <c r="AG12" s="35">
        <f>'Summary Sheet - April 2026'!AG12</f>
        <v>0</v>
      </c>
      <c r="AH12" s="30"/>
      <c r="AI12" s="121">
        <f>'Summary Sheet - April 2026'!AI12 + 'Summary Sheet - May 2026'!AI12</f>
        <v>0</v>
      </c>
      <c r="AJ12" s="30"/>
      <c r="AK12" s="121">
        <f>'Summary Sheet - April 2026'!AK12</f>
        <v>0</v>
      </c>
      <c r="AL12" s="30"/>
      <c r="AM12" s="35">
        <f>'Summary Sheet - April 2026'!AM12 + 'Summary Sheet - May 2026'!AM12</f>
        <v>1697483.4840839258</v>
      </c>
      <c r="AN12" s="30"/>
      <c r="AO12" s="121">
        <f>'Summary Sheet - April 2026'!AO12</f>
        <v>0</v>
      </c>
      <c r="AP12" s="30"/>
      <c r="AQ12" s="35">
        <f>'Summary Sheet - April 2026'!AQ12 + 'Summary Sheet - May 2026'!AQ12</f>
        <v>9435972.9880647045</v>
      </c>
      <c r="AR12" s="30"/>
      <c r="AS12" s="35">
        <f>'Summary Sheet - April 2026'!AS12</f>
        <v>0</v>
      </c>
      <c r="AT12" s="30"/>
      <c r="AU12" s="35">
        <f>'Summary Sheet - April 2026'!AU12 + 'Summary Sheet - May 2026'!AU12</f>
        <v>438745.12177845242</v>
      </c>
      <c r="AV12" s="35"/>
      <c r="AW12" s="35">
        <f>'Summary Sheet - April 2026'!AW12</f>
        <v>0</v>
      </c>
      <c r="AX12" s="35"/>
      <c r="AY12" s="35">
        <f>'Summary Sheet - April 2026'!AY12 + 'Summary Sheet - May 2026'!AY12</f>
        <v>339203.0053802667</v>
      </c>
      <c r="AZ12" s="30"/>
      <c r="BA12" s="35">
        <f>'Summary Sheet - April 2026'!BL12</f>
        <v>0</v>
      </c>
      <c r="BB12" s="34"/>
      <c r="BC12" s="35">
        <f>'Summary Sheet - April 2026'!BC12 + 'Summary Sheet - May 2026'!BC12</f>
        <v>495419.73495670338</v>
      </c>
      <c r="BD12" s="30"/>
      <c r="BE12" s="35">
        <f>'Summary Sheet - April 2026'!BP12</f>
        <v>0</v>
      </c>
      <c r="BF12" s="34"/>
      <c r="BG12" s="35">
        <f>'Summary Sheet - April 2026'!BG12 + 'Summary Sheet - May 2026'!BG12</f>
        <v>356406.24088220211</v>
      </c>
      <c r="BH12" s="30"/>
      <c r="BI12" s="35">
        <f>'Summary Sheet - April 2026'!BT12</f>
        <v>0</v>
      </c>
      <c r="BJ12" s="34"/>
    </row>
    <row r="13" spans="1:62" ht="15.75" customHeight="1" x14ac:dyDescent="0.25">
      <c r="A13" s="2"/>
      <c r="B13" s="36" t="s">
        <v>29</v>
      </c>
      <c r="C13" s="37">
        <f t="shared" si="6"/>
        <v>1899950.22</v>
      </c>
      <c r="D13" s="67">
        <f t="shared" si="7"/>
        <v>1.2766851984233094E-2</v>
      </c>
      <c r="E13" s="38">
        <f t="shared" si="8"/>
        <v>0</v>
      </c>
      <c r="F13" s="139"/>
      <c r="G13" s="138">
        <f>'Summary Sheet - April 2026'!G13 + 'Summary Sheet - May 2026'!G13</f>
        <v>0</v>
      </c>
      <c r="H13" s="71"/>
      <c r="I13" s="71">
        <f>'Summary Sheet - April 2026'!I13</f>
        <v>0</v>
      </c>
      <c r="J13" s="71"/>
      <c r="K13" s="14">
        <f t="shared" si="9"/>
        <v>1899950.22</v>
      </c>
      <c r="L13" s="124"/>
      <c r="M13" s="38">
        <f t="shared" si="10"/>
        <v>0</v>
      </c>
      <c r="N13" s="124"/>
      <c r="O13" s="69">
        <f>'Summary Sheet - April 2026'!O13 +'Summary Sheet - May 2026'!O13</f>
        <v>106548</v>
      </c>
      <c r="P13" s="40"/>
      <c r="Q13" s="35">
        <f>'Summary Sheet - April 2026'!Q13</f>
        <v>0</v>
      </c>
      <c r="R13" s="40"/>
      <c r="S13" s="69">
        <f>'Summary Sheet - April 2026'!S13 + 'Summary Sheet - May 2026'!S13</f>
        <v>73214</v>
      </c>
      <c r="T13" s="40"/>
      <c r="U13" s="35">
        <f>'Summary Sheet - April 2026'!U13</f>
        <v>0</v>
      </c>
      <c r="V13" s="40"/>
      <c r="W13" s="35">
        <f>'Summary Sheet - April 2026'!W13 + 'Summary Sheet - May 2026'!W13</f>
        <v>366401.4</v>
      </c>
      <c r="X13" s="40"/>
      <c r="Y13" s="35">
        <f>'Summary Sheet - April 2026'!Y13</f>
        <v>0</v>
      </c>
      <c r="Z13" s="40"/>
      <c r="AA13" s="35">
        <f>'Summary Sheet - April 2026'!AA13 + 'Summary Sheet - May 2026'!AA13</f>
        <v>442124</v>
      </c>
      <c r="AB13" s="40"/>
      <c r="AC13" s="69">
        <f>'Summary Sheet - April 2026'!AC13</f>
        <v>0</v>
      </c>
      <c r="AD13" s="40"/>
      <c r="AE13" s="35">
        <f>'Summary Sheet - April 2026'!AE13 + 'Summary Sheet - May 2026'!AE13</f>
        <v>512245.02</v>
      </c>
      <c r="AF13" s="40"/>
      <c r="AG13" s="69">
        <f>'Summary Sheet - April 2026'!AG13</f>
        <v>0</v>
      </c>
      <c r="AH13" s="40"/>
      <c r="AI13" s="121">
        <f>'Summary Sheet - April 2026'!AI13 + 'Summary Sheet - May 2026'!AI13</f>
        <v>1030</v>
      </c>
      <c r="AJ13" s="40"/>
      <c r="AK13" s="121">
        <f>'Summary Sheet - April 2026'!AK13</f>
        <v>0</v>
      </c>
      <c r="AL13" s="40"/>
      <c r="AM13" s="35">
        <f>'Summary Sheet - April 2026'!AM13 + 'Summary Sheet - May 2026'!AM13</f>
        <v>203076.5</v>
      </c>
      <c r="AN13" s="40"/>
      <c r="AO13" s="121">
        <f>'Summary Sheet - April 2026'!AO13</f>
        <v>0</v>
      </c>
      <c r="AP13" s="40"/>
      <c r="AQ13" s="35">
        <f>'Summary Sheet - April 2026'!AQ13 + 'Summary Sheet - May 2026'!AQ13</f>
        <v>85375.3</v>
      </c>
      <c r="AR13" s="40"/>
      <c r="AS13" s="35">
        <f>'Summary Sheet - April 2026'!AS13</f>
        <v>0</v>
      </c>
      <c r="AT13" s="40"/>
      <c r="AU13" s="35">
        <f>'Summary Sheet - April 2026'!AU13 + 'Summary Sheet - May 2026'!AU13</f>
        <v>8383</v>
      </c>
      <c r="AV13" s="40"/>
      <c r="AW13" s="35">
        <f>'Summary Sheet - April 2026'!AW13</f>
        <v>0</v>
      </c>
      <c r="AX13" s="40"/>
      <c r="AY13" s="35">
        <f>'Summary Sheet - April 2026'!AY13 + 'Summary Sheet - May 2026'!AY13</f>
        <v>9422</v>
      </c>
      <c r="AZ13" s="40"/>
      <c r="BA13" s="35">
        <f>'Summary Sheet - April 2026'!BL13</f>
        <v>0</v>
      </c>
      <c r="BB13" s="43"/>
      <c r="BC13" s="35">
        <f>'Summary Sheet - April 2026'!BC13 + 'Summary Sheet - May 2026'!BC13</f>
        <v>5647</v>
      </c>
      <c r="BD13" s="40"/>
      <c r="BE13" s="69">
        <f>'Summary Sheet - April 2026'!BP13</f>
        <v>0</v>
      </c>
      <c r="BF13" s="43"/>
      <c r="BG13" s="35">
        <f>'Summary Sheet - April 2026'!BG13 + 'Summary Sheet - May 2026'!BG13</f>
        <v>86484</v>
      </c>
      <c r="BH13" s="40"/>
      <c r="BI13" s="69">
        <f>'Summary Sheet - April 2026'!BT13</f>
        <v>0</v>
      </c>
      <c r="BJ13" s="43"/>
    </row>
    <row r="14" spans="1:62" ht="15.75" customHeight="1" x14ac:dyDescent="0.25">
      <c r="A14" s="2"/>
      <c r="B14" s="5" t="s">
        <v>30</v>
      </c>
      <c r="C14" s="46">
        <f>SUM(C12:C13)</f>
        <v>57732384.123131789</v>
      </c>
      <c r="D14" s="47">
        <f>C14/C10</f>
        <v>0.38793690226100358</v>
      </c>
      <c r="E14" s="48">
        <f>E12+E13</f>
        <v>0</v>
      </c>
      <c r="F14" s="53"/>
      <c r="G14" s="128">
        <f>G12+G13</f>
        <v>0</v>
      </c>
      <c r="H14" s="129"/>
      <c r="I14" s="140">
        <f>'Summary Sheet - April 2026'!I14</f>
        <v>0</v>
      </c>
      <c r="J14" s="128"/>
      <c r="K14" s="48">
        <f>SUM(K12:K13)</f>
        <v>57732384.123131789</v>
      </c>
      <c r="L14" s="49"/>
      <c r="M14" s="48">
        <f t="shared" si="10"/>
        <v>0</v>
      </c>
      <c r="N14" s="49"/>
      <c r="O14" s="105">
        <f>O12+O13</f>
        <v>14366420.55125542</v>
      </c>
      <c r="P14" s="109"/>
      <c r="Q14" s="35">
        <f>'Summary Sheet - April 2026'!Q14</f>
        <v>0</v>
      </c>
      <c r="R14" s="109"/>
      <c r="S14" s="105">
        <f>S12+S13</f>
        <v>646627.45334620704</v>
      </c>
      <c r="T14" s="109"/>
      <c r="U14" s="35">
        <f>'Summary Sheet - April 2026'!U14</f>
        <v>0</v>
      </c>
      <c r="V14" s="109"/>
      <c r="W14" s="105">
        <f>W12+W13</f>
        <v>10235891.088923315</v>
      </c>
      <c r="X14" s="109"/>
      <c r="Y14" s="35">
        <f>'Summary Sheet - April 2026'!Y14</f>
        <v>0</v>
      </c>
      <c r="Z14" s="109"/>
      <c r="AA14" s="105">
        <f>AA12+AA13</f>
        <v>7385414.0906891581</v>
      </c>
      <c r="AB14" s="132"/>
      <c r="AC14" s="133">
        <f>'Summary Sheet - April 2026'!AC14</f>
        <v>0</v>
      </c>
      <c r="AD14" s="134"/>
      <c r="AE14" s="105">
        <f>AE12+AE13</f>
        <v>11935382.56377143</v>
      </c>
      <c r="AF14" s="132"/>
      <c r="AG14" s="133">
        <f>'Summary Sheet - April 2026'!AG14</f>
        <v>0</v>
      </c>
      <c r="AH14" s="134"/>
      <c r="AI14" s="105">
        <f>AI12+AI13</f>
        <v>1030</v>
      </c>
      <c r="AJ14" s="109"/>
      <c r="AK14" s="105">
        <f>AK12+AK13</f>
        <v>0</v>
      </c>
      <c r="AL14" s="109"/>
      <c r="AM14" s="105">
        <f>AM12+AM13</f>
        <v>1900559.9840839258</v>
      </c>
      <c r="AN14" s="109"/>
      <c r="AO14" s="105">
        <f>AO12+AO13</f>
        <v>0</v>
      </c>
      <c r="AP14" s="109"/>
      <c r="AQ14" s="48">
        <f>AQ12+AQ13</f>
        <v>9521348.2880647052</v>
      </c>
      <c r="AR14" s="49"/>
      <c r="AS14" s="48">
        <f>AS12+AS13</f>
        <v>0</v>
      </c>
      <c r="AT14" s="49"/>
      <c r="AU14" s="48">
        <f>AU12+AU13</f>
        <v>447128.12177845242</v>
      </c>
      <c r="AV14" s="49"/>
      <c r="AW14" s="48">
        <f>AW12+AW13</f>
        <v>0</v>
      </c>
      <c r="AX14" s="49"/>
      <c r="AY14" s="48">
        <f>AY12+AY13</f>
        <v>348625.0053802667</v>
      </c>
      <c r="AZ14" s="49"/>
      <c r="BA14" s="48">
        <f>BA12+BA13</f>
        <v>0</v>
      </c>
      <c r="BB14" s="53"/>
      <c r="BC14" s="48">
        <f>BC12+BC13</f>
        <v>501066.73495670338</v>
      </c>
      <c r="BD14" s="49"/>
      <c r="BE14" s="48">
        <f>BE12+BE13</f>
        <v>0</v>
      </c>
      <c r="BF14" s="53"/>
      <c r="BG14" s="48">
        <f>BG12+BG13</f>
        <v>442890.24088220211</v>
      </c>
      <c r="BH14" s="49"/>
      <c r="BI14" s="48">
        <f>BI12+BI13</f>
        <v>0</v>
      </c>
      <c r="BJ14" s="53"/>
    </row>
    <row r="15" spans="1:62" ht="15.75" customHeight="1" x14ac:dyDescent="0.25">
      <c r="A15" s="2"/>
      <c r="B15" s="78" t="s">
        <v>31</v>
      </c>
      <c r="C15" s="79"/>
      <c r="D15" s="80"/>
      <c r="E15" s="80"/>
      <c r="F15" s="82"/>
      <c r="G15" s="125"/>
      <c r="H15" s="84"/>
      <c r="I15" s="84"/>
      <c r="J15" s="84"/>
      <c r="K15" s="81"/>
      <c r="L15" s="80"/>
      <c r="M15" s="80"/>
      <c r="N15" s="80"/>
      <c r="O15" s="88"/>
      <c r="P15" s="87"/>
      <c r="Q15" s="87"/>
      <c r="R15" s="87"/>
      <c r="S15" s="88"/>
      <c r="T15" s="87"/>
      <c r="U15" s="87"/>
      <c r="V15" s="87"/>
      <c r="W15" s="35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8"/>
      <c r="AV15" s="88"/>
      <c r="AW15" s="88"/>
      <c r="AX15" s="87"/>
      <c r="AY15" s="88"/>
      <c r="AZ15" s="88"/>
      <c r="BA15" s="88"/>
      <c r="BB15" s="89"/>
      <c r="BC15" s="88"/>
      <c r="BD15" s="88"/>
      <c r="BE15" s="88"/>
      <c r="BF15" s="89"/>
      <c r="BG15" s="88"/>
      <c r="BH15" s="88"/>
      <c r="BI15" s="88"/>
      <c r="BJ15" s="89"/>
    </row>
    <row r="16" spans="1:62" ht="15.75" customHeight="1" x14ac:dyDescent="0.25">
      <c r="A16" s="2"/>
      <c r="B16" s="141" t="s">
        <v>32</v>
      </c>
      <c r="C16" s="142">
        <f>C10-C14</f>
        <v>91086621.716868192</v>
      </c>
      <c r="D16" s="143">
        <f>C16/C10</f>
        <v>0.61206309773899648</v>
      </c>
      <c r="E16" s="144">
        <f>E10-E14</f>
        <v>0</v>
      </c>
      <c r="F16" s="145"/>
      <c r="G16" s="146">
        <f>G10-G14</f>
        <v>0</v>
      </c>
      <c r="H16" s="147"/>
      <c r="I16" s="147">
        <f>I10-I14</f>
        <v>0</v>
      </c>
      <c r="J16" s="147"/>
      <c r="K16" s="144">
        <f>K10-K14</f>
        <v>91086621.716868192</v>
      </c>
      <c r="L16" s="148"/>
      <c r="M16" s="144">
        <f>M10-M14</f>
        <v>0</v>
      </c>
      <c r="N16" s="148"/>
      <c r="O16" s="144">
        <f>O10-O14-O15</f>
        <v>26567872.318744577</v>
      </c>
      <c r="P16" s="148"/>
      <c r="Q16" s="144">
        <f>Q10-Q14-Q15</f>
        <v>0</v>
      </c>
      <c r="R16" s="148"/>
      <c r="S16" s="144">
        <f>S10-S14-S15</f>
        <v>1020620.546653793</v>
      </c>
      <c r="T16" s="148"/>
      <c r="U16" s="144">
        <f>U10-U14-U15</f>
        <v>0</v>
      </c>
      <c r="V16" s="148"/>
      <c r="W16" s="144">
        <f>W10-W14-W15</f>
        <v>15047185.401076687</v>
      </c>
      <c r="X16" s="148"/>
      <c r="Y16" s="144">
        <f>Y10-Y14-Y15</f>
        <v>0</v>
      </c>
      <c r="Z16" s="148"/>
      <c r="AA16" s="144">
        <f>AA10-AA14-AA15</f>
        <v>11760245.859310845</v>
      </c>
      <c r="AB16" s="148"/>
      <c r="AC16" s="144">
        <f>AC10-AC14-AC15</f>
        <v>0</v>
      </c>
      <c r="AD16" s="148"/>
      <c r="AE16" s="144">
        <f>AE10-AE14-AE15</f>
        <v>22297356.68622857</v>
      </c>
      <c r="AF16" s="148"/>
      <c r="AG16" s="144">
        <f>AG10-AG14-AG15</f>
        <v>0</v>
      </c>
      <c r="AH16" s="148"/>
      <c r="AI16" s="144">
        <f>AI10-AI14-AI15</f>
        <v>-1030</v>
      </c>
      <c r="AJ16" s="148"/>
      <c r="AK16" s="144">
        <f>'Summary Sheet - April 2026'!AK17</f>
        <v>0</v>
      </c>
      <c r="AL16" s="148"/>
      <c r="AM16" s="144">
        <f>AM10-AM14-AM15</f>
        <v>-929566.16408392577</v>
      </c>
      <c r="AN16" s="148"/>
      <c r="AO16" s="144">
        <f>'Summary Sheet - April 2026'!AO17</f>
        <v>0</v>
      </c>
      <c r="AP16" s="148"/>
      <c r="AQ16" s="144">
        <f>AQ10-AQ14-AQ15</f>
        <v>14624796.211935295</v>
      </c>
      <c r="AR16" s="148"/>
      <c r="AS16" s="144">
        <f>'Summary Sheet - April 2026'!AS17</f>
        <v>0</v>
      </c>
      <c r="AT16" s="148"/>
      <c r="AU16" s="144">
        <f>AU10-AU14-AU15</f>
        <v>219698.86822154757</v>
      </c>
      <c r="AV16" s="148"/>
      <c r="AW16" s="144">
        <f>AW10-AW14</f>
        <v>0</v>
      </c>
      <c r="AX16" s="148"/>
      <c r="AY16" s="144">
        <f>AY10-AY14-AY15</f>
        <v>-120547.11538026668</v>
      </c>
      <c r="AZ16" s="148"/>
      <c r="BA16" s="144">
        <f>BA10-BA14</f>
        <v>0</v>
      </c>
      <c r="BB16" s="145"/>
      <c r="BC16" s="144">
        <f>BC10-BC14-BC15</f>
        <v>-194105.65495670337</v>
      </c>
      <c r="BD16" s="148"/>
      <c r="BE16" s="144">
        <f>BE10-BE14</f>
        <v>0</v>
      </c>
      <c r="BF16" s="145"/>
      <c r="BG16" s="144">
        <f>BG10-BG14-BG15</f>
        <v>794094.75911779795</v>
      </c>
      <c r="BH16" s="148"/>
      <c r="BI16" s="144">
        <f>BI10-BI14</f>
        <v>0</v>
      </c>
      <c r="BJ16" s="145"/>
    </row>
    <row r="17" spans="1:62" ht="15.75" customHeight="1" x14ac:dyDescent="0.25">
      <c r="A17" s="2"/>
      <c r="B17" s="11"/>
      <c r="C17" s="135"/>
      <c r="D17" s="120"/>
      <c r="E17" s="120"/>
      <c r="F17" s="136"/>
      <c r="G17" s="119"/>
      <c r="H17" s="66"/>
      <c r="I17" s="66"/>
      <c r="J17" s="66"/>
      <c r="K17" s="120"/>
      <c r="L17" s="120"/>
      <c r="M17" s="120"/>
      <c r="N17" s="120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24"/>
      <c r="BC17" s="17"/>
      <c r="BD17" s="17"/>
      <c r="BE17" s="17"/>
      <c r="BF17" s="24"/>
      <c r="BG17" s="17"/>
      <c r="BH17" s="17"/>
      <c r="BI17" s="17"/>
      <c r="BJ17" s="24"/>
    </row>
    <row r="18" spans="1:62" ht="15.75" customHeight="1" x14ac:dyDescent="0.25">
      <c r="A18" s="2"/>
      <c r="B18" s="27" t="s">
        <v>33</v>
      </c>
      <c r="C18" s="12">
        <f t="shared" ref="C18:C27" si="11">G18+K18</f>
        <v>3971287.5100000002</v>
      </c>
      <c r="D18" s="67">
        <f t="shared" ref="D18:D27" si="12">C18/$C$10</f>
        <v>2.6685351696742667E-2</v>
      </c>
      <c r="E18" s="28">
        <f t="shared" ref="E18:E28" si="13">I18+M18</f>
        <v>0</v>
      </c>
      <c r="F18" s="137"/>
      <c r="G18" s="138">
        <f>'Summary Sheet - April 2026'!G19 + 'Summary Sheet - May 2026'!G19</f>
        <v>128002.51333333332</v>
      </c>
      <c r="H18" s="121"/>
      <c r="I18" s="121">
        <f>'Summary Sheet - April 2026'!I19</f>
        <v>0</v>
      </c>
      <c r="J18" s="121"/>
      <c r="K18" s="14">
        <f t="shared" ref="K18:K27" si="14">O18+S18+W18+AA18+AE18+AI18+AM18+AQ18+AU18+AY18+BC18+BG18</f>
        <v>3843284.9966666671</v>
      </c>
      <c r="L18" s="122"/>
      <c r="M18" s="28">
        <f t="shared" ref="M18:M27" si="15">Q18+U18+Y18+AC18+AG18+AK18+AO18</f>
        <v>0</v>
      </c>
      <c r="N18" s="122"/>
      <c r="O18" s="35">
        <f>'Summary Sheet - April 2026'!O19 + 'Summary Sheet - May 2026'!O19</f>
        <v>949580.56333333347</v>
      </c>
      <c r="P18" s="30"/>
      <c r="Q18" s="35">
        <f>'Summary Sheet - April 2026'!Q19</f>
        <v>0</v>
      </c>
      <c r="R18" s="30"/>
      <c r="S18" s="35">
        <f>'Summary Sheet - April 2026'!S19 +'Summary Sheet - May 2026'!S19</f>
        <v>91280.29</v>
      </c>
      <c r="T18" s="30"/>
      <c r="U18" s="35">
        <f>'Summary Sheet - April 2026'!U19</f>
        <v>0</v>
      </c>
      <c r="V18" s="30"/>
      <c r="W18" s="35">
        <f>'Summary Sheet - April 2026'!W19 + 'Summary Sheet - May 2026'!W19</f>
        <v>750009.87333333329</v>
      </c>
      <c r="X18" s="30"/>
      <c r="Y18" s="35">
        <f>'Summary Sheet - April 2026'!Y19</f>
        <v>0</v>
      </c>
      <c r="Z18" s="30"/>
      <c r="AA18" s="35">
        <f>'Summary Sheet - April 2026'!AA19 + 'Summary Sheet - May 2026'!AA19</f>
        <v>483204.82333333336</v>
      </c>
      <c r="AB18" s="30"/>
      <c r="AC18" s="35">
        <f>'Summary Sheet - April 2026'!AC19</f>
        <v>0</v>
      </c>
      <c r="AD18" s="30"/>
      <c r="AE18" s="35">
        <f>'Summary Sheet - April 2026'!AE19 + 'Summary Sheet - May 2026'!AE19</f>
        <v>989178.45333333337</v>
      </c>
      <c r="AF18" s="30"/>
      <c r="AG18" s="35">
        <f>'Summary Sheet - April 2026'!AG19</f>
        <v>0</v>
      </c>
      <c r="AH18" s="30"/>
      <c r="AI18" s="35">
        <f>'Summary Sheet - April 2026'!AI19 + 'Summary Sheet - May 2026'!AI19</f>
        <v>35514</v>
      </c>
      <c r="AJ18" s="30"/>
      <c r="AK18" s="35">
        <f>'Summary Sheet - April 2026'!AK19</f>
        <v>0</v>
      </c>
      <c r="AL18" s="30"/>
      <c r="AM18" s="35">
        <f>'Summary Sheet - April 2026'!AM19 + 'Summary Sheet - May 2026'!AM19</f>
        <v>71198.86</v>
      </c>
      <c r="AN18" s="30"/>
      <c r="AO18" s="35">
        <f>'Summary Sheet - April 2026'!AO19</f>
        <v>0</v>
      </c>
      <c r="AP18" s="30"/>
      <c r="AQ18" s="35">
        <f>'Summary Sheet - April 2026'!AQ19 + 'Summary Sheet - May 2026'!AQ19</f>
        <v>467605.1333333333</v>
      </c>
      <c r="AR18" s="30"/>
      <c r="AS18" s="35">
        <f>'Summary Sheet - April 2026'!AS19</f>
        <v>0</v>
      </c>
      <c r="AT18" s="30"/>
      <c r="AU18" s="35">
        <f>'Summary Sheet - April 2026'!AU19 + 'Summary Sheet - May 2026'!AU19</f>
        <v>0</v>
      </c>
      <c r="AV18" s="30"/>
      <c r="AW18" s="35">
        <f>'Summary Sheet - April 2026'!AW19</f>
        <v>0</v>
      </c>
      <c r="AX18" s="30"/>
      <c r="AY18" s="35">
        <f>'Summary Sheet - April 2026'!AY19 + 'Summary Sheet - May 2026'!AY19</f>
        <v>0</v>
      </c>
      <c r="AZ18" s="30"/>
      <c r="BA18" s="30">
        <f>'Summary Sheet - April 2026'!BL19</f>
        <v>0</v>
      </c>
      <c r="BB18" s="34"/>
      <c r="BC18" s="35">
        <f>'Summary Sheet - April 2026'!BC19 + 'Summary Sheet - May 2026'!BC19</f>
        <v>0</v>
      </c>
      <c r="BD18" s="30"/>
      <c r="BE18" s="30">
        <f>'Summary Sheet - April 2026'!BP19</f>
        <v>0</v>
      </c>
      <c r="BF18" s="34"/>
      <c r="BG18" s="35">
        <f>'Summary Sheet - April 2026'!BG19 + 'Summary Sheet - May 2026'!BG19</f>
        <v>5713</v>
      </c>
      <c r="BH18" s="30"/>
      <c r="BI18" s="30">
        <f>'Summary Sheet - April 2026'!BT19</f>
        <v>0</v>
      </c>
      <c r="BJ18" s="34"/>
    </row>
    <row r="19" spans="1:62" ht="15.75" customHeight="1" x14ac:dyDescent="0.25">
      <c r="A19" s="2"/>
      <c r="B19" s="27" t="s">
        <v>34</v>
      </c>
      <c r="C19" s="12">
        <f t="shared" si="11"/>
        <v>1618158.4</v>
      </c>
      <c r="D19" s="67">
        <f t="shared" si="12"/>
        <v>1.087333160752151E-2</v>
      </c>
      <c r="E19" s="28">
        <f t="shared" si="13"/>
        <v>53100</v>
      </c>
      <c r="F19" s="137"/>
      <c r="G19" s="138">
        <f>'Summary Sheet - April 2026'!G20 +'Summary Sheet - May 2026'!G20</f>
        <v>106200</v>
      </c>
      <c r="H19" s="121"/>
      <c r="I19" s="121">
        <f>'Summary Sheet - April 2026'!I20</f>
        <v>53100</v>
      </c>
      <c r="J19" s="121"/>
      <c r="K19" s="14">
        <f t="shared" si="14"/>
        <v>1511958.4</v>
      </c>
      <c r="L19" s="122"/>
      <c r="M19" s="28">
        <f t="shared" si="15"/>
        <v>0</v>
      </c>
      <c r="N19" s="122"/>
      <c r="O19" s="35">
        <f>'Summary Sheet - April 2026'!O20 + 'Summary Sheet - May 2026'!O20</f>
        <v>72049</v>
      </c>
      <c r="P19" s="30"/>
      <c r="Q19" s="35">
        <f>'Summary Sheet - April 2026'!Q20</f>
        <v>0</v>
      </c>
      <c r="R19" s="30"/>
      <c r="S19" s="35">
        <f>'Summary Sheet - April 2026'!S20 +'Summary Sheet - May 2026'!S20</f>
        <v>179253.69</v>
      </c>
      <c r="T19" s="30"/>
      <c r="U19" s="35">
        <f>'Summary Sheet - April 2026'!U20</f>
        <v>0</v>
      </c>
      <c r="V19" s="30"/>
      <c r="W19" s="35">
        <f>'Summary Sheet - April 2026'!W20 + 'Summary Sheet - May 2026'!W20</f>
        <v>406787.44</v>
      </c>
      <c r="X19" s="30"/>
      <c r="Y19" s="35">
        <f>'Summary Sheet - April 2026'!Y20</f>
        <v>0</v>
      </c>
      <c r="Z19" s="30"/>
      <c r="AA19" s="35">
        <f>'Summary Sheet - April 2026'!AA20 + 'Summary Sheet - May 2026'!AA20</f>
        <v>215071.5</v>
      </c>
      <c r="AB19" s="30"/>
      <c r="AC19" s="35">
        <f>'Summary Sheet - April 2026'!AC20</f>
        <v>0</v>
      </c>
      <c r="AD19" s="30"/>
      <c r="AE19" s="35">
        <f>'Summary Sheet - April 2026'!AE20 + 'Summary Sheet - May 2026'!AE20</f>
        <v>187484</v>
      </c>
      <c r="AF19" s="30"/>
      <c r="AG19" s="35">
        <f>'Summary Sheet - April 2026'!AG20</f>
        <v>0</v>
      </c>
      <c r="AH19" s="30"/>
      <c r="AI19" s="35">
        <f>'Summary Sheet - April 2026'!AI20 + 'Summary Sheet - May 2026'!AI20</f>
        <v>80000</v>
      </c>
      <c r="AJ19" s="30"/>
      <c r="AK19" s="35">
        <f>'Summary Sheet - April 2026'!AK20</f>
        <v>0</v>
      </c>
      <c r="AL19" s="30"/>
      <c r="AM19" s="35">
        <f>'Summary Sheet - April 2026'!AM20 + 'Summary Sheet - May 2026'!AM20</f>
        <v>103790.78</v>
      </c>
      <c r="AN19" s="30"/>
      <c r="AO19" s="35">
        <f>'Summary Sheet - April 2026'!AO20</f>
        <v>0</v>
      </c>
      <c r="AP19" s="30"/>
      <c r="AQ19" s="35">
        <f>'Summary Sheet - April 2026'!AQ20 + 'Summary Sheet - May 2026'!AQ20</f>
        <v>52063.979999999996</v>
      </c>
      <c r="AR19" s="30"/>
      <c r="AS19" s="35">
        <f>'Summary Sheet - April 2026'!AS20</f>
        <v>35000</v>
      </c>
      <c r="AT19" s="30"/>
      <c r="AU19" s="35">
        <f>'Summary Sheet - April 2026'!AU20 + 'Summary Sheet - May 2026'!AU20</f>
        <v>113959.52</v>
      </c>
      <c r="AV19" s="30"/>
      <c r="AW19" s="35">
        <f>'Summary Sheet - April 2026'!AW20</f>
        <v>0</v>
      </c>
      <c r="AX19" s="30"/>
      <c r="AY19" s="35">
        <f>'Summary Sheet - April 2026'!AY20 + 'Summary Sheet - May 2026'!AY20</f>
        <v>43183.46</v>
      </c>
      <c r="AZ19" s="30"/>
      <c r="BA19" s="30">
        <f>'Summary Sheet - April 2026'!BL20</f>
        <v>0</v>
      </c>
      <c r="BB19" s="34"/>
      <c r="BC19" s="35">
        <f>'Summary Sheet - April 2026'!BC20 + 'Summary Sheet - May 2026'!BC20</f>
        <v>43467.03</v>
      </c>
      <c r="BD19" s="30"/>
      <c r="BE19" s="30">
        <f>'Summary Sheet - April 2026'!BP20</f>
        <v>0</v>
      </c>
      <c r="BF19" s="34"/>
      <c r="BG19" s="35">
        <f>'Summary Sheet - April 2026'!BG20 + 'Summary Sheet - May 2026'!BG20</f>
        <v>14848</v>
      </c>
      <c r="BH19" s="30"/>
      <c r="BI19" s="30">
        <f>'Summary Sheet - April 2026'!BT20</f>
        <v>0</v>
      </c>
      <c r="BJ19" s="34"/>
    </row>
    <row r="20" spans="1:62" ht="15.75" customHeight="1" x14ac:dyDescent="0.25">
      <c r="A20" s="2"/>
      <c r="B20" s="27" t="s">
        <v>35</v>
      </c>
      <c r="C20" s="12">
        <f t="shared" si="11"/>
        <v>4609465.08</v>
      </c>
      <c r="D20" s="67">
        <f t="shared" si="12"/>
        <v>3.0973631721178018E-2</v>
      </c>
      <c r="E20" s="28">
        <f t="shared" si="13"/>
        <v>0</v>
      </c>
      <c r="F20" s="137"/>
      <c r="G20" s="138">
        <f>'Summary Sheet - April 2026'!G21 +'Summary Sheet - May 2026'!G21</f>
        <v>0</v>
      </c>
      <c r="H20" s="121"/>
      <c r="I20" s="121">
        <f>'Summary Sheet - April 2026'!I21</f>
        <v>0</v>
      </c>
      <c r="J20" s="121"/>
      <c r="K20" s="14">
        <f t="shared" si="14"/>
        <v>4609465.08</v>
      </c>
      <c r="L20" s="122"/>
      <c r="M20" s="28">
        <f t="shared" si="15"/>
        <v>0</v>
      </c>
      <c r="N20" s="122"/>
      <c r="O20" s="35">
        <f>'Summary Sheet - April 2026'!O21 + 'Summary Sheet - May 2026'!O21</f>
        <v>173480.51</v>
      </c>
      <c r="P20" s="30"/>
      <c r="Q20" s="35">
        <f>'Summary Sheet - April 2026'!Q21</f>
        <v>0</v>
      </c>
      <c r="R20" s="30"/>
      <c r="S20" s="35">
        <f>'Summary Sheet - April 2026'!S21 +'Summary Sheet - May 2026'!S21</f>
        <v>228974.03</v>
      </c>
      <c r="T20" s="30"/>
      <c r="U20" s="35">
        <f>'Summary Sheet - April 2026'!U21</f>
        <v>0</v>
      </c>
      <c r="V20" s="30"/>
      <c r="W20" s="35">
        <f>'Summary Sheet - April 2026'!W21 + 'Summary Sheet - May 2026'!W21</f>
        <v>960909.78999999992</v>
      </c>
      <c r="X20" s="30"/>
      <c r="Y20" s="35">
        <f>'Summary Sheet - April 2026'!Y21</f>
        <v>0</v>
      </c>
      <c r="Z20" s="30"/>
      <c r="AA20" s="35">
        <f>'Summary Sheet - April 2026'!AA21 + 'Summary Sheet - May 2026'!AA21</f>
        <v>1396555.24</v>
      </c>
      <c r="AB20" s="30"/>
      <c r="AC20" s="35">
        <f>'Summary Sheet - April 2026'!AC21</f>
        <v>0</v>
      </c>
      <c r="AD20" s="30"/>
      <c r="AE20" s="35">
        <f>'Summary Sheet - April 2026'!AE21 + 'Summary Sheet - May 2026'!AE21</f>
        <v>1307943</v>
      </c>
      <c r="AF20" s="30"/>
      <c r="AG20" s="35">
        <f>'Summary Sheet - April 2026'!AG21</f>
        <v>0</v>
      </c>
      <c r="AH20" s="30"/>
      <c r="AI20" s="35">
        <f>'Summary Sheet - April 2026'!AI21 + 'Summary Sheet - May 2026'!AI21</f>
        <v>0</v>
      </c>
      <c r="AJ20" s="30"/>
      <c r="AK20" s="35">
        <f>'Summary Sheet - April 2026'!AK21</f>
        <v>0</v>
      </c>
      <c r="AL20" s="30"/>
      <c r="AM20" s="35">
        <f>'Summary Sheet - April 2026'!AM21 + 'Summary Sheet - May 2026'!AM21</f>
        <v>78387.37</v>
      </c>
      <c r="AN20" s="30"/>
      <c r="AO20" s="35">
        <f>'Summary Sheet - April 2026'!AO21</f>
        <v>0</v>
      </c>
      <c r="AP20" s="30"/>
      <c r="AQ20" s="35">
        <f>'Summary Sheet - April 2026'!AQ21 + 'Summary Sheet - May 2026'!AQ21</f>
        <v>0</v>
      </c>
      <c r="AR20" s="30"/>
      <c r="AS20" s="35">
        <f>'Summary Sheet - April 2026'!AS21</f>
        <v>0</v>
      </c>
      <c r="AT20" s="30"/>
      <c r="AU20" s="35">
        <f>'Summary Sheet - April 2026'!AU21 + 'Summary Sheet - May 2026'!AU21</f>
        <v>162351.78999999998</v>
      </c>
      <c r="AV20" s="30"/>
      <c r="AW20" s="35">
        <f>'Summary Sheet - April 2026'!AW21</f>
        <v>0</v>
      </c>
      <c r="AX20" s="30"/>
      <c r="AY20" s="35">
        <f>'Summary Sheet - April 2026'!AY21 + 'Summary Sheet - May 2026'!AY21</f>
        <v>69035.850000000006</v>
      </c>
      <c r="AZ20" s="30"/>
      <c r="BA20" s="30">
        <f>'Summary Sheet - April 2026'!BL21</f>
        <v>0</v>
      </c>
      <c r="BB20" s="34"/>
      <c r="BC20" s="35">
        <f>'Summary Sheet - April 2026'!BC21 + 'Summary Sheet - May 2026'!BC21</f>
        <v>85672.94</v>
      </c>
      <c r="BD20" s="30"/>
      <c r="BE20" s="30">
        <f>'Summary Sheet - April 2026'!BP21</f>
        <v>0</v>
      </c>
      <c r="BF20" s="34"/>
      <c r="BG20" s="35">
        <f>'Summary Sheet - April 2026'!BG21 + 'Summary Sheet - May 2026'!BG21</f>
        <v>146154.56</v>
      </c>
      <c r="BH20" s="30"/>
      <c r="BI20" s="30">
        <f>'Summary Sheet - April 2026'!BT21</f>
        <v>0</v>
      </c>
      <c r="BJ20" s="34"/>
    </row>
    <row r="21" spans="1:62" ht="15.75" customHeight="1" x14ac:dyDescent="0.25">
      <c r="A21" s="2"/>
      <c r="B21" s="27" t="s">
        <v>36</v>
      </c>
      <c r="C21" s="12">
        <f t="shared" si="11"/>
        <v>16374760.940000001</v>
      </c>
      <c r="D21" s="67">
        <f t="shared" si="12"/>
        <v>0.11003138240020918</v>
      </c>
      <c r="E21" s="28">
        <f t="shared" si="13"/>
        <v>3057546</v>
      </c>
      <c r="F21" s="137"/>
      <c r="G21" s="138">
        <f>'Summary Sheet - April 2026'!G22 +'Summary Sheet - May 2026'!G22</f>
        <v>1627794.7333333334</v>
      </c>
      <c r="H21" s="121"/>
      <c r="I21" s="121">
        <f>'Summary Sheet - April 2026'!I22</f>
        <v>0</v>
      </c>
      <c r="J21" s="121"/>
      <c r="K21" s="14">
        <f t="shared" si="14"/>
        <v>14746966.206666667</v>
      </c>
      <c r="L21" s="122"/>
      <c r="M21" s="28">
        <f t="shared" si="15"/>
        <v>3057546</v>
      </c>
      <c r="N21" s="122"/>
      <c r="O21" s="35">
        <f>'Summary Sheet - April 2026'!O22 + 'Summary Sheet - May 2026'!O22</f>
        <v>3665933.833333333</v>
      </c>
      <c r="P21" s="30"/>
      <c r="Q21" s="35">
        <f>'Summary Sheet - April 2026'!Q22</f>
        <v>1419717</v>
      </c>
      <c r="R21" s="30"/>
      <c r="S21" s="35">
        <f>'Summary Sheet - April 2026'!S22 +'Summary Sheet - May 2026'!S22</f>
        <v>213175</v>
      </c>
      <c r="T21" s="30"/>
      <c r="U21" s="35">
        <f>'Summary Sheet - April 2026'!U22</f>
        <v>76212</v>
      </c>
      <c r="V21" s="30"/>
      <c r="W21" s="35">
        <f>'Summary Sheet - April 2026'!W22 + 'Summary Sheet - May 2026'!W22</f>
        <v>3480038.333333333</v>
      </c>
      <c r="X21" s="30"/>
      <c r="Y21" s="35">
        <f>'Summary Sheet - April 2026'!Y22</f>
        <v>1314963</v>
      </c>
      <c r="Z21" s="30"/>
      <c r="AA21" s="35">
        <f>'Summary Sheet - April 2026'!AA22 + 'Summary Sheet - May 2026'!AA22</f>
        <v>2210248.04</v>
      </c>
      <c r="AB21" s="30"/>
      <c r="AC21" s="35">
        <f>'Summary Sheet - April 2026'!AC22</f>
        <v>0</v>
      </c>
      <c r="AD21" s="30"/>
      <c r="AE21" s="35">
        <f>'Summary Sheet - April 2026'!AE22 + 'Summary Sheet - May 2026'!AE22</f>
        <v>2351243</v>
      </c>
      <c r="AF21" s="30"/>
      <c r="AG21" s="35">
        <f>'Summary Sheet - April 2026'!AG22</f>
        <v>0</v>
      </c>
      <c r="AH21" s="30"/>
      <c r="AI21" s="35">
        <f>'Summary Sheet - April 2026'!AI22 + 'Summary Sheet - May 2026'!AI22</f>
        <v>370741</v>
      </c>
      <c r="AJ21" s="30"/>
      <c r="AK21" s="35">
        <f>'Summary Sheet - April 2026'!AK22</f>
        <v>90931</v>
      </c>
      <c r="AL21" s="30"/>
      <c r="AM21" s="35">
        <f>'Summary Sheet - April 2026'!AM22 + 'Summary Sheet - May 2026'!AM22</f>
        <v>489829</v>
      </c>
      <c r="AN21" s="30"/>
      <c r="AO21" s="35">
        <f>'Summary Sheet - April 2026'!AO22</f>
        <v>155723</v>
      </c>
      <c r="AP21" s="30"/>
      <c r="AQ21" s="35">
        <f>'Summary Sheet - April 2026'!AQ22 + 'Summary Sheet - May 2026'!AQ22</f>
        <v>1965758</v>
      </c>
      <c r="AR21" s="30"/>
      <c r="AS21" s="35">
        <f>'Summary Sheet - April 2026'!AS22</f>
        <v>2419</v>
      </c>
      <c r="AT21" s="30"/>
      <c r="AU21" s="35">
        <f>'Summary Sheet - April 2026'!AU22 + 'Summary Sheet - May 2026'!AU22</f>
        <v>0</v>
      </c>
      <c r="AV21" s="30"/>
      <c r="AW21" s="35">
        <f>'Summary Sheet - April 2026'!AW22</f>
        <v>0</v>
      </c>
      <c r="AX21" s="30"/>
      <c r="AY21" s="35">
        <f>'Summary Sheet - April 2026'!AY22 + 'Summary Sheet - May 2026'!AY22</f>
        <v>0</v>
      </c>
      <c r="AZ21" s="30"/>
      <c r="BA21" s="30">
        <f>'Summary Sheet - April 2026'!BL22</f>
        <v>0</v>
      </c>
      <c r="BB21" s="34"/>
      <c r="BC21" s="35">
        <f>'Summary Sheet - April 2026'!BC22 + 'Summary Sheet - May 2026'!BC22</f>
        <v>0</v>
      </c>
      <c r="BD21" s="30"/>
      <c r="BE21" s="30">
        <f>'Summary Sheet - April 2026'!BP22</f>
        <v>0</v>
      </c>
      <c r="BF21" s="34"/>
      <c r="BG21" s="35">
        <f>'Summary Sheet - April 2026'!BG22 + 'Summary Sheet - May 2026'!BG22</f>
        <v>0</v>
      </c>
      <c r="BH21" s="30"/>
      <c r="BI21" s="30">
        <f>'Summary Sheet - April 2026'!BT22</f>
        <v>0</v>
      </c>
      <c r="BJ21" s="34"/>
    </row>
    <row r="22" spans="1:62" ht="15.75" customHeight="1" x14ac:dyDescent="0.25">
      <c r="A22" s="2"/>
      <c r="B22" s="27" t="s">
        <v>37</v>
      </c>
      <c r="C22" s="12">
        <f t="shared" si="11"/>
        <v>48806327.079999998</v>
      </c>
      <c r="D22" s="67">
        <f t="shared" si="12"/>
        <v>0.32795762076567847</v>
      </c>
      <c r="E22" s="28">
        <f t="shared" si="13"/>
        <v>758150</v>
      </c>
      <c r="F22" s="137"/>
      <c r="G22" s="138">
        <f>'Summary Sheet - April 2026'!G23 +'Summary Sheet - May 2026'!G23</f>
        <v>7747821.54</v>
      </c>
      <c r="H22" s="121"/>
      <c r="I22" s="121">
        <f>'Summary Sheet - April 2026'!I23</f>
        <v>0</v>
      </c>
      <c r="J22" s="121"/>
      <c r="K22" s="14">
        <f t="shared" si="14"/>
        <v>41058505.539999999</v>
      </c>
      <c r="L22" s="122"/>
      <c r="M22" s="28">
        <f t="shared" si="15"/>
        <v>758150</v>
      </c>
      <c r="N22" s="122"/>
      <c r="O22" s="35">
        <f>'Summary Sheet - April 2026'!O23 + 'Summary Sheet - May 2026'!O23</f>
        <v>10602073.41</v>
      </c>
      <c r="P22" s="30"/>
      <c r="Q22" s="35">
        <f>'Summary Sheet - April 2026'!Q23</f>
        <v>663750</v>
      </c>
      <c r="R22" s="30"/>
      <c r="S22" s="35">
        <f>'Summary Sheet - April 2026'!S23 +'Summary Sheet - May 2026'!S23</f>
        <v>679710.73</v>
      </c>
      <c r="T22" s="30"/>
      <c r="U22" s="35">
        <f>'Summary Sheet - April 2026'!U23</f>
        <v>0</v>
      </c>
      <c r="V22" s="30"/>
      <c r="W22" s="35">
        <f>'Summary Sheet - April 2026'!W23 + 'Summary Sheet - May 2026'!W23</f>
        <v>6422135.0333333332</v>
      </c>
      <c r="X22" s="30"/>
      <c r="Y22" s="35">
        <f>'Summary Sheet - April 2026'!Y23</f>
        <v>0</v>
      </c>
      <c r="Z22" s="30"/>
      <c r="AA22" s="35">
        <f>'Summary Sheet - April 2026'!AA23 + 'Summary Sheet - May 2026'!AA23</f>
        <v>3537149.7333333334</v>
      </c>
      <c r="AB22" s="30"/>
      <c r="AC22" s="35">
        <f>'Summary Sheet - April 2026'!AC23</f>
        <v>0</v>
      </c>
      <c r="AD22" s="30"/>
      <c r="AE22" s="35">
        <f>'Summary Sheet - April 2026'!AE23 + 'Summary Sheet - May 2026'!AE23</f>
        <v>7545416.0033333329</v>
      </c>
      <c r="AF22" s="30"/>
      <c r="AG22" s="35">
        <f>'Summary Sheet - April 2026'!AG23</f>
        <v>0</v>
      </c>
      <c r="AH22" s="30"/>
      <c r="AI22" s="35">
        <f>'Summary Sheet - April 2026'!AI23 + 'Summary Sheet - May 2026'!AI23</f>
        <v>460392</v>
      </c>
      <c r="AJ22" s="30"/>
      <c r="AK22" s="35">
        <f>'Summary Sheet - April 2026'!AK23</f>
        <v>0</v>
      </c>
      <c r="AL22" s="30"/>
      <c r="AM22" s="35">
        <f>'Summary Sheet - April 2026'!AM23 + 'Summary Sheet - May 2026'!AM23</f>
        <v>3028630.58</v>
      </c>
      <c r="AN22" s="30"/>
      <c r="AO22" s="35">
        <f>'Summary Sheet - April 2026'!AO23</f>
        <v>94400</v>
      </c>
      <c r="AP22" s="30"/>
      <c r="AQ22" s="35">
        <f>'Summary Sheet - April 2026'!AQ23 + 'Summary Sheet - May 2026'!AQ23</f>
        <v>7579231.5499999998</v>
      </c>
      <c r="AR22" s="30"/>
      <c r="AS22" s="35">
        <f>'Summary Sheet - April 2026'!AS23</f>
        <v>0</v>
      </c>
      <c r="AT22" s="30"/>
      <c r="AU22" s="35">
        <f>'Summary Sheet - April 2026'!AU23 + 'Summary Sheet - May 2026'!AU23</f>
        <v>0</v>
      </c>
      <c r="AV22" s="30"/>
      <c r="AW22" s="35">
        <f>'Summary Sheet - April 2026'!AW23</f>
        <v>0</v>
      </c>
      <c r="AX22" s="30"/>
      <c r="AY22" s="35">
        <f>'Summary Sheet - April 2026'!AY23 + 'Summary Sheet - May 2026'!AY23</f>
        <v>0</v>
      </c>
      <c r="AZ22" s="30"/>
      <c r="BA22" s="30">
        <f>'Summary Sheet - April 2026'!BL23</f>
        <v>0</v>
      </c>
      <c r="BB22" s="34"/>
      <c r="BC22" s="35">
        <f>'Summary Sheet - April 2026'!BC23 + 'Summary Sheet - May 2026'!BC23</f>
        <v>0</v>
      </c>
      <c r="BD22" s="30"/>
      <c r="BE22" s="30">
        <f>'Summary Sheet - April 2026'!BP23</f>
        <v>0</v>
      </c>
      <c r="BF22" s="34"/>
      <c r="BG22" s="35">
        <f>'Summary Sheet - April 2026'!BG23 + 'Summary Sheet - May 2026'!BG23</f>
        <v>1203766.5</v>
      </c>
      <c r="BH22" s="30"/>
      <c r="BI22" s="30">
        <f>'Summary Sheet - April 2026'!BT23</f>
        <v>0</v>
      </c>
      <c r="BJ22" s="34"/>
    </row>
    <row r="23" spans="1:62" ht="15.75" customHeight="1" x14ac:dyDescent="0.25">
      <c r="A23" s="2"/>
      <c r="B23" s="27" t="s">
        <v>38</v>
      </c>
      <c r="C23" s="12">
        <f t="shared" si="11"/>
        <v>2024886.97</v>
      </c>
      <c r="D23" s="67">
        <f t="shared" si="12"/>
        <v>1.3606373450559265E-2</v>
      </c>
      <c r="E23" s="28">
        <f t="shared" si="13"/>
        <v>0</v>
      </c>
      <c r="F23" s="137"/>
      <c r="G23" s="138">
        <f>'Summary Sheet - April 2026'!G24 +'Summary Sheet - May 2026'!G24</f>
        <v>879987</v>
      </c>
      <c r="H23" s="121"/>
      <c r="I23" s="121">
        <f>'Summary Sheet - April 2026'!I24</f>
        <v>0</v>
      </c>
      <c r="J23" s="121"/>
      <c r="K23" s="14">
        <f t="shared" si="14"/>
        <v>1144899.97</v>
      </c>
      <c r="L23" s="122"/>
      <c r="M23" s="28">
        <f t="shared" si="15"/>
        <v>0</v>
      </c>
      <c r="N23" s="122"/>
      <c r="O23" s="35">
        <f>'Summary Sheet - April 2026'!O24 + 'Summary Sheet - May 2026'!O24</f>
        <v>947509.88</v>
      </c>
      <c r="P23" s="30"/>
      <c r="Q23" s="35">
        <f>'Summary Sheet - April 2026'!Q24</f>
        <v>0</v>
      </c>
      <c r="R23" s="30"/>
      <c r="S23" s="35">
        <f>'Summary Sheet - April 2026'!S24 +'Summary Sheet - May 2026'!S24</f>
        <v>0</v>
      </c>
      <c r="T23" s="30"/>
      <c r="U23" s="35">
        <f>'Summary Sheet - April 2026'!U24</f>
        <v>0</v>
      </c>
      <c r="V23" s="30"/>
      <c r="W23" s="35">
        <f>'Summary Sheet - April 2026'!W24 + 'Summary Sheet - May 2026'!W24</f>
        <v>46560.5</v>
      </c>
      <c r="X23" s="30"/>
      <c r="Y23" s="35">
        <f>'Summary Sheet - April 2026'!Y24</f>
        <v>0</v>
      </c>
      <c r="Z23" s="30"/>
      <c r="AA23" s="35">
        <f>'Summary Sheet - April 2026'!AA24 + 'Summary Sheet - May 2026'!AA24</f>
        <v>55147.82</v>
      </c>
      <c r="AB23" s="30"/>
      <c r="AC23" s="35">
        <f>'Summary Sheet - April 2026'!AC24</f>
        <v>0</v>
      </c>
      <c r="AD23" s="30"/>
      <c r="AE23" s="35">
        <f>'Summary Sheet - April 2026'!AE24 + 'Summary Sheet - May 2026'!AE24</f>
        <v>47677.729999999996</v>
      </c>
      <c r="AF23" s="30"/>
      <c r="AG23" s="35">
        <f>'Summary Sheet - April 2026'!AG24</f>
        <v>0</v>
      </c>
      <c r="AH23" s="30"/>
      <c r="AI23" s="35">
        <f>'Summary Sheet - April 2026'!AI24 + 'Summary Sheet - May 2026'!AI24</f>
        <v>0</v>
      </c>
      <c r="AJ23" s="30"/>
      <c r="AK23" s="35">
        <f>'Summary Sheet - April 2026'!AK24</f>
        <v>0</v>
      </c>
      <c r="AL23" s="30"/>
      <c r="AM23" s="35">
        <f>'Summary Sheet - April 2026'!AM24 + 'Summary Sheet - May 2026'!AM24</f>
        <v>11118.42</v>
      </c>
      <c r="AN23" s="30"/>
      <c r="AO23" s="35">
        <f>'Summary Sheet - April 2026'!AO24</f>
        <v>0</v>
      </c>
      <c r="AP23" s="30"/>
      <c r="AQ23" s="35">
        <f>'Summary Sheet - April 2026'!AQ24 + 'Summary Sheet - May 2026'!AQ24</f>
        <v>36885.620000000003</v>
      </c>
      <c r="AR23" s="30"/>
      <c r="AS23" s="35">
        <f>'Summary Sheet - April 2026'!AS24</f>
        <v>0</v>
      </c>
      <c r="AT23" s="30"/>
      <c r="AU23" s="35">
        <f>'Summary Sheet - April 2026'!AU24 + 'Summary Sheet - May 2026'!AU24</f>
        <v>0</v>
      </c>
      <c r="AV23" s="30"/>
      <c r="AW23" s="35">
        <f>'Summary Sheet - April 2026'!AW24</f>
        <v>0</v>
      </c>
      <c r="AX23" s="30"/>
      <c r="AY23" s="35">
        <f>'Summary Sheet - April 2026'!AY24 + 'Summary Sheet - May 2026'!AY24</f>
        <v>0</v>
      </c>
      <c r="AZ23" s="30"/>
      <c r="BA23" s="30">
        <f>'Summary Sheet - April 2026'!BL24</f>
        <v>0</v>
      </c>
      <c r="BB23" s="34"/>
      <c r="BC23" s="35">
        <f>'Summary Sheet - April 2026'!BC24 + 'Summary Sheet - May 2026'!BC24</f>
        <v>0</v>
      </c>
      <c r="BD23" s="30"/>
      <c r="BE23" s="30">
        <f>'Summary Sheet - April 2026'!BP24</f>
        <v>0</v>
      </c>
      <c r="BF23" s="34"/>
      <c r="BG23" s="35">
        <f>'Summary Sheet - April 2026'!BG24 + 'Summary Sheet - May 2026'!BG24</f>
        <v>0</v>
      </c>
      <c r="BH23" s="30"/>
      <c r="BI23" s="30">
        <f>'Summary Sheet - April 2026'!BT24</f>
        <v>0</v>
      </c>
      <c r="BJ23" s="34"/>
    </row>
    <row r="24" spans="1:62" ht="15.75" customHeight="1" x14ac:dyDescent="0.25">
      <c r="A24" s="2"/>
      <c r="B24" s="27" t="s">
        <v>39</v>
      </c>
      <c r="C24" s="12">
        <f t="shared" si="11"/>
        <v>964259.07000000007</v>
      </c>
      <c r="D24" s="67">
        <f t="shared" si="12"/>
        <v>6.4794080874099212E-3</v>
      </c>
      <c r="E24" s="28">
        <f t="shared" si="13"/>
        <v>134471.91666666669</v>
      </c>
      <c r="F24" s="137"/>
      <c r="G24" s="138">
        <f>'Summary Sheet - April 2026'!G25 +'Summary Sheet - May 2026'!G25</f>
        <v>241237.57</v>
      </c>
      <c r="H24" s="121"/>
      <c r="I24" s="121">
        <f>'Summary Sheet - April 2026'!I25</f>
        <v>0</v>
      </c>
      <c r="J24" s="121"/>
      <c r="K24" s="14">
        <f t="shared" si="14"/>
        <v>723021.50000000012</v>
      </c>
      <c r="L24" s="122"/>
      <c r="M24" s="28">
        <f t="shared" si="15"/>
        <v>134471.91666666669</v>
      </c>
      <c r="N24" s="122"/>
      <c r="O24" s="35">
        <f>'Summary Sheet - April 2026'!O25 + 'Summary Sheet - May 2026'!O25</f>
        <v>48494.333333333328</v>
      </c>
      <c r="P24" s="30"/>
      <c r="Q24" s="35">
        <f>'Summary Sheet - April 2026'!Q25</f>
        <v>0</v>
      </c>
      <c r="R24" s="30"/>
      <c r="S24" s="35">
        <f>'Summary Sheet - April 2026'!S25 +'Summary Sheet - May 2026'!S25</f>
        <v>46181</v>
      </c>
      <c r="T24" s="30"/>
      <c r="U24" s="35">
        <f>'Summary Sheet - April 2026'!U25</f>
        <v>0</v>
      </c>
      <c r="V24" s="30"/>
      <c r="W24" s="35">
        <f>'Summary Sheet - April 2026'!W25 + 'Summary Sheet - May 2026'!W25</f>
        <v>127370.66666666667</v>
      </c>
      <c r="X24" s="30"/>
      <c r="Y24" s="35">
        <f>'Summary Sheet - April 2026'!Y25</f>
        <v>0</v>
      </c>
      <c r="Z24" s="30"/>
      <c r="AA24" s="35">
        <f>'Summary Sheet - April 2026'!AA25 + 'Summary Sheet - May 2026'!AA25</f>
        <v>99640.666666666672</v>
      </c>
      <c r="AB24" s="30"/>
      <c r="AC24" s="35">
        <f>'Summary Sheet - April 2026'!AC25</f>
        <v>49820.333333333336</v>
      </c>
      <c r="AD24" s="30"/>
      <c r="AE24" s="35">
        <f>'Summary Sheet - April 2026'!AE25 + 'Summary Sheet - May 2026'!AE25</f>
        <v>155690.66666666669</v>
      </c>
      <c r="AF24" s="30"/>
      <c r="AG24" s="35">
        <f>'Summary Sheet - April 2026'!AG25</f>
        <v>77845.333333333343</v>
      </c>
      <c r="AH24" s="30"/>
      <c r="AI24" s="35">
        <f>'Summary Sheet - April 2026'!AI25 + 'Summary Sheet - May 2026'!AI25</f>
        <v>13612.5</v>
      </c>
      <c r="AJ24" s="30"/>
      <c r="AK24" s="35">
        <f>'Summary Sheet - April 2026'!AK25</f>
        <v>6806.25</v>
      </c>
      <c r="AL24" s="30"/>
      <c r="AM24" s="35">
        <f>'Summary Sheet - April 2026'!AM25 + 'Summary Sheet - May 2026'!AM25</f>
        <v>72561.333333333343</v>
      </c>
      <c r="AN24" s="30"/>
      <c r="AO24" s="35">
        <f>'Summary Sheet - April 2026'!AO25</f>
        <v>0</v>
      </c>
      <c r="AP24" s="30"/>
      <c r="AQ24" s="35">
        <f>'Summary Sheet - April 2026'!AQ25 + 'Summary Sheet - May 2026'!AQ25</f>
        <v>6293.333333333333</v>
      </c>
      <c r="AR24" s="30"/>
      <c r="AS24" s="35">
        <f>'Summary Sheet - April 2026'!AS25</f>
        <v>3146.6666666666665</v>
      </c>
      <c r="AT24" s="30"/>
      <c r="AU24" s="35">
        <f>'Summary Sheet - April 2026'!AU25 + 'Summary Sheet - May 2026'!AU25</f>
        <v>58819</v>
      </c>
      <c r="AV24" s="30"/>
      <c r="AW24" s="35">
        <f>'Summary Sheet - April 2026'!AW25</f>
        <v>0</v>
      </c>
      <c r="AX24" s="30"/>
      <c r="AY24" s="35">
        <f>'Summary Sheet - April 2026'!AY25 + 'Summary Sheet - May 2026'!AY25</f>
        <v>46182</v>
      </c>
      <c r="AZ24" s="30"/>
      <c r="BA24" s="30">
        <f>'Summary Sheet - April 2026'!BL25</f>
        <v>0</v>
      </c>
      <c r="BB24" s="34"/>
      <c r="BC24" s="35">
        <f>'Summary Sheet - April 2026'!BC25 + 'Summary Sheet - May 2026'!BC25</f>
        <v>46182</v>
      </c>
      <c r="BD24" s="30"/>
      <c r="BE24" s="30">
        <f>'Summary Sheet - April 2026'!BP25</f>
        <v>0</v>
      </c>
      <c r="BF24" s="34"/>
      <c r="BG24" s="35">
        <f>'Summary Sheet - April 2026'!BG25 + 'Summary Sheet - May 2026'!BG25</f>
        <v>1994</v>
      </c>
      <c r="BH24" s="30"/>
      <c r="BI24" s="30">
        <f>'Summary Sheet - April 2026'!BT25</f>
        <v>0</v>
      </c>
      <c r="BJ24" s="34"/>
    </row>
    <row r="25" spans="1:62" ht="15.75" customHeight="1" x14ac:dyDescent="0.25">
      <c r="A25" s="2"/>
      <c r="B25" s="27" t="s">
        <v>40</v>
      </c>
      <c r="C25" s="12">
        <f t="shared" si="11"/>
        <v>10055140.08</v>
      </c>
      <c r="D25" s="67">
        <f t="shared" si="12"/>
        <v>6.7566236068063779E-2</v>
      </c>
      <c r="E25" s="28">
        <f t="shared" si="13"/>
        <v>356555.58333333331</v>
      </c>
      <c r="F25" s="137"/>
      <c r="G25" s="138">
        <f>'Summary Sheet - April 2026'!G26 +'Summary Sheet - May 2026'!G26</f>
        <v>2356900</v>
      </c>
      <c r="H25" s="121"/>
      <c r="I25" s="121">
        <f>'Summary Sheet - April 2026'!I26</f>
        <v>737.5</v>
      </c>
      <c r="J25" s="121"/>
      <c r="K25" s="14">
        <f t="shared" si="14"/>
        <v>7698240.0800000001</v>
      </c>
      <c r="L25" s="122"/>
      <c r="M25" s="28">
        <f t="shared" si="15"/>
        <v>355818.08333333331</v>
      </c>
      <c r="N25" s="122"/>
      <c r="O25" s="35">
        <f>'Summary Sheet - April 2026'!O26 + 'Summary Sheet - May 2026'!O26</f>
        <v>2374341.2633333337</v>
      </c>
      <c r="P25" s="30"/>
      <c r="Q25" s="35">
        <f>'Summary Sheet - April 2026'!Q26</f>
        <v>184154.58333333331</v>
      </c>
      <c r="R25" s="30"/>
      <c r="S25" s="35">
        <f>'Summary Sheet - April 2026'!S26 +'Summary Sheet - May 2026'!S26</f>
        <v>155919</v>
      </c>
      <c r="T25" s="30"/>
      <c r="U25" s="35">
        <f>'Summary Sheet - April 2026'!U26</f>
        <v>0</v>
      </c>
      <c r="V25" s="30"/>
      <c r="W25" s="35">
        <f>'Summary Sheet - April 2026'!W26 + 'Summary Sheet - May 2026'!W26</f>
        <v>1114412.6666666665</v>
      </c>
      <c r="X25" s="30"/>
      <c r="Y25" s="35">
        <f>'Summary Sheet - April 2026'!Y26</f>
        <v>0</v>
      </c>
      <c r="Z25" s="30"/>
      <c r="AA25" s="35">
        <f>'Summary Sheet - April 2026'!AA26 + 'Summary Sheet - May 2026'!AA26</f>
        <v>468887.5</v>
      </c>
      <c r="AB25" s="30"/>
      <c r="AC25" s="35">
        <f>'Summary Sheet - April 2026'!AC26</f>
        <v>15522.25</v>
      </c>
      <c r="AD25" s="30"/>
      <c r="AE25" s="35">
        <f>'Summary Sheet - April 2026'!AE26 + 'Summary Sheet - May 2026'!AE26</f>
        <v>922235.09333333327</v>
      </c>
      <c r="AF25" s="30"/>
      <c r="AG25" s="35">
        <f>'Summary Sheet - April 2026'!AG26</f>
        <v>133043</v>
      </c>
      <c r="AH25" s="30"/>
      <c r="AI25" s="35">
        <f>'Summary Sheet - April 2026'!AI26 + 'Summary Sheet - May 2026'!AI26</f>
        <v>1414742.5133333334</v>
      </c>
      <c r="AJ25" s="30"/>
      <c r="AK25" s="35">
        <f>'Summary Sheet - April 2026'!AK26</f>
        <v>5934.916666666667</v>
      </c>
      <c r="AL25" s="30"/>
      <c r="AM25" s="35">
        <f>'Summary Sheet - April 2026'!AM26 + 'Summary Sheet - May 2026'!AM26</f>
        <v>161457.59666666668</v>
      </c>
      <c r="AN25" s="30"/>
      <c r="AO25" s="35">
        <f>'Summary Sheet - April 2026'!AO26</f>
        <v>17163.333333333332</v>
      </c>
      <c r="AP25" s="30"/>
      <c r="AQ25" s="35">
        <f>'Summary Sheet - April 2026'!AQ26 + 'Summary Sheet - May 2026'!AQ26</f>
        <v>994208.44666666666</v>
      </c>
      <c r="AR25" s="30"/>
      <c r="AS25" s="35">
        <f>'Summary Sheet - April 2026'!AS26</f>
        <v>212632.08333333334</v>
      </c>
      <c r="AT25" s="30"/>
      <c r="AU25" s="35">
        <f>'Summary Sheet - April 2026'!AU26 + 'Summary Sheet - May 2026'!AU26</f>
        <v>8100</v>
      </c>
      <c r="AV25" s="30"/>
      <c r="AW25" s="35">
        <f>'Summary Sheet - April 2026'!AW26</f>
        <v>0</v>
      </c>
      <c r="AX25" s="30"/>
      <c r="AY25" s="35">
        <f>'Summary Sheet - April 2026'!AY26 + 'Summary Sheet - May 2026'!AY26</f>
        <v>8100</v>
      </c>
      <c r="AZ25" s="30"/>
      <c r="BA25" s="30">
        <f>'Summary Sheet - April 2026'!BL26</f>
        <v>0</v>
      </c>
      <c r="BB25" s="34"/>
      <c r="BC25" s="35">
        <f>'Summary Sheet - April 2026'!BC26 + 'Summary Sheet - May 2026'!BC26</f>
        <v>0</v>
      </c>
      <c r="BD25" s="30"/>
      <c r="BE25" s="30">
        <f>'Summary Sheet - April 2026'!BP26</f>
        <v>0</v>
      </c>
      <c r="BF25" s="34"/>
      <c r="BG25" s="35">
        <f>'Summary Sheet - April 2026'!BG26 + 'Summary Sheet - May 2026'!BG26</f>
        <v>75836</v>
      </c>
      <c r="BH25" s="30"/>
      <c r="BI25" s="30">
        <f>'Summary Sheet - April 2026'!BT26</f>
        <v>0</v>
      </c>
      <c r="BJ25" s="34"/>
    </row>
    <row r="26" spans="1:62" ht="15.75" customHeight="1" x14ac:dyDescent="0.25">
      <c r="A26" s="2"/>
      <c r="B26" s="27" t="s">
        <v>41</v>
      </c>
      <c r="C26" s="12">
        <f t="shared" si="11"/>
        <v>925817</v>
      </c>
      <c r="D26" s="67">
        <f t="shared" si="12"/>
        <v>6.2210938365989035E-3</v>
      </c>
      <c r="E26" s="28">
        <f t="shared" si="13"/>
        <v>10010</v>
      </c>
      <c r="F26" s="137"/>
      <c r="G26" s="138">
        <f>'Summary Sheet - April 2026'!G27 +'Summary Sheet - May 2026'!G27</f>
        <v>828298</v>
      </c>
      <c r="H26" s="121"/>
      <c r="I26" s="121">
        <f>'Summary Sheet - April 2026'!I27</f>
        <v>0</v>
      </c>
      <c r="J26" s="121"/>
      <c r="K26" s="14">
        <f t="shared" si="14"/>
        <v>97519</v>
      </c>
      <c r="L26" s="122"/>
      <c r="M26" s="28">
        <f t="shared" si="15"/>
        <v>10010</v>
      </c>
      <c r="N26" s="122"/>
      <c r="O26" s="35">
        <f>'Summary Sheet - April 2026'!O27 + 'Summary Sheet - May 2026'!O27</f>
        <v>40644</v>
      </c>
      <c r="P26" s="30"/>
      <c r="Q26" s="35">
        <f>'Summary Sheet - April 2026'!Q27</f>
        <v>0</v>
      </c>
      <c r="R26" s="30"/>
      <c r="S26" s="35">
        <f>'Summary Sheet - April 2026'!S27 +'Summary Sheet - May 2026'!S27</f>
        <v>0</v>
      </c>
      <c r="T26" s="30"/>
      <c r="U26" s="35">
        <f>'Summary Sheet - April 2026'!U27</f>
        <v>0</v>
      </c>
      <c r="V26" s="30"/>
      <c r="W26" s="35">
        <f>'Summary Sheet - April 2026'!W27 + 'Summary Sheet - May 2026'!W27</f>
        <v>20335</v>
      </c>
      <c r="X26" s="30"/>
      <c r="Y26" s="35">
        <f>'Summary Sheet - April 2026'!Y27</f>
        <v>0</v>
      </c>
      <c r="Z26" s="30"/>
      <c r="AA26" s="35">
        <f>'Summary Sheet - April 2026'!AA27 + 'Summary Sheet - May 2026'!AA27</f>
        <v>0</v>
      </c>
      <c r="AB26" s="30"/>
      <c r="AC26" s="35">
        <f>'Summary Sheet - April 2026'!AC27</f>
        <v>0</v>
      </c>
      <c r="AD26" s="30"/>
      <c r="AE26" s="35">
        <f>'Summary Sheet - April 2026'!AE27 + 'Summary Sheet - May 2026'!AE27</f>
        <v>20020</v>
      </c>
      <c r="AF26" s="30"/>
      <c r="AG26" s="35">
        <f>'Summary Sheet - April 2026'!AG27</f>
        <v>10010</v>
      </c>
      <c r="AH26" s="30"/>
      <c r="AI26" s="35">
        <f>'Summary Sheet - April 2026'!AI27 + 'Summary Sheet - May 2026'!AI27</f>
        <v>0</v>
      </c>
      <c r="AJ26" s="30"/>
      <c r="AK26" s="35">
        <f>'Summary Sheet - April 2026'!AK27</f>
        <v>0</v>
      </c>
      <c r="AL26" s="30"/>
      <c r="AM26" s="35">
        <f>'Summary Sheet - April 2026'!AM27 + 'Summary Sheet - May 2026'!AM27</f>
        <v>0</v>
      </c>
      <c r="AN26" s="30"/>
      <c r="AO26" s="35">
        <f>'Summary Sheet - April 2026'!AO27</f>
        <v>0</v>
      </c>
      <c r="AP26" s="30"/>
      <c r="AQ26" s="35">
        <f>'Summary Sheet - April 2026'!AQ27 + 'Summary Sheet - May 2026'!AQ27</f>
        <v>16520</v>
      </c>
      <c r="AR26" s="30"/>
      <c r="AS26" s="35">
        <f>'Summary Sheet - April 2026'!AS27</f>
        <v>8260</v>
      </c>
      <c r="AT26" s="30"/>
      <c r="AU26" s="35">
        <f>'Summary Sheet - April 2026'!AU27 + 'Summary Sheet - May 2026'!AU27</f>
        <v>0</v>
      </c>
      <c r="AV26" s="30"/>
      <c r="AW26" s="35">
        <f>'Summary Sheet - April 2026'!AW27</f>
        <v>0</v>
      </c>
      <c r="AX26" s="30"/>
      <c r="AY26" s="35">
        <f>'Summary Sheet - April 2026'!AY27 + 'Summary Sheet - May 2026'!AY27</f>
        <v>0</v>
      </c>
      <c r="AZ26" s="30"/>
      <c r="BA26" s="30">
        <f>'Summary Sheet - April 2026'!BL27</f>
        <v>0</v>
      </c>
      <c r="BB26" s="34"/>
      <c r="BC26" s="35">
        <f>'Summary Sheet - April 2026'!BC27 + 'Summary Sheet - May 2026'!BC27</f>
        <v>0</v>
      </c>
      <c r="BD26" s="30"/>
      <c r="BE26" s="30">
        <f>'Summary Sheet - April 2026'!BP27</f>
        <v>0</v>
      </c>
      <c r="BF26" s="34"/>
      <c r="BG26" s="35">
        <f>'Summary Sheet - April 2026'!BG27 + 'Summary Sheet - May 2026'!BG27</f>
        <v>0</v>
      </c>
      <c r="BH26" s="30"/>
      <c r="BI26" s="30">
        <f>'Summary Sheet - April 2026'!BT27</f>
        <v>0</v>
      </c>
      <c r="BJ26" s="34"/>
    </row>
    <row r="27" spans="1:62" ht="15.75" customHeight="1" x14ac:dyDescent="0.25">
      <c r="A27" s="2"/>
      <c r="B27" s="149" t="s">
        <v>42</v>
      </c>
      <c r="C27" s="150">
        <f t="shared" si="11"/>
        <v>-3653883.59</v>
      </c>
      <c r="D27" s="151">
        <f t="shared" si="12"/>
        <v>-2.455253325592301E-2</v>
      </c>
      <c r="E27" s="152">
        <f t="shared" si="13"/>
        <v>0</v>
      </c>
      <c r="F27" s="153"/>
      <c r="G27" s="154">
        <f>'Summary Sheet - April 2026'!G28 +'Summary Sheet - May 2026'!G28</f>
        <v>352790.41</v>
      </c>
      <c r="H27" s="71"/>
      <c r="I27" s="71">
        <f>'Summary Sheet - April 2026'!I28</f>
        <v>0</v>
      </c>
      <c r="J27" s="71"/>
      <c r="K27" s="155">
        <f t="shared" si="14"/>
        <v>-4006674</v>
      </c>
      <c r="L27" s="156"/>
      <c r="M27" s="152">
        <f t="shared" si="15"/>
        <v>0</v>
      </c>
      <c r="N27" s="156"/>
      <c r="O27" s="69">
        <f>'Summary Sheet - April 2026'!O28 + 'Summary Sheet - May 2026'!O28</f>
        <v>0</v>
      </c>
      <c r="P27" s="40"/>
      <c r="Q27" s="69">
        <f>'Summary Sheet - April 2026'!Q28</f>
        <v>0</v>
      </c>
      <c r="R27" s="40"/>
      <c r="S27" s="69">
        <f>'Summary Sheet - April 2026'!S28 +'Summary Sheet - May 2026'!S28</f>
        <v>0</v>
      </c>
      <c r="T27" s="40"/>
      <c r="U27" s="69">
        <f>'Summary Sheet - April 2026'!U28</f>
        <v>0</v>
      </c>
      <c r="V27" s="40"/>
      <c r="W27" s="69">
        <f>'Summary Sheet - April 2026'!W28 + 'Summary Sheet - May 2026'!W28</f>
        <v>0</v>
      </c>
      <c r="X27" s="40"/>
      <c r="Y27" s="69">
        <f>'Summary Sheet - April 2026'!Y28</f>
        <v>0</v>
      </c>
      <c r="Z27" s="40"/>
      <c r="AA27" s="69">
        <f>'Summary Sheet - April 2026'!AA28 + 'Summary Sheet - May 2026'!AA28</f>
        <v>0</v>
      </c>
      <c r="AB27" s="40"/>
      <c r="AC27" s="69">
        <f>'Summary Sheet - April 2026'!AC28</f>
        <v>0</v>
      </c>
      <c r="AD27" s="40"/>
      <c r="AE27" s="69">
        <f>'Summary Sheet - April 2026'!AE28 + 'Summary Sheet - May 2026'!AE28</f>
        <v>0</v>
      </c>
      <c r="AF27" s="40"/>
      <c r="AG27" s="69">
        <f>'Summary Sheet - April 2026'!AG28</f>
        <v>0</v>
      </c>
      <c r="AH27" s="40"/>
      <c r="AI27" s="69">
        <f>'Summary Sheet - April 2026'!AI28 + 'Summary Sheet - May 2026'!AI28</f>
        <v>0</v>
      </c>
      <c r="AJ27" s="40"/>
      <c r="AK27" s="69">
        <f>'Summary Sheet - April 2026'!AK28</f>
        <v>0</v>
      </c>
      <c r="AL27" s="40"/>
      <c r="AM27" s="69">
        <f>'Summary Sheet - April 2026'!AM28 + 'Summary Sheet - May 2026'!AM28</f>
        <v>-4016974</v>
      </c>
      <c r="AN27" s="40"/>
      <c r="AO27" s="69">
        <f>'Summary Sheet - April 2026'!AO28</f>
        <v>0</v>
      </c>
      <c r="AP27" s="40"/>
      <c r="AQ27" s="69">
        <f>'Summary Sheet - April 2026'!AQ28 + 'Summary Sheet - May 2026'!AQ28</f>
        <v>0</v>
      </c>
      <c r="AR27" s="40"/>
      <c r="AS27" s="69">
        <f>'Summary Sheet - April 2026'!AS28</f>
        <v>0</v>
      </c>
      <c r="AT27" s="40"/>
      <c r="AU27" s="35">
        <f>'Summary Sheet - April 2026'!AU28 + 'Summary Sheet - May 2026'!AU28</f>
        <v>0</v>
      </c>
      <c r="AV27" s="40"/>
      <c r="AW27" s="69">
        <f>'Summary Sheet - April 2026'!AW28</f>
        <v>0</v>
      </c>
      <c r="AX27" s="40"/>
      <c r="AY27" s="35">
        <f>'Summary Sheet - April 2026'!AY28 + 'Summary Sheet - May 2026'!AY28</f>
        <v>0</v>
      </c>
      <c r="AZ27" s="40"/>
      <c r="BA27" s="40">
        <f>'Summary Sheet - April 2026'!BL28</f>
        <v>0</v>
      </c>
      <c r="BB27" s="43"/>
      <c r="BC27" s="35">
        <f>'Summary Sheet - April 2026'!BC28 + 'Summary Sheet - May 2026'!BC28</f>
        <v>0</v>
      </c>
      <c r="BD27" s="40"/>
      <c r="BE27" s="40">
        <f>'Summary Sheet - April 2026'!BP28</f>
        <v>0</v>
      </c>
      <c r="BF27" s="43"/>
      <c r="BG27" s="35">
        <f>'Summary Sheet - April 2026'!BG28 + 'Summary Sheet - May 2026'!BG28</f>
        <v>10300</v>
      </c>
      <c r="BH27" s="40"/>
      <c r="BI27" s="40">
        <f>'Summary Sheet - April 2026'!BT28</f>
        <v>0</v>
      </c>
      <c r="BJ27" s="43"/>
    </row>
    <row r="28" spans="1:62" ht="15.75" customHeight="1" x14ac:dyDescent="0.25">
      <c r="A28" s="157"/>
      <c r="B28" s="141" t="s">
        <v>43</v>
      </c>
      <c r="C28" s="158">
        <f>SUM(C18:C27)</f>
        <v>85696218.539999977</v>
      </c>
      <c r="D28" s="159">
        <f>C28/C10</f>
        <v>0.57584189637803851</v>
      </c>
      <c r="E28" s="158">
        <f t="shared" si="13"/>
        <v>4369833.5</v>
      </c>
      <c r="F28" s="158"/>
      <c r="G28" s="158">
        <f>SUM(G18:G27)</f>
        <v>14269031.766666668</v>
      </c>
      <c r="H28" s="158"/>
      <c r="I28" s="158">
        <f>SUM(I18:I27)</f>
        <v>53837.5</v>
      </c>
      <c r="J28" s="158"/>
      <c r="K28" s="158">
        <f>SUM(K18:K27)</f>
        <v>71427186.773333326</v>
      </c>
      <c r="L28" s="158"/>
      <c r="M28" s="158">
        <f>SUM(M18:M27)</f>
        <v>4315996</v>
      </c>
      <c r="N28" s="158"/>
      <c r="O28" s="158">
        <f>SUM(O18:O27)</f>
        <v>18874106.793333337</v>
      </c>
      <c r="P28" s="158"/>
      <c r="Q28" s="158">
        <f>SUM(Q18:Q27)</f>
        <v>2267621.5833333335</v>
      </c>
      <c r="R28" s="158"/>
      <c r="S28" s="158">
        <f>SUM(S18:S27)</f>
        <v>1594493.74</v>
      </c>
      <c r="T28" s="158"/>
      <c r="U28" s="158">
        <f>SUM(U18:U27)</f>
        <v>76212</v>
      </c>
      <c r="V28" s="158"/>
      <c r="W28" s="158">
        <f>SUM(W18:W27)</f>
        <v>13328559.303333331</v>
      </c>
      <c r="X28" s="158"/>
      <c r="Y28" s="158">
        <f>SUM(Y18:Y27)</f>
        <v>1314963</v>
      </c>
      <c r="Z28" s="158"/>
      <c r="AA28" s="158">
        <f>SUM(AA18:AA27)</f>
        <v>8465905.3233333342</v>
      </c>
      <c r="AB28" s="158"/>
      <c r="AC28" s="158">
        <f>SUM(AC18:AC27)</f>
        <v>65342.583333333336</v>
      </c>
      <c r="AD28" s="158"/>
      <c r="AE28" s="158">
        <f>SUM(AE18:AE27)</f>
        <v>13526887.946666667</v>
      </c>
      <c r="AF28" s="158"/>
      <c r="AG28" s="158">
        <f>SUM(AG18:AG27)</f>
        <v>220898.33333333334</v>
      </c>
      <c r="AH28" s="158"/>
      <c r="AI28" s="158">
        <f>SUM(AI18:AI27)</f>
        <v>2375002.0133333337</v>
      </c>
      <c r="AJ28" s="158"/>
      <c r="AK28" s="158">
        <f>SUM(AK18:AK27)</f>
        <v>103672.16666666667</v>
      </c>
      <c r="AL28" s="158"/>
      <c r="AM28" s="158">
        <f>SUM(AM18:AM27)</f>
        <v>-6.0000000055879354E-2</v>
      </c>
      <c r="AN28" s="158"/>
      <c r="AO28" s="158">
        <f>SUM(AO18:AO27)</f>
        <v>267286.33333333331</v>
      </c>
      <c r="AP28" s="158"/>
      <c r="AQ28" s="158">
        <f>SUM(AQ18:AQ27)</f>
        <v>11118566.063333334</v>
      </c>
      <c r="AR28" s="158"/>
      <c r="AS28" s="158">
        <f>SUM(AS18:AS27)</f>
        <v>261457.75</v>
      </c>
      <c r="AT28" s="158"/>
      <c r="AU28" s="158">
        <f>SUM(AU18:AU27)</f>
        <v>343230.31</v>
      </c>
      <c r="AV28" s="158"/>
      <c r="AW28" s="158">
        <f>SUM(AW18:AW27)</f>
        <v>0</v>
      </c>
      <c r="AX28" s="158"/>
      <c r="AY28" s="158">
        <f>SUM(AY18:AY27)</f>
        <v>166501.31</v>
      </c>
      <c r="AZ28" s="158"/>
      <c r="BA28" s="158">
        <f>SUM(BA18:BA27)</f>
        <v>0</v>
      </c>
      <c r="BB28" s="158"/>
      <c r="BC28" s="158">
        <f>SUM(BC18:BC27)</f>
        <v>175321.97</v>
      </c>
      <c r="BD28" s="158"/>
      <c r="BE28" s="158">
        <f>SUM(BE18:BE27)</f>
        <v>0</v>
      </c>
      <c r="BF28" s="158"/>
      <c r="BG28" s="158">
        <f>SUM(BG18:BG27)</f>
        <v>1458612.06</v>
      </c>
      <c r="BH28" s="158"/>
      <c r="BI28" s="158">
        <f>SUM(BI18:BI27)</f>
        <v>0</v>
      </c>
      <c r="BJ28" s="158"/>
    </row>
    <row r="29" spans="1:62" ht="15.75" customHeight="1" x14ac:dyDescent="0.25">
      <c r="A29" s="2"/>
      <c r="B29" s="160"/>
      <c r="C29" s="161"/>
      <c r="D29" s="162"/>
      <c r="E29" s="162"/>
      <c r="F29" s="163"/>
      <c r="G29" s="125"/>
      <c r="H29" s="84"/>
      <c r="I29" s="84"/>
      <c r="J29" s="84"/>
      <c r="K29" s="162"/>
      <c r="L29" s="162"/>
      <c r="M29" s="162"/>
      <c r="N29" s="162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9"/>
      <c r="BC29" s="87"/>
      <c r="BD29" s="87"/>
      <c r="BE29" s="87"/>
      <c r="BF29" s="89"/>
      <c r="BG29" s="87"/>
      <c r="BH29" s="87"/>
      <c r="BI29" s="87"/>
      <c r="BJ29" s="89"/>
    </row>
    <row r="30" spans="1:62" ht="15.75" customHeight="1" x14ac:dyDescent="0.25">
      <c r="A30" s="2"/>
      <c r="B30" s="5" t="s">
        <v>44</v>
      </c>
      <c r="C30" s="46">
        <f>C16-C28</f>
        <v>5390403.1768682152</v>
      </c>
      <c r="D30" s="47"/>
      <c r="E30" s="48">
        <f>E16-E28</f>
        <v>-4369833.5</v>
      </c>
      <c r="F30" s="53"/>
      <c r="G30" s="128">
        <f>G16-G28</f>
        <v>-14269031.766666668</v>
      </c>
      <c r="H30" s="108"/>
      <c r="I30" s="108">
        <f>I16-I28</f>
        <v>-53837.5</v>
      </c>
      <c r="J30" s="108"/>
      <c r="K30" s="48">
        <f>K16-K28</f>
        <v>19659434.943534866</v>
      </c>
      <c r="L30" s="49"/>
      <c r="M30" s="48">
        <f>M16-M28</f>
        <v>-4315996</v>
      </c>
      <c r="N30" s="49"/>
      <c r="O30" s="105">
        <f>O16-O28</f>
        <v>7693765.5254112408</v>
      </c>
      <c r="P30" s="109"/>
      <c r="Q30" s="105">
        <f>Q16-Q28</f>
        <v>-2267621.5833333335</v>
      </c>
      <c r="R30" s="109"/>
      <c r="S30" s="105">
        <f>S16-S28</f>
        <v>-573873.19334620703</v>
      </c>
      <c r="T30" s="109"/>
      <c r="U30" s="105">
        <f>U16-U28</f>
        <v>-76212</v>
      </c>
      <c r="V30" s="109"/>
      <c r="W30" s="105">
        <f>W16-W28</f>
        <v>1718626.0977433566</v>
      </c>
      <c r="X30" s="109"/>
      <c r="Y30" s="105">
        <f>Y16-Y28</f>
        <v>-1314963</v>
      </c>
      <c r="Z30" s="109"/>
      <c r="AA30" s="105">
        <f>AA16-AA28</f>
        <v>3294340.5359775107</v>
      </c>
      <c r="AB30" s="109"/>
      <c r="AC30" s="105">
        <f>AC16-AC28</f>
        <v>-65342.583333333336</v>
      </c>
      <c r="AD30" s="109"/>
      <c r="AE30" s="105">
        <f>AE16-AE28</f>
        <v>8770468.7395619024</v>
      </c>
      <c r="AF30" s="109"/>
      <c r="AG30" s="105">
        <f>AG16-AG28</f>
        <v>-220898.33333333334</v>
      </c>
      <c r="AH30" s="109"/>
      <c r="AI30" s="105">
        <f>AI16-AI28</f>
        <v>-2376032.0133333337</v>
      </c>
      <c r="AJ30" s="109"/>
      <c r="AK30" s="105">
        <f>AK16-AK28</f>
        <v>-103672.16666666667</v>
      </c>
      <c r="AL30" s="109"/>
      <c r="AM30" s="105">
        <f>AM16-AM28</f>
        <v>-929566.10408392572</v>
      </c>
      <c r="AN30" s="109"/>
      <c r="AO30" s="105">
        <f>AO16-AO28</f>
        <v>-267286.33333333331</v>
      </c>
      <c r="AP30" s="109"/>
      <c r="AQ30" s="105">
        <f>AQ16-AQ28</f>
        <v>3506230.1486019604</v>
      </c>
      <c r="AR30" s="109"/>
      <c r="AS30" s="105">
        <f>AS16-AS28</f>
        <v>-261457.75</v>
      </c>
      <c r="AT30" s="109"/>
      <c r="AU30" s="105">
        <f>AU16-AU28</f>
        <v>-123531.44177845243</v>
      </c>
      <c r="AV30" s="109"/>
      <c r="AW30" s="105">
        <f>AW16-AW28</f>
        <v>0</v>
      </c>
      <c r="AX30" s="109"/>
      <c r="AY30" s="105">
        <f>AY16-AY28</f>
        <v>-287048.42538026668</v>
      </c>
      <c r="AZ30" s="109"/>
      <c r="BA30" s="105">
        <f>BA16-BA28</f>
        <v>0</v>
      </c>
      <c r="BB30" s="107"/>
      <c r="BC30" s="105">
        <f>BC16-BC28</f>
        <v>-369427.6249567034</v>
      </c>
      <c r="BD30" s="109"/>
      <c r="BE30" s="105">
        <f>BE16-BE28</f>
        <v>0</v>
      </c>
      <c r="BF30" s="107"/>
      <c r="BG30" s="105">
        <f>BG16-BG28</f>
        <v>-664517.30088220211</v>
      </c>
      <c r="BH30" s="109"/>
      <c r="BI30" s="105">
        <f>BI16-BI28</f>
        <v>0</v>
      </c>
      <c r="BJ30" s="107"/>
    </row>
    <row r="31" spans="1:62" ht="15.75" customHeight="1" x14ac:dyDescent="0.25">
      <c r="A31" s="2"/>
      <c r="B31" s="164" t="s">
        <v>50</v>
      </c>
      <c r="C31" s="165">
        <f>C30/C10</f>
        <v>3.6221201360957946E-2</v>
      </c>
      <c r="D31" s="166"/>
      <c r="E31" s="143" t="e">
        <f>E30/E10</f>
        <v>#DIV/0!</v>
      </c>
      <c r="F31" s="167"/>
      <c r="G31" s="168"/>
      <c r="H31" s="169"/>
      <c r="I31" s="169"/>
      <c r="J31" s="169"/>
      <c r="K31" s="143">
        <f>K30/K10</f>
        <v>0.13210298531809403</v>
      </c>
      <c r="L31" s="166"/>
      <c r="M31" s="143" t="e">
        <f>M30/M10</f>
        <v>#DIV/0!</v>
      </c>
      <c r="N31" s="166"/>
      <c r="O31" s="143">
        <f>O30/O10</f>
        <v>0.18795403525951374</v>
      </c>
      <c r="P31" s="166"/>
      <c r="Q31" s="143" t="e">
        <f>Q30/Q10</f>
        <v>#DIV/0!</v>
      </c>
      <c r="R31" s="166"/>
      <c r="S31" s="143">
        <f>S30/S10</f>
        <v>-0.34420385770215772</v>
      </c>
      <c r="T31" s="166"/>
      <c r="U31" s="143" t="e">
        <f>U30/U10</f>
        <v>#DIV/0!</v>
      </c>
      <c r="V31" s="166"/>
      <c r="W31" s="143">
        <f>W30/W10</f>
        <v>6.7975354914703912E-2</v>
      </c>
      <c r="X31" s="166"/>
      <c r="Y31" s="143" t="e">
        <f>Y30/Y10</f>
        <v>#DIV/0!</v>
      </c>
      <c r="Z31" s="166"/>
      <c r="AA31" s="143">
        <f>AA30/AA10</f>
        <v>0.17206722278473927</v>
      </c>
      <c r="AB31" s="166"/>
      <c r="AC31" s="143" t="e">
        <f>AC30/AC10</f>
        <v>#DIV/0!</v>
      </c>
      <c r="AD31" s="166"/>
      <c r="AE31" s="143">
        <f>AE30/AE10</f>
        <v>0.25620119603960417</v>
      </c>
      <c r="AF31" s="166"/>
      <c r="AG31" s="143" t="e">
        <f>AG30/AG10</f>
        <v>#DIV/0!</v>
      </c>
      <c r="AH31" s="166"/>
      <c r="AI31" s="143" t="e">
        <f>AI30/AI10</f>
        <v>#DIV/0!</v>
      </c>
      <c r="AJ31" s="166"/>
      <c r="AK31" s="143" t="e">
        <f>AK30/AK10</f>
        <v>#DIV/0!</v>
      </c>
      <c r="AL31" s="166"/>
      <c r="AM31" s="143">
        <f>AM30/AM10</f>
        <v>-0.95733472751034154</v>
      </c>
      <c r="AN31" s="166"/>
      <c r="AO31" s="143" t="e">
        <f>AO30/AO10</f>
        <v>#DIV/0!</v>
      </c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7"/>
      <c r="BC31" s="166"/>
      <c r="BD31" s="166"/>
      <c r="BE31" s="166"/>
      <c r="BF31" s="167"/>
      <c r="BG31" s="166"/>
      <c r="BH31" s="166"/>
      <c r="BI31" s="166"/>
      <c r="BJ31" s="167"/>
    </row>
    <row r="32" spans="1:62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spans="1:62" ht="15.75" customHeight="1" x14ac:dyDescent="0.25">
      <c r="A33" s="2"/>
      <c r="B33" s="2"/>
      <c r="C33" s="170">
        <f>G33+K33</f>
        <v>5390403.1768682189</v>
      </c>
      <c r="D33" s="2"/>
      <c r="E33" s="2"/>
      <c r="F33" s="2"/>
      <c r="G33" s="170">
        <f>'Summary Sheet - April 2026'!G31+'Summary Sheet - May 2026'!G31</f>
        <v>-14269031.766666666</v>
      </c>
      <c r="H33" s="2"/>
      <c r="I33" s="2"/>
      <c r="J33" s="2"/>
      <c r="K33" s="170">
        <f>SUM(O33:BJ33)</f>
        <v>19659434.943534885</v>
      </c>
      <c r="L33" s="2"/>
      <c r="M33" s="2"/>
      <c r="N33" s="2"/>
      <c r="O33" s="170">
        <f>'Summary Sheet - April 2026'!O31+'Summary Sheet - May 2026'!O31</f>
        <v>7693765.5254112445</v>
      </c>
      <c r="P33" s="2"/>
      <c r="Q33" s="2"/>
      <c r="R33" s="2"/>
      <c r="S33" s="170">
        <f>'Summary Sheet - April 2026'!S31+'Summary Sheet - May 2026'!S31</f>
        <v>-573873.19334620703</v>
      </c>
      <c r="T33" s="2"/>
      <c r="U33" s="2"/>
      <c r="V33" s="2"/>
      <c r="W33" s="170">
        <f>'Summary Sheet - April 2026'!W31+'Summary Sheet - May 2026'!W31</f>
        <v>1718626.0977433538</v>
      </c>
      <c r="X33" s="2"/>
      <c r="Y33" s="2"/>
      <c r="Z33" s="2"/>
      <c r="AA33" s="170">
        <f>'Summary Sheet - April 2026'!AA31+'Summary Sheet - May 2026'!AA31</f>
        <v>3294340.5359775089</v>
      </c>
      <c r="AB33" s="2"/>
      <c r="AC33" s="2"/>
      <c r="AD33" s="2"/>
      <c r="AE33" s="170">
        <f>'Summary Sheet - April 2026'!AE31+'Summary Sheet - May 2026'!AE31</f>
        <v>8770468.7395619079</v>
      </c>
      <c r="AF33" s="2"/>
      <c r="AG33" s="2"/>
      <c r="AH33" s="2"/>
      <c r="AI33" s="170">
        <f>'Summary Sheet - April 2026'!AI31+'Summary Sheet - May 2026'!AI31</f>
        <v>-2376032.0133333337</v>
      </c>
      <c r="AJ33" s="2"/>
      <c r="AK33" s="2"/>
      <c r="AL33" s="2"/>
      <c r="AM33" s="170">
        <f>'Summary Sheet - April 2026'!AM31+'Summary Sheet - May 2026'!AM31</f>
        <v>-929566.10408392572</v>
      </c>
      <c r="AN33" s="2"/>
      <c r="AO33" s="2"/>
      <c r="AP33" s="2"/>
      <c r="AQ33" s="170">
        <f>'Summary Sheet - April 2026'!AQ31+'Summary Sheet - May 2026'!AQ31</f>
        <v>3506230.1486019623</v>
      </c>
      <c r="AR33" s="2"/>
      <c r="AS33" s="2"/>
      <c r="AT33" s="2"/>
      <c r="AU33" s="170">
        <f>'Summary Sheet - April 2026'!AU31+'Summary Sheet - May 2026'!AU31</f>
        <v>-123531.44177845243</v>
      </c>
      <c r="AV33" s="2"/>
      <c r="AW33" s="2"/>
      <c r="AX33" s="2"/>
      <c r="AY33" s="170">
        <f>'Summary Sheet - April 2026'!AY31+'Summary Sheet - May 2026'!AY31</f>
        <v>-287048.42538026668</v>
      </c>
      <c r="AZ33" s="2"/>
      <c r="BA33" s="2"/>
      <c r="BB33" s="2"/>
      <c r="BC33" s="170">
        <f>'Summary Sheet - April 2026'!BC31+'Summary Sheet - May 2026'!BC31</f>
        <v>-369427.62495670334</v>
      </c>
      <c r="BD33" s="2"/>
      <c r="BE33" s="2"/>
      <c r="BF33" s="2"/>
      <c r="BG33" s="170">
        <f>'Summary Sheet - April 2026'!BG31+'Summary Sheet - May 2026'!BG31</f>
        <v>-664517.30088220211</v>
      </c>
      <c r="BH33" s="2"/>
      <c r="BI33" s="2"/>
      <c r="BJ33" s="2"/>
    </row>
    <row r="34" spans="1:62" ht="15.75" customHeight="1" x14ac:dyDescent="0.25">
      <c r="A34" s="2"/>
      <c r="B34" s="2"/>
      <c r="C34" s="170">
        <f>+C30-C33</f>
        <v>0</v>
      </c>
      <c r="D34" s="2"/>
      <c r="E34" s="170"/>
      <c r="F34" s="2"/>
      <c r="G34" s="170">
        <f>+G30-G33</f>
        <v>0</v>
      </c>
      <c r="H34" s="2"/>
      <c r="I34" s="2"/>
      <c r="J34" s="2"/>
      <c r="K34" s="170">
        <f>+K30-K33</f>
        <v>0</v>
      </c>
      <c r="L34" s="2"/>
      <c r="M34" s="170"/>
      <c r="N34" s="2"/>
      <c r="O34" s="170">
        <f>+O30-O33</f>
        <v>0</v>
      </c>
      <c r="P34" s="2"/>
      <c r="Q34" s="170"/>
      <c r="R34" s="2"/>
      <c r="S34" s="170">
        <f>+S30-S33</f>
        <v>0</v>
      </c>
      <c r="T34" s="2"/>
      <c r="U34" s="170"/>
      <c r="V34" s="2"/>
      <c r="W34" s="170">
        <f>+W30-W33</f>
        <v>2.7939677238464355E-9</v>
      </c>
      <c r="X34" s="2"/>
      <c r="Y34" s="170"/>
      <c r="Z34" s="2"/>
      <c r="AA34" s="170">
        <f>+AA30-AA33</f>
        <v>0</v>
      </c>
      <c r="AB34" s="2"/>
      <c r="AC34" s="170"/>
      <c r="AD34" s="2"/>
      <c r="AE34" s="170">
        <f>+AE30-AE33</f>
        <v>0</v>
      </c>
      <c r="AF34" s="2"/>
      <c r="AG34" s="170"/>
      <c r="AH34" s="2"/>
      <c r="AI34" s="170">
        <f>+AI30-AI33</f>
        <v>0</v>
      </c>
      <c r="AJ34" s="2"/>
      <c r="AK34" s="170"/>
      <c r="AL34" s="2"/>
      <c r="AM34" s="170">
        <f>+AM30-AM33</f>
        <v>0</v>
      </c>
      <c r="AN34" s="2"/>
      <c r="AO34" s="170"/>
      <c r="AP34" s="2"/>
      <c r="AQ34" s="170">
        <f>+AQ30-AQ33</f>
        <v>0</v>
      </c>
      <c r="AR34" s="2"/>
      <c r="AS34" s="170"/>
      <c r="AT34" s="2"/>
      <c r="AU34" s="170">
        <f>+AU30-AU33</f>
        <v>0</v>
      </c>
      <c r="AV34" s="2"/>
      <c r="AW34" s="170"/>
      <c r="AX34" s="2"/>
      <c r="AY34" s="170">
        <f>+AY30-AY33</f>
        <v>0</v>
      </c>
      <c r="AZ34" s="2"/>
      <c r="BA34" s="170"/>
      <c r="BB34" s="2"/>
      <c r="BC34" s="170">
        <f>+BC30-BC33</f>
        <v>0</v>
      </c>
      <c r="BD34" s="2"/>
      <c r="BE34" s="170"/>
      <c r="BF34" s="2"/>
      <c r="BG34" s="170">
        <f>+BG30-BG33</f>
        <v>0</v>
      </c>
      <c r="BH34" s="2"/>
      <c r="BI34" s="170"/>
      <c r="BJ34" s="2"/>
    </row>
    <row r="35" spans="1:62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spans="1:62" ht="15.75" customHeight="1" x14ac:dyDescent="0.25">
      <c r="A36" s="2"/>
      <c r="B36" s="2"/>
      <c r="C36" s="170">
        <f>'Summary Sheet - May 2026'!C31+'Summary Sheet - April 2026'!C31</f>
        <v>5390403.1768682078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spans="1:62" ht="15.75" customHeight="1" x14ac:dyDescent="0.25">
      <c r="A37" s="2"/>
      <c r="B37" s="2"/>
      <c r="C37" s="170">
        <f>+C30-C36</f>
        <v>7.4505805969238281E-9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spans="1:62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spans="1:62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spans="1:62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spans="1:62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spans="1:62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spans="1:62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spans="1:62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spans="1:6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spans="1:6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spans="1:6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spans="1:6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spans="1:6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spans="1:6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spans="1:6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spans="1:6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spans="1:6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spans="1:6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spans="1:6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spans="1:6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spans="1:6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spans="1:6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spans="1:6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spans="1:6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spans="1:6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spans="1:6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spans="1:6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spans="1:6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spans="1:6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spans="1:6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spans="1:6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spans="1:6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spans="1:6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spans="1:6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spans="1:6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spans="1:6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spans="1:6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spans="1:6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spans="1:6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spans="1:6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spans="1:6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spans="1:6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spans="1:6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spans="1:6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spans="1:6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spans="1:6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spans="1:6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spans="1:6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spans="1:6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spans="1:6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spans="1:6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spans="1:6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spans="1:6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spans="1:6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spans="1:6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spans="1:6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spans="1:6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spans="1:6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spans="1:6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spans="1:6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spans="1:6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spans="1:6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spans="1:6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spans="1:6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spans="1:6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spans="1:6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spans="1:6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spans="1:6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spans="1:6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spans="1:6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spans="1:6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spans="1:6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spans="1:6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spans="1:6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spans="1:6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spans="1:6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spans="1:6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spans="1:6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spans="1:6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spans="1:6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spans="1:6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spans="1:6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spans="1:6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spans="1:6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spans="1:6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spans="1:6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spans="1:6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spans="1:6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spans="1:62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spans="1:62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spans="1:62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spans="1:62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spans="1:62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spans="1:62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spans="1:62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spans="1:62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spans="1:62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spans="1:62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spans="1:62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spans="1:62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spans="1:62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spans="1:62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spans="1:62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spans="1:62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spans="1:62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spans="1:62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spans="1:62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spans="1:62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spans="1:62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spans="1:62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spans="1:62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spans="1:62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spans="1:62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spans="1:62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spans="1:62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spans="1:62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spans="1:62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spans="1:62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spans="1:62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spans="1:62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spans="1:62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spans="1:62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spans="1:62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spans="1:62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spans="1:62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spans="1:62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spans="1:62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spans="1:62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spans="1:62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spans="1:62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spans="1:62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spans="1:62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spans="1:62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spans="1:62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spans="1:62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spans="1:62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spans="1:62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spans="1:62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spans="1:62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spans="1:62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spans="1:62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spans="1:62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spans="1:62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spans="1:62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spans="1:62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spans="1:62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spans="1:62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spans="1:62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spans="1:62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spans="1:62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spans="1:62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spans="1:62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spans="1:62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spans="1:62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spans="1:62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spans="1:62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spans="1:62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spans="1:62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spans="1:62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spans="1:62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spans="1:62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spans="1:62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spans="1:62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 spans="1:62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</row>
    <row r="202" spans="1:62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spans="1:62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 spans="1:62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</row>
    <row r="205" spans="1:62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</row>
    <row r="206" spans="1:62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</row>
    <row r="209" spans="1:62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</row>
    <row r="210" spans="1:62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</row>
    <row r="211" spans="1:62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</row>
    <row r="212" spans="1:62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</row>
    <row r="213" spans="1:62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</row>
    <row r="214" spans="1:62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</row>
    <row r="215" spans="1:62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</row>
    <row r="216" spans="1:62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</row>
    <row r="217" spans="1:62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</row>
    <row r="218" spans="1:62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</row>
    <row r="219" spans="1:62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</row>
    <row r="220" spans="1:62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</row>
    <row r="221" spans="1:62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</row>
    <row r="222" spans="1:62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</row>
    <row r="223" spans="1:62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</row>
    <row r="224" spans="1:62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</row>
    <row r="225" spans="1:62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</row>
    <row r="226" spans="1:62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</row>
    <row r="227" spans="1:62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</row>
    <row r="228" spans="1:62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</row>
    <row r="229" spans="1:62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</row>
    <row r="230" spans="1:62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</row>
    <row r="231" spans="1:62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</row>
    <row r="232" spans="1:62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</row>
    <row r="233" spans="1:62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</row>
    <row r="234" spans="1:62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</row>
    <row r="235" spans="1:62" ht="15.75" customHeight="1" x14ac:dyDescent="0.2"/>
    <row r="236" spans="1:62" ht="15.75" customHeight="1" x14ac:dyDescent="0.2"/>
    <row r="237" spans="1:62" ht="15.75" customHeight="1" x14ac:dyDescent="0.2"/>
    <row r="238" spans="1:62" ht="15.75" customHeight="1" x14ac:dyDescent="0.2"/>
    <row r="239" spans="1:62" ht="15.75" customHeight="1" x14ac:dyDescent="0.2"/>
    <row r="240" spans="1:6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S3:V3"/>
    <mergeCell ref="W3:Z3"/>
    <mergeCell ref="BC3:BF3"/>
    <mergeCell ref="BG3:BJ3"/>
    <mergeCell ref="AA3:AD3"/>
    <mergeCell ref="AE3:AH3"/>
    <mergeCell ref="AI3:AL3"/>
    <mergeCell ref="AM3:AP3"/>
    <mergeCell ref="AQ3:AT3"/>
    <mergeCell ref="AU3:AX3"/>
    <mergeCell ref="AY3:BB3"/>
    <mergeCell ref="B3:B4"/>
    <mergeCell ref="C3:F3"/>
    <mergeCell ref="G3:J3"/>
    <mergeCell ref="K3:N3"/>
    <mergeCell ref="O3:R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/>
  </sheetViews>
  <sheetFormatPr defaultColWidth="12.5703125" defaultRowHeight="15" customHeight="1" x14ac:dyDescent="0.2"/>
  <cols>
    <col min="1" max="1" width="12.5703125" customWidth="1"/>
    <col min="2" max="2" width="22.42578125" customWidth="1"/>
    <col min="3" max="6" width="12.5703125" customWidth="1"/>
    <col min="8" max="8" width="13.7109375" customWidth="1"/>
  </cols>
  <sheetData>
    <row r="1" spans="1:8" ht="15.75" customHeight="1" x14ac:dyDescent="0.2">
      <c r="A1" s="171" t="s">
        <v>51</v>
      </c>
    </row>
    <row r="2" spans="1:8" ht="15.75" customHeight="1" x14ac:dyDescent="0.2">
      <c r="C2" s="172"/>
      <c r="D2" s="172"/>
      <c r="E2" s="172"/>
      <c r="F2" s="172"/>
    </row>
    <row r="3" spans="1:8" ht="15.75" customHeight="1" x14ac:dyDescent="0.2">
      <c r="B3" s="173"/>
      <c r="C3" s="174">
        <v>45748</v>
      </c>
      <c r="D3" s="174">
        <v>45778</v>
      </c>
      <c r="E3" s="174">
        <v>45809</v>
      </c>
      <c r="F3" s="174">
        <v>45839</v>
      </c>
      <c r="G3" s="174">
        <v>45870</v>
      </c>
      <c r="H3" s="174">
        <v>45901</v>
      </c>
    </row>
    <row r="4" spans="1:8" ht="15.75" customHeight="1" x14ac:dyDescent="0.2">
      <c r="B4" s="175" t="s">
        <v>21</v>
      </c>
      <c r="C4" s="176">
        <f>'Summary Sheet - April 2026'!W5</f>
        <v>1181100</v>
      </c>
      <c r="D4" s="176" t="e">
        <f t="shared" ref="D4:G4" si="0">#REF!</f>
        <v>#REF!</v>
      </c>
      <c r="E4" s="176" t="e">
        <f t="shared" si="0"/>
        <v>#REF!</v>
      </c>
      <c r="F4" s="176" t="e">
        <f t="shared" si="0"/>
        <v>#REF!</v>
      </c>
      <c r="G4" s="176" t="e">
        <f t="shared" si="0"/>
        <v>#REF!</v>
      </c>
      <c r="H4" s="176" t="e">
        <f>'Mg St Colaba'!#REF!</f>
        <v>#REF!</v>
      </c>
    </row>
    <row r="5" spans="1:8" ht="15.75" customHeight="1" x14ac:dyDescent="0.2">
      <c r="B5" s="175" t="s">
        <v>22</v>
      </c>
      <c r="C5" s="176">
        <f>'Summary Sheet - April 2026'!W6</f>
        <v>769660</v>
      </c>
      <c r="D5" s="176" t="e">
        <f t="shared" ref="D5:G5" si="1">#REF!</f>
        <v>#REF!</v>
      </c>
      <c r="E5" s="176" t="e">
        <f t="shared" si="1"/>
        <v>#REF!</v>
      </c>
      <c r="F5" s="176" t="e">
        <f t="shared" si="1"/>
        <v>#REF!</v>
      </c>
      <c r="G5" s="176" t="e">
        <f t="shared" si="1"/>
        <v>#REF!</v>
      </c>
      <c r="H5" s="176" t="e">
        <f>'Mg St Colaba'!#REF!</f>
        <v>#REF!</v>
      </c>
    </row>
    <row r="6" spans="1:8" ht="15.75" customHeight="1" x14ac:dyDescent="0.2">
      <c r="B6" s="175" t="s">
        <v>23</v>
      </c>
      <c r="C6" s="176">
        <f>'Summary Sheet - April 2026'!W7</f>
        <v>10177814.49</v>
      </c>
      <c r="D6" s="176" t="e">
        <f t="shared" ref="D6:G6" si="2">#REF!</f>
        <v>#REF!</v>
      </c>
      <c r="E6" s="176" t="e">
        <f t="shared" si="2"/>
        <v>#REF!</v>
      </c>
      <c r="F6" s="176" t="e">
        <f t="shared" si="2"/>
        <v>#REF!</v>
      </c>
      <c r="G6" s="176" t="e">
        <f t="shared" si="2"/>
        <v>#REF!</v>
      </c>
      <c r="H6" s="176" t="e">
        <f>'Mg St Colaba'!#REF!</f>
        <v>#REF!</v>
      </c>
    </row>
    <row r="7" spans="1:8" ht="15.75" customHeight="1" x14ac:dyDescent="0.2">
      <c r="B7" s="175" t="s">
        <v>24</v>
      </c>
      <c r="C7" s="176">
        <f>'Summary Sheet - April 2026'!W8</f>
        <v>721626</v>
      </c>
      <c r="D7" s="176" t="e">
        <f t="shared" ref="D7:G7" si="3">#REF!</f>
        <v>#REF!</v>
      </c>
      <c r="E7" s="176" t="e">
        <f t="shared" si="3"/>
        <v>#REF!</v>
      </c>
      <c r="F7" s="176" t="e">
        <f t="shared" si="3"/>
        <v>#REF!</v>
      </c>
      <c r="G7" s="176" t="e">
        <f t="shared" si="3"/>
        <v>#REF!</v>
      </c>
      <c r="H7" s="176" t="e">
        <f>'Mg St Colaba'!#REF!</f>
        <v>#REF!</v>
      </c>
    </row>
    <row r="8" spans="1:8" ht="15.75" customHeight="1" x14ac:dyDescent="0.2">
      <c r="B8" s="175" t="s">
        <v>26</v>
      </c>
      <c r="C8" s="177">
        <f t="shared" ref="C8:H8" si="4">SUM(C4:C7)</f>
        <v>12850200.49</v>
      </c>
      <c r="D8" s="177" t="e">
        <f t="shared" si="4"/>
        <v>#REF!</v>
      </c>
      <c r="E8" s="177" t="e">
        <f t="shared" si="4"/>
        <v>#REF!</v>
      </c>
      <c r="F8" s="177" t="e">
        <f t="shared" si="4"/>
        <v>#REF!</v>
      </c>
      <c r="G8" s="177" t="e">
        <f t="shared" si="4"/>
        <v>#REF!</v>
      </c>
      <c r="H8" s="177" t="e">
        <f t="shared" si="4"/>
        <v>#REF!</v>
      </c>
    </row>
    <row r="9" spans="1:8" ht="15.75" customHeight="1" x14ac:dyDescent="0.2">
      <c r="B9" s="175"/>
      <c r="C9" s="173">
        <f>'Summary Sheet - April 2026'!O11</f>
        <v>0</v>
      </c>
      <c r="D9" s="173" t="e">
        <f t="shared" ref="D9:F9" si="5">#REF!</f>
        <v>#REF!</v>
      </c>
      <c r="E9" s="173" t="e">
        <f t="shared" si="5"/>
        <v>#REF!</v>
      </c>
      <c r="F9" s="173" t="e">
        <f t="shared" si="5"/>
        <v>#REF!</v>
      </c>
      <c r="G9" s="173"/>
      <c r="H9" s="173"/>
    </row>
    <row r="10" spans="1:8" ht="15.75" customHeight="1" x14ac:dyDescent="0.2">
      <c r="B10" s="175" t="s">
        <v>28</v>
      </c>
      <c r="C10" s="176">
        <f>'Summary Sheet - April 2026'!W12</f>
        <v>4857214.2228449192</v>
      </c>
      <c r="D10" s="176" t="e">
        <f t="shared" ref="D10:G10" si="6">#REF!</f>
        <v>#REF!</v>
      </c>
      <c r="E10" s="176" t="e">
        <f t="shared" si="6"/>
        <v>#REF!</v>
      </c>
      <c r="F10" s="176" t="e">
        <f t="shared" si="6"/>
        <v>#REF!</v>
      </c>
      <c r="G10" s="176" t="e">
        <f t="shared" si="6"/>
        <v>#REF!</v>
      </c>
      <c r="H10" s="176" t="e">
        <f>'Mg St Colaba'!#REF!</f>
        <v>#REF!</v>
      </c>
    </row>
    <row r="11" spans="1:8" ht="15.75" customHeight="1" x14ac:dyDescent="0.2">
      <c r="B11" s="175" t="s">
        <v>29</v>
      </c>
      <c r="C11" s="176">
        <f>'Summary Sheet - April 2026'!W13</f>
        <v>187031.4</v>
      </c>
      <c r="D11" s="176" t="e">
        <f t="shared" ref="D11:G11" si="7">#REF!</f>
        <v>#REF!</v>
      </c>
      <c r="E11" s="176" t="e">
        <f t="shared" si="7"/>
        <v>#REF!</v>
      </c>
      <c r="F11" s="176" t="e">
        <f t="shared" si="7"/>
        <v>#REF!</v>
      </c>
      <c r="G11" s="176" t="e">
        <f t="shared" si="7"/>
        <v>#REF!</v>
      </c>
      <c r="H11" s="176" t="e">
        <f>'Mg St Colaba'!#REF!</f>
        <v>#REF!</v>
      </c>
    </row>
    <row r="12" spans="1:8" ht="15.75" customHeight="1" x14ac:dyDescent="0.2">
      <c r="B12" s="175" t="s">
        <v>30</v>
      </c>
      <c r="C12" s="177">
        <f t="shared" ref="C12:H12" si="8">C10+C11</f>
        <v>5044245.6228449196</v>
      </c>
      <c r="D12" s="177" t="e">
        <f t="shared" si="8"/>
        <v>#REF!</v>
      </c>
      <c r="E12" s="177" t="e">
        <f t="shared" si="8"/>
        <v>#REF!</v>
      </c>
      <c r="F12" s="177" t="e">
        <f t="shared" si="8"/>
        <v>#REF!</v>
      </c>
      <c r="G12" s="177" t="e">
        <f t="shared" si="8"/>
        <v>#REF!</v>
      </c>
      <c r="H12" s="177" t="e">
        <f t="shared" si="8"/>
        <v>#REF!</v>
      </c>
    </row>
    <row r="13" spans="1:8" ht="15.75" customHeight="1" x14ac:dyDescent="0.2">
      <c r="B13" s="175" t="s">
        <v>31</v>
      </c>
      <c r="C13" s="176" t="e">
        <f>#REF!</f>
        <v>#REF!</v>
      </c>
      <c r="D13" s="176" t="e">
        <f>'Mg St Colaba'!#REF!</f>
        <v>#REF!</v>
      </c>
      <c r="E13" s="176" t="e">
        <f>'Mg St Colaba'!#REF!</f>
        <v>#REF!</v>
      </c>
      <c r="F13" s="176" t="e">
        <f>'Mg St Colaba'!#REF!</f>
        <v>#REF!</v>
      </c>
      <c r="G13" s="176" t="e">
        <f>'Mg St Colaba'!#REF!</f>
        <v>#REF!</v>
      </c>
      <c r="H13" s="176" t="e">
        <f>'Mg St Colaba'!#REF!</f>
        <v>#REF!</v>
      </c>
    </row>
    <row r="14" spans="1:8" ht="15.75" customHeight="1" x14ac:dyDescent="0.2">
      <c r="B14" s="175"/>
      <c r="C14" s="173"/>
      <c r="D14" s="173"/>
      <c r="E14" s="173" t="e">
        <f t="shared" ref="E14:F14" si="9">#REF!</f>
        <v>#REF!</v>
      </c>
      <c r="F14" s="173" t="e">
        <f t="shared" si="9"/>
        <v>#REF!</v>
      </c>
      <c r="G14" s="173"/>
      <c r="H14" s="173"/>
    </row>
    <row r="15" spans="1:8" ht="15.75" customHeight="1" x14ac:dyDescent="0.2">
      <c r="B15" s="175" t="s">
        <v>32</v>
      </c>
      <c r="C15" s="177" t="e">
        <f t="shared" ref="C15:H15" si="10">C8-C12-C13</f>
        <v>#REF!</v>
      </c>
      <c r="D15" s="177" t="e">
        <f t="shared" si="10"/>
        <v>#REF!</v>
      </c>
      <c r="E15" s="177" t="e">
        <f t="shared" si="10"/>
        <v>#REF!</v>
      </c>
      <c r="F15" s="177" t="e">
        <f t="shared" si="10"/>
        <v>#REF!</v>
      </c>
      <c r="G15" s="177" t="e">
        <f t="shared" si="10"/>
        <v>#REF!</v>
      </c>
      <c r="H15" s="177" t="e">
        <f t="shared" si="10"/>
        <v>#REF!</v>
      </c>
    </row>
    <row r="16" spans="1:8" ht="15.75" customHeight="1" x14ac:dyDescent="0.2">
      <c r="B16" s="175" t="s">
        <v>52</v>
      </c>
      <c r="C16" s="178" t="e">
        <f t="shared" ref="C16:H16" si="11">C15/C8</f>
        <v>#REF!</v>
      </c>
      <c r="D16" s="178" t="e">
        <f t="shared" si="11"/>
        <v>#REF!</v>
      </c>
      <c r="E16" s="178" t="e">
        <f t="shared" si="11"/>
        <v>#REF!</v>
      </c>
      <c r="F16" s="178" t="e">
        <f t="shared" si="11"/>
        <v>#REF!</v>
      </c>
      <c r="G16" s="178" t="e">
        <f t="shared" si="11"/>
        <v>#REF!</v>
      </c>
      <c r="H16" s="178" t="e">
        <f t="shared" si="11"/>
        <v>#REF!</v>
      </c>
    </row>
    <row r="17" spans="2:8" ht="15.75" customHeight="1" x14ac:dyDescent="0.2">
      <c r="B17" s="175"/>
      <c r="C17" s="173">
        <f>'Summary Sheet - April 2026'!O16</f>
        <v>0</v>
      </c>
      <c r="D17" s="173" t="e">
        <f t="shared" ref="D17:F17" si="12">#REF!</f>
        <v>#REF!</v>
      </c>
      <c r="E17" s="173" t="e">
        <f t="shared" si="12"/>
        <v>#REF!</v>
      </c>
      <c r="F17" s="173" t="e">
        <f t="shared" si="12"/>
        <v>#REF!</v>
      </c>
      <c r="G17" s="173"/>
      <c r="H17" s="173"/>
    </row>
    <row r="18" spans="2:8" ht="15.75" customHeight="1" x14ac:dyDescent="0.2">
      <c r="B18" s="175" t="s">
        <v>33</v>
      </c>
      <c r="C18" s="176">
        <f>'Summary Sheet - April 2026'!W19</f>
        <v>393268.87333333335</v>
      </c>
      <c r="D18" s="176" t="e">
        <f t="shared" ref="D18:G18" si="13">#REF!</f>
        <v>#REF!</v>
      </c>
      <c r="E18" s="176" t="e">
        <f t="shared" si="13"/>
        <v>#REF!</v>
      </c>
      <c r="F18" s="176" t="e">
        <f t="shared" si="13"/>
        <v>#REF!</v>
      </c>
      <c r="G18" s="176" t="e">
        <f t="shared" si="13"/>
        <v>#REF!</v>
      </c>
      <c r="H18" s="176" t="e">
        <f>'Mg St Colaba'!#REF!</f>
        <v>#REF!</v>
      </c>
    </row>
    <row r="19" spans="2:8" ht="15.75" customHeight="1" x14ac:dyDescent="0.2">
      <c r="B19" s="175" t="s">
        <v>34</v>
      </c>
      <c r="C19" s="176">
        <f>'Summary Sheet - April 2026'!W20</f>
        <v>196105.44</v>
      </c>
      <c r="D19" s="176" t="e">
        <f t="shared" ref="D19:G19" si="14">#REF!</f>
        <v>#REF!</v>
      </c>
      <c r="E19" s="176" t="e">
        <f t="shared" si="14"/>
        <v>#REF!</v>
      </c>
      <c r="F19" s="176" t="e">
        <f t="shared" si="14"/>
        <v>#REF!</v>
      </c>
      <c r="G19" s="176" t="e">
        <f t="shared" si="14"/>
        <v>#REF!</v>
      </c>
      <c r="H19" s="176" t="e">
        <f>'Mg St Colaba'!#REF!</f>
        <v>#REF!</v>
      </c>
    </row>
    <row r="20" spans="2:8" ht="15.75" customHeight="1" x14ac:dyDescent="0.2">
      <c r="B20" s="175" t="s">
        <v>35</v>
      </c>
      <c r="C20" s="176">
        <f>'Summary Sheet - April 2026'!W21</f>
        <v>480580.78999999992</v>
      </c>
      <c r="D20" s="176" t="e">
        <f t="shared" ref="D20:G20" si="15">#REF!</f>
        <v>#REF!</v>
      </c>
      <c r="E20" s="176" t="e">
        <f t="shared" si="15"/>
        <v>#REF!</v>
      </c>
      <c r="F20" s="176" t="e">
        <f t="shared" si="15"/>
        <v>#REF!</v>
      </c>
      <c r="G20" s="176" t="e">
        <f t="shared" si="15"/>
        <v>#REF!</v>
      </c>
      <c r="H20" s="176" t="e">
        <f>'Mg St Colaba'!#REF!</f>
        <v>#REF!</v>
      </c>
    </row>
    <row r="21" spans="2:8" ht="15.75" customHeight="1" x14ac:dyDescent="0.2">
      <c r="B21" s="175" t="s">
        <v>36</v>
      </c>
      <c r="C21" s="176">
        <f>'Summary Sheet - April 2026'!W22</f>
        <v>1695349.3333333333</v>
      </c>
      <c r="D21" s="176" t="e">
        <f t="shared" ref="D21:G21" si="16">#REF!</f>
        <v>#REF!</v>
      </c>
      <c r="E21" s="176" t="e">
        <f t="shared" si="16"/>
        <v>#REF!</v>
      </c>
      <c r="F21" s="176" t="e">
        <f t="shared" si="16"/>
        <v>#REF!</v>
      </c>
      <c r="G21" s="176" t="e">
        <f t="shared" si="16"/>
        <v>#REF!</v>
      </c>
      <c r="H21" s="176" t="e">
        <f>'Mg St Colaba'!#REF!</f>
        <v>#REF!</v>
      </c>
    </row>
    <row r="22" spans="2:8" ht="15.75" customHeight="1" x14ac:dyDescent="0.2">
      <c r="B22" s="175" t="s">
        <v>37</v>
      </c>
      <c r="C22" s="176">
        <f>'Summary Sheet - April 2026'!W23</f>
        <v>3187826.7666666666</v>
      </c>
      <c r="D22" s="176" t="e">
        <f t="shared" ref="D22:G22" si="17">#REF!</f>
        <v>#REF!</v>
      </c>
      <c r="E22" s="176" t="e">
        <f t="shared" si="17"/>
        <v>#REF!</v>
      </c>
      <c r="F22" s="176" t="e">
        <f t="shared" si="17"/>
        <v>#REF!</v>
      </c>
      <c r="G22" s="176" t="e">
        <f t="shared" si="17"/>
        <v>#REF!</v>
      </c>
      <c r="H22" s="176" t="e">
        <f>'Mg St Colaba'!#REF!</f>
        <v>#REF!</v>
      </c>
    </row>
    <row r="23" spans="2:8" ht="15.75" customHeight="1" x14ac:dyDescent="0.2">
      <c r="B23" s="175" t="s">
        <v>38</v>
      </c>
      <c r="C23" s="176">
        <f>'Summary Sheet - April 2026'!W24</f>
        <v>24118.899999999998</v>
      </c>
      <c r="D23" s="176" t="e">
        <f t="shared" ref="D23:F23" si="18">#REF!</f>
        <v>#REF!</v>
      </c>
      <c r="E23" s="176" t="e">
        <f t="shared" si="18"/>
        <v>#REF!</v>
      </c>
      <c r="F23" s="176" t="e">
        <f t="shared" si="18"/>
        <v>#REF!</v>
      </c>
      <c r="G23" s="176" t="e">
        <f>'Mg St Colaba'!#REF!</f>
        <v>#REF!</v>
      </c>
      <c r="H23" s="176" t="e">
        <f>'Mg St Colaba'!#REF!</f>
        <v>#REF!</v>
      </c>
    </row>
    <row r="24" spans="2:8" ht="15.75" customHeight="1" x14ac:dyDescent="0.2">
      <c r="B24" s="175" t="s">
        <v>39</v>
      </c>
      <c r="C24" s="176">
        <f>'Summary Sheet - April 2026'!W25</f>
        <v>63685.333333333336</v>
      </c>
      <c r="D24" s="176" t="e">
        <f t="shared" ref="D24:F24" si="19">#REF!</f>
        <v>#REF!</v>
      </c>
      <c r="E24" s="176" t="e">
        <f t="shared" si="19"/>
        <v>#REF!</v>
      </c>
      <c r="F24" s="176" t="e">
        <f t="shared" si="19"/>
        <v>#REF!</v>
      </c>
      <c r="G24" s="176" t="e">
        <f>'Mg St Colaba'!#REF!</f>
        <v>#REF!</v>
      </c>
      <c r="H24" s="176" t="e">
        <f>'Mg St Colaba'!#REF!</f>
        <v>#REF!</v>
      </c>
    </row>
    <row r="25" spans="2:8" ht="15.75" customHeight="1" x14ac:dyDescent="0.2">
      <c r="B25" s="175" t="s">
        <v>40</v>
      </c>
      <c r="C25" s="176">
        <f>'Summary Sheet - April 2026'!W26</f>
        <v>667797.91666666663</v>
      </c>
      <c r="D25" s="176" t="e">
        <f t="shared" ref="D25:F25" si="20">#REF!</f>
        <v>#REF!</v>
      </c>
      <c r="E25" s="176" t="e">
        <f t="shared" si="20"/>
        <v>#REF!</v>
      </c>
      <c r="F25" s="176" t="e">
        <f t="shared" si="20"/>
        <v>#REF!</v>
      </c>
      <c r="G25" s="176" t="e">
        <f>'Mg St Colaba'!#REF!</f>
        <v>#REF!</v>
      </c>
      <c r="H25" s="176" t="e">
        <f>'Mg St Colaba'!#REF!</f>
        <v>#REF!</v>
      </c>
    </row>
    <row r="26" spans="2:8" ht="15.75" customHeight="1" x14ac:dyDescent="0.2">
      <c r="B26" s="175" t="s">
        <v>41</v>
      </c>
      <c r="C26" s="176">
        <f>'Summary Sheet - April 2026'!W27</f>
        <v>10325</v>
      </c>
      <c r="D26" s="176" t="e">
        <f t="shared" ref="D26:F26" si="21">#REF!</f>
        <v>#REF!</v>
      </c>
      <c r="E26" s="176" t="e">
        <f t="shared" si="21"/>
        <v>#REF!</v>
      </c>
      <c r="F26" s="176" t="e">
        <f t="shared" si="21"/>
        <v>#REF!</v>
      </c>
      <c r="G26" s="176"/>
      <c r="H26" s="176"/>
    </row>
    <row r="27" spans="2:8" ht="15.75" customHeight="1" x14ac:dyDescent="0.2">
      <c r="B27" s="175" t="s">
        <v>42</v>
      </c>
      <c r="C27" s="176">
        <f>'Summary Sheet - April 2026'!W28</f>
        <v>0</v>
      </c>
      <c r="D27" s="176" t="e">
        <f t="shared" ref="D27:F27" si="22">#REF!</f>
        <v>#REF!</v>
      </c>
      <c r="E27" s="176" t="e">
        <f t="shared" si="22"/>
        <v>#REF!</v>
      </c>
      <c r="F27" s="176" t="e">
        <f t="shared" si="22"/>
        <v>#REF!</v>
      </c>
      <c r="G27" s="176"/>
      <c r="H27" s="176"/>
    </row>
    <row r="28" spans="2:8" ht="15.75" customHeight="1" x14ac:dyDescent="0.2">
      <c r="B28" s="175" t="s">
        <v>43</v>
      </c>
      <c r="C28" s="177">
        <f t="shared" ref="C28:H28" si="23">SUM(C18:C27)</f>
        <v>6719058.3533333335</v>
      </c>
      <c r="D28" s="177" t="e">
        <f t="shared" si="23"/>
        <v>#REF!</v>
      </c>
      <c r="E28" s="177" t="e">
        <f t="shared" si="23"/>
        <v>#REF!</v>
      </c>
      <c r="F28" s="177" t="e">
        <f t="shared" si="23"/>
        <v>#REF!</v>
      </c>
      <c r="G28" s="177" t="e">
        <f t="shared" si="23"/>
        <v>#REF!</v>
      </c>
      <c r="H28" s="177" t="e">
        <f t="shared" si="23"/>
        <v>#REF!</v>
      </c>
    </row>
    <row r="29" spans="2:8" ht="15.75" customHeight="1" x14ac:dyDescent="0.2">
      <c r="B29" s="175"/>
      <c r="C29" s="173"/>
      <c r="D29" s="173"/>
      <c r="E29" s="173" t="e">
        <f t="shared" ref="E29:F29" si="24">#REF!</f>
        <v>#REF!</v>
      </c>
      <c r="F29" s="173" t="e">
        <f t="shared" si="24"/>
        <v>#REF!</v>
      </c>
      <c r="G29" s="173"/>
      <c r="H29" s="173"/>
    </row>
    <row r="30" spans="2:8" ht="15.75" customHeight="1" x14ac:dyDescent="0.2">
      <c r="B30" s="175" t="s">
        <v>44</v>
      </c>
      <c r="C30" s="177" t="e">
        <f t="shared" ref="C30:H30" si="25">C15-C28</f>
        <v>#REF!</v>
      </c>
      <c r="D30" s="177" t="e">
        <f t="shared" si="25"/>
        <v>#REF!</v>
      </c>
      <c r="E30" s="177" t="e">
        <f t="shared" si="25"/>
        <v>#REF!</v>
      </c>
      <c r="F30" s="177" t="e">
        <f t="shared" si="25"/>
        <v>#REF!</v>
      </c>
      <c r="G30" s="177" t="e">
        <f t="shared" si="25"/>
        <v>#REF!</v>
      </c>
      <c r="H30" s="177" t="e">
        <f t="shared" si="25"/>
        <v>#REF!</v>
      </c>
    </row>
    <row r="31" spans="2:8" ht="15.75" customHeight="1" x14ac:dyDescent="0.2">
      <c r="B31" s="175" t="s">
        <v>53</v>
      </c>
      <c r="C31" s="178" t="e">
        <f t="shared" ref="C31:H31" si="26">C30/C8</f>
        <v>#REF!</v>
      </c>
      <c r="D31" s="178" t="e">
        <f t="shared" si="26"/>
        <v>#REF!</v>
      </c>
      <c r="E31" s="178" t="e">
        <f t="shared" si="26"/>
        <v>#REF!</v>
      </c>
      <c r="F31" s="178" t="e">
        <f t="shared" si="26"/>
        <v>#REF!</v>
      </c>
      <c r="G31" s="178" t="e">
        <f t="shared" si="26"/>
        <v>#REF!</v>
      </c>
      <c r="H31" s="178" t="e">
        <f t="shared" si="26"/>
        <v>#REF!</v>
      </c>
    </row>
    <row r="32" spans="2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Z240"/>
  <sheetViews>
    <sheetView workbookViewId="0">
      <pane xSplit="2" topLeftCell="C1" activePane="topRight" state="frozen"/>
      <selection pane="topRight" activeCell="D2" sqref="D2"/>
    </sheetView>
  </sheetViews>
  <sheetFormatPr defaultColWidth="12.5703125" defaultRowHeight="15" customHeight="1" x14ac:dyDescent="0.2"/>
  <cols>
    <col min="1" max="1" width="12.5703125" customWidth="1"/>
    <col min="2" max="2" width="33.5703125" customWidth="1"/>
    <col min="3" max="6" width="12.5703125" customWidth="1"/>
    <col min="25" max="33" width="12.5703125" hidden="1" customWidth="1"/>
  </cols>
  <sheetData>
    <row r="1" spans="1:130" ht="15.75" customHeight="1" x14ac:dyDescent="0.2">
      <c r="A1" s="117" t="s">
        <v>54</v>
      </c>
    </row>
    <row r="2" spans="1:130" ht="15.75" customHeight="1" x14ac:dyDescent="0.25">
      <c r="V2" s="179"/>
      <c r="W2" s="179"/>
      <c r="X2" s="180" t="s">
        <v>55</v>
      </c>
      <c r="Y2" s="181" t="s">
        <v>56</v>
      </c>
      <c r="Z2" s="181"/>
      <c r="AA2" s="181"/>
      <c r="AB2" s="181"/>
      <c r="AC2" s="181"/>
      <c r="AD2" s="181"/>
      <c r="AE2" s="181"/>
      <c r="AF2" s="181"/>
      <c r="AG2" s="181"/>
      <c r="AH2" s="941" t="s">
        <v>57</v>
      </c>
      <c r="AI2" s="942"/>
      <c r="AJ2" s="181"/>
      <c r="AK2" s="181"/>
      <c r="AL2" s="181"/>
      <c r="AM2" s="181"/>
      <c r="AN2" s="181"/>
      <c r="AO2" s="181"/>
      <c r="AP2" s="181"/>
      <c r="AQ2" s="181"/>
      <c r="AR2" s="941" t="s">
        <v>58</v>
      </c>
      <c r="AS2" s="942"/>
      <c r="AT2" s="181"/>
      <c r="AU2" s="181"/>
      <c r="AV2" s="181"/>
      <c r="AW2" s="181"/>
      <c r="AX2" s="181"/>
      <c r="AY2" s="181"/>
      <c r="AZ2" s="181"/>
      <c r="BA2" s="181"/>
      <c r="BB2" s="941" t="s">
        <v>59</v>
      </c>
      <c r="BC2" s="942"/>
      <c r="BD2" s="181"/>
      <c r="BE2" s="181"/>
      <c r="BF2" s="181"/>
      <c r="BG2" s="181"/>
      <c r="BH2" s="181"/>
      <c r="BI2" s="181"/>
      <c r="BJ2" s="181"/>
      <c r="BK2" s="181"/>
      <c r="BL2" s="941" t="s">
        <v>60</v>
      </c>
      <c r="BM2" s="942"/>
      <c r="BN2" s="181"/>
      <c r="BO2" s="181"/>
      <c r="BP2" s="181"/>
      <c r="BQ2" s="181"/>
      <c r="BR2" s="181"/>
      <c r="BS2" s="181"/>
      <c r="BT2" s="181"/>
      <c r="BU2" s="941" t="s">
        <v>61</v>
      </c>
      <c r="BV2" s="942"/>
      <c r="BW2" s="181"/>
      <c r="BX2" s="181"/>
      <c r="BY2" s="181"/>
      <c r="BZ2" s="181"/>
      <c r="CA2" s="181"/>
      <c r="CB2" s="181"/>
      <c r="CC2" s="181"/>
      <c r="CD2" s="181"/>
      <c r="CE2" s="941" t="s">
        <v>62</v>
      </c>
      <c r="CF2" s="942"/>
      <c r="CG2" s="181"/>
      <c r="CH2" s="181"/>
      <c r="CI2" s="181"/>
      <c r="CJ2" s="181"/>
      <c r="CK2" s="181"/>
      <c r="CL2" s="181"/>
      <c r="CM2" s="181"/>
      <c r="CN2" s="181"/>
      <c r="CO2" s="941" t="s">
        <v>63</v>
      </c>
      <c r="CP2" s="942"/>
      <c r="CQ2" s="942"/>
      <c r="CR2" s="181"/>
      <c r="CS2" s="181"/>
      <c r="CT2" s="181"/>
      <c r="CU2" s="181"/>
      <c r="CV2" s="181"/>
      <c r="CW2" s="181"/>
      <c r="CX2" s="181"/>
      <c r="CY2" s="941" t="s">
        <v>64</v>
      </c>
      <c r="CZ2" s="942"/>
      <c r="DA2" s="181"/>
      <c r="DB2" s="181"/>
      <c r="DC2" s="181"/>
      <c r="DD2" s="181"/>
      <c r="DE2" s="181"/>
      <c r="DF2" s="181"/>
      <c r="DG2" s="181"/>
      <c r="DH2" s="941" t="s">
        <v>65</v>
      </c>
      <c r="DI2" s="942"/>
      <c r="DJ2" s="181"/>
      <c r="DK2" s="181"/>
      <c r="DL2" s="181"/>
      <c r="DM2" s="181"/>
      <c r="DN2" s="181"/>
      <c r="DO2" s="181"/>
      <c r="DP2" s="181"/>
      <c r="DQ2" s="181"/>
      <c r="DR2" s="181" t="s">
        <v>6</v>
      </c>
      <c r="DS2" s="181"/>
      <c r="DT2" s="181"/>
      <c r="DU2" s="181"/>
      <c r="DV2" s="181"/>
      <c r="DW2" s="181"/>
      <c r="DX2" s="181"/>
      <c r="DY2" s="181"/>
      <c r="DZ2" s="181"/>
    </row>
    <row r="3" spans="1:130" ht="15.75" customHeight="1" x14ac:dyDescent="0.25">
      <c r="B3" s="175" t="s">
        <v>66</v>
      </c>
      <c r="C3" s="174">
        <v>45444</v>
      </c>
      <c r="D3" s="174">
        <v>45474</v>
      </c>
      <c r="E3" s="174">
        <v>45505</v>
      </c>
      <c r="F3" s="175" t="s">
        <v>67</v>
      </c>
      <c r="G3" s="174">
        <v>45566</v>
      </c>
      <c r="H3" s="174">
        <v>45597</v>
      </c>
      <c r="I3" s="174">
        <v>45627</v>
      </c>
      <c r="J3" s="174">
        <v>45658</v>
      </c>
      <c r="K3" s="174">
        <v>45689</v>
      </c>
      <c r="L3" s="174">
        <v>45717</v>
      </c>
      <c r="M3" s="174">
        <v>45748</v>
      </c>
      <c r="N3" s="174">
        <v>45778</v>
      </c>
      <c r="O3" s="175"/>
      <c r="P3" s="175"/>
      <c r="Q3" s="175"/>
      <c r="R3" s="175"/>
      <c r="V3" s="179"/>
      <c r="W3" s="179"/>
      <c r="X3" s="182" t="s">
        <v>68</v>
      </c>
      <c r="Y3" s="183" t="s">
        <v>69</v>
      </c>
      <c r="Z3" s="183" t="s">
        <v>70</v>
      </c>
      <c r="AA3" s="183" t="s">
        <v>71</v>
      </c>
      <c r="AB3" s="183" t="s">
        <v>72</v>
      </c>
      <c r="AC3" s="183" t="s">
        <v>73</v>
      </c>
      <c r="AD3" s="183" t="s">
        <v>74</v>
      </c>
      <c r="AE3" s="183" t="s">
        <v>75</v>
      </c>
      <c r="AF3" s="183" t="s">
        <v>76</v>
      </c>
      <c r="AG3" s="184"/>
      <c r="AH3" s="183" t="s">
        <v>69</v>
      </c>
      <c r="AI3" s="183" t="s">
        <v>70</v>
      </c>
      <c r="AJ3" s="183" t="s">
        <v>71</v>
      </c>
      <c r="AK3" s="183" t="s">
        <v>72</v>
      </c>
      <c r="AL3" s="185" t="s">
        <v>77</v>
      </c>
      <c r="AM3" s="183" t="s">
        <v>73</v>
      </c>
      <c r="AN3" s="183" t="s">
        <v>74</v>
      </c>
      <c r="AO3" s="183" t="s">
        <v>75</v>
      </c>
      <c r="AP3" s="183" t="s">
        <v>76</v>
      </c>
      <c r="AQ3" s="184"/>
      <c r="AR3" s="183" t="s">
        <v>69</v>
      </c>
      <c r="AS3" s="183" t="s">
        <v>70</v>
      </c>
      <c r="AT3" s="183" t="s">
        <v>71</v>
      </c>
      <c r="AU3" s="183" t="s">
        <v>72</v>
      </c>
      <c r="AV3" s="185" t="s">
        <v>77</v>
      </c>
      <c r="AW3" s="183" t="s">
        <v>73</v>
      </c>
      <c r="AX3" s="183" t="s">
        <v>74</v>
      </c>
      <c r="AY3" s="183" t="s">
        <v>75</v>
      </c>
      <c r="AZ3" s="183" t="s">
        <v>76</v>
      </c>
      <c r="BA3" s="184"/>
      <c r="BB3" s="183" t="s">
        <v>69</v>
      </c>
      <c r="BC3" s="183" t="s">
        <v>70</v>
      </c>
      <c r="BD3" s="183" t="s">
        <v>71</v>
      </c>
      <c r="BE3" s="183" t="s">
        <v>72</v>
      </c>
      <c r="BF3" s="185" t="s">
        <v>77</v>
      </c>
      <c r="BG3" s="183" t="s">
        <v>73</v>
      </c>
      <c r="BH3" s="183" t="s">
        <v>74</v>
      </c>
      <c r="BI3" s="183" t="s">
        <v>75</v>
      </c>
      <c r="BJ3" s="183" t="s">
        <v>76</v>
      </c>
      <c r="BK3" s="184"/>
      <c r="BL3" s="183" t="s">
        <v>69</v>
      </c>
      <c r="BM3" s="183" t="s">
        <v>70</v>
      </c>
      <c r="BN3" s="183" t="s">
        <v>71</v>
      </c>
      <c r="BO3" s="183" t="s">
        <v>72</v>
      </c>
      <c r="BP3" s="183" t="s">
        <v>73</v>
      </c>
      <c r="BQ3" s="183" t="s">
        <v>74</v>
      </c>
      <c r="BR3" s="183" t="s">
        <v>75</v>
      </c>
      <c r="BS3" s="183" t="s">
        <v>76</v>
      </c>
      <c r="BT3" s="184"/>
      <c r="BU3" s="183" t="s">
        <v>69</v>
      </c>
      <c r="BV3" s="183" t="s">
        <v>70</v>
      </c>
      <c r="BW3" s="183" t="s">
        <v>71</v>
      </c>
      <c r="BX3" s="183" t="s">
        <v>72</v>
      </c>
      <c r="BY3" s="185" t="s">
        <v>77</v>
      </c>
      <c r="BZ3" s="183" t="s">
        <v>73</v>
      </c>
      <c r="CA3" s="183" t="s">
        <v>74</v>
      </c>
      <c r="CB3" s="183" t="s">
        <v>75</v>
      </c>
      <c r="CC3" s="183" t="s">
        <v>76</v>
      </c>
      <c r="CD3" s="184"/>
      <c r="CE3" s="183" t="s">
        <v>69</v>
      </c>
      <c r="CF3" s="183" t="s">
        <v>70</v>
      </c>
      <c r="CG3" s="183" t="s">
        <v>71</v>
      </c>
      <c r="CH3" s="183" t="s">
        <v>72</v>
      </c>
      <c r="CI3" s="185" t="s">
        <v>77</v>
      </c>
      <c r="CJ3" s="183" t="s">
        <v>73</v>
      </c>
      <c r="CK3" s="183" t="s">
        <v>74</v>
      </c>
      <c r="CL3" s="183" t="s">
        <v>75</v>
      </c>
      <c r="CM3" s="183" t="s">
        <v>76</v>
      </c>
      <c r="CN3" s="184"/>
      <c r="CO3" s="183" t="s">
        <v>69</v>
      </c>
      <c r="CP3" s="183" t="s">
        <v>70</v>
      </c>
      <c r="CQ3" s="183" t="s">
        <v>71</v>
      </c>
      <c r="CR3" s="183" t="s">
        <v>72</v>
      </c>
      <c r="CS3" s="185" t="s">
        <v>77</v>
      </c>
      <c r="CT3" s="183" t="s">
        <v>73</v>
      </c>
      <c r="CU3" s="183" t="s">
        <v>74</v>
      </c>
      <c r="CV3" s="183" t="s">
        <v>75</v>
      </c>
      <c r="CW3" s="183" t="s">
        <v>76</v>
      </c>
      <c r="CX3" s="184"/>
      <c r="CY3" s="183" t="s">
        <v>69</v>
      </c>
      <c r="CZ3" s="183" t="s">
        <v>70</v>
      </c>
      <c r="DA3" s="183" t="s">
        <v>71</v>
      </c>
      <c r="DB3" s="183" t="s">
        <v>72</v>
      </c>
      <c r="DC3" s="183" t="s">
        <v>73</v>
      </c>
      <c r="DD3" s="183" t="s">
        <v>74</v>
      </c>
      <c r="DE3" s="183" t="s">
        <v>75</v>
      </c>
      <c r="DF3" s="183" t="s">
        <v>76</v>
      </c>
      <c r="DG3" s="184"/>
      <c r="DH3" s="183" t="s">
        <v>69</v>
      </c>
      <c r="DI3" s="183" t="s">
        <v>70</v>
      </c>
      <c r="DJ3" s="183" t="s">
        <v>71</v>
      </c>
      <c r="DK3" s="183" t="s">
        <v>72</v>
      </c>
      <c r="DL3" s="185" t="s">
        <v>77</v>
      </c>
      <c r="DM3" s="183" t="s">
        <v>73</v>
      </c>
      <c r="DN3" s="183" t="s">
        <v>74</v>
      </c>
      <c r="DO3" s="183" t="s">
        <v>75</v>
      </c>
      <c r="DP3" s="183" t="s">
        <v>76</v>
      </c>
      <c r="DQ3" s="184"/>
      <c r="DR3" s="183" t="s">
        <v>69</v>
      </c>
      <c r="DS3" s="183" t="s">
        <v>70</v>
      </c>
      <c r="DT3" s="183" t="s">
        <v>71</v>
      </c>
      <c r="DU3" s="183" t="s">
        <v>72</v>
      </c>
      <c r="DV3" s="185" t="s">
        <v>77</v>
      </c>
      <c r="DW3" s="183" t="s">
        <v>73</v>
      </c>
      <c r="DX3" s="183" t="s">
        <v>74</v>
      </c>
      <c r="DY3" s="183" t="s">
        <v>75</v>
      </c>
      <c r="DZ3" s="183" t="s">
        <v>76</v>
      </c>
    </row>
    <row r="4" spans="1:130" ht="15.75" customHeight="1" x14ac:dyDescent="0.25">
      <c r="B4" s="186" t="s">
        <v>78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6">
        <f>'Mg St Colaba'!D6</f>
        <v>5434</v>
      </c>
      <c r="N4" s="176" t="e">
        <f>'Mg St Colaba'!#REF!</f>
        <v>#REF!</v>
      </c>
      <c r="O4" s="173"/>
      <c r="P4" s="173"/>
      <c r="Q4" s="173"/>
      <c r="R4" s="173"/>
      <c r="V4" s="179"/>
      <c r="W4" s="187"/>
      <c r="X4" s="188">
        <v>45444</v>
      </c>
      <c r="Y4" s="189">
        <v>40610452.259999998</v>
      </c>
      <c r="Z4" s="189">
        <v>32612157.75</v>
      </c>
      <c r="AA4" s="189">
        <v>6289412.4000000004</v>
      </c>
      <c r="AB4" s="190">
        <v>1708882.11</v>
      </c>
      <c r="AC4" s="189">
        <v>20552</v>
      </c>
      <c r="AD4" s="190">
        <v>1587.81</v>
      </c>
      <c r="AE4" s="189">
        <v>7595</v>
      </c>
      <c r="AF4" s="189">
        <v>1110.22</v>
      </c>
      <c r="AG4" s="191"/>
      <c r="AH4" s="191" t="s">
        <v>79</v>
      </c>
      <c r="AI4" s="191" t="s">
        <v>80</v>
      </c>
      <c r="AJ4" s="191" t="s">
        <v>81</v>
      </c>
      <c r="AK4" s="191" t="s">
        <v>82</v>
      </c>
      <c r="AL4" s="192">
        <v>11465780.75</v>
      </c>
      <c r="AM4" s="191" t="s">
        <v>83</v>
      </c>
      <c r="AN4" s="191" t="s">
        <v>84</v>
      </c>
      <c r="AO4" s="189">
        <v>1229</v>
      </c>
      <c r="AP4" s="189">
        <v>1376.2</v>
      </c>
      <c r="AQ4" s="189"/>
      <c r="AR4" s="189">
        <v>10252038.75</v>
      </c>
      <c r="AS4" s="189">
        <v>8727909</v>
      </c>
      <c r="AT4" s="190">
        <v>1207380</v>
      </c>
      <c r="AU4" s="189">
        <v>316749.75</v>
      </c>
      <c r="AV4" s="193">
        <v>9044658.75</v>
      </c>
      <c r="AW4" s="189">
        <v>5928</v>
      </c>
      <c r="AX4" s="189">
        <v>1473.32</v>
      </c>
      <c r="AY4" s="189">
        <v>1135</v>
      </c>
      <c r="AZ4" s="189">
        <v>1427.16</v>
      </c>
      <c r="BA4" s="189"/>
      <c r="BB4" s="189">
        <v>5954008.5</v>
      </c>
      <c r="BC4" s="190">
        <v>3474309</v>
      </c>
      <c r="BD4" s="189">
        <v>2001483</v>
      </c>
      <c r="BE4" s="190">
        <v>478216.5</v>
      </c>
      <c r="BF4" s="189">
        <v>3952525.5</v>
      </c>
      <c r="BG4" s="189">
        <v>3802</v>
      </c>
      <c r="BH4" s="189">
        <v>914.81</v>
      </c>
      <c r="BI4" s="189">
        <v>2046</v>
      </c>
      <c r="BJ4" s="189">
        <v>1477.11</v>
      </c>
      <c r="BK4" s="189"/>
      <c r="BL4" s="189">
        <v>206749.36</v>
      </c>
      <c r="BM4" s="189">
        <v>0</v>
      </c>
      <c r="BN4" s="189">
        <v>206749.36</v>
      </c>
      <c r="BO4" s="189">
        <v>0</v>
      </c>
      <c r="BP4" s="189">
        <v>0</v>
      </c>
      <c r="BQ4" s="189">
        <v>0</v>
      </c>
      <c r="BR4" s="189">
        <v>394</v>
      </c>
      <c r="BS4" s="189">
        <v>524.74</v>
      </c>
      <c r="BT4" s="189"/>
      <c r="BU4" s="189">
        <v>334731.53999999998</v>
      </c>
      <c r="BV4" s="189">
        <v>0</v>
      </c>
      <c r="BW4" s="189">
        <v>181825.04</v>
      </c>
      <c r="BX4" s="189">
        <v>152906.5</v>
      </c>
      <c r="BY4" s="189">
        <v>152906.5</v>
      </c>
      <c r="BZ4" s="189">
        <v>0</v>
      </c>
      <c r="CA4" s="189">
        <v>0</v>
      </c>
      <c r="CB4" s="189">
        <v>334</v>
      </c>
      <c r="CC4" s="189">
        <v>629.15</v>
      </c>
      <c r="CD4" s="189"/>
      <c r="CE4" s="189">
        <v>725851.86</v>
      </c>
      <c r="CF4" s="190">
        <v>0</v>
      </c>
      <c r="CG4" s="189">
        <v>351691</v>
      </c>
      <c r="CH4" s="189">
        <v>374160.86</v>
      </c>
      <c r="CI4" s="189">
        <v>374160.86</v>
      </c>
      <c r="CJ4" s="189">
        <v>0</v>
      </c>
      <c r="CK4" s="189">
        <v>0</v>
      </c>
      <c r="CL4" s="189">
        <v>1174</v>
      </c>
      <c r="CM4" s="189">
        <v>575.6</v>
      </c>
      <c r="CN4" s="189"/>
      <c r="CO4" s="189">
        <v>445738</v>
      </c>
      <c r="CP4" s="189">
        <v>0</v>
      </c>
      <c r="CQ4" s="189">
        <v>442013</v>
      </c>
      <c r="CR4" s="189">
        <v>3725</v>
      </c>
      <c r="CS4" s="189">
        <v>3725</v>
      </c>
      <c r="CT4" s="189">
        <v>0</v>
      </c>
      <c r="CU4" s="189">
        <v>0</v>
      </c>
      <c r="CV4" s="189">
        <v>806</v>
      </c>
      <c r="CW4" s="189">
        <v>550.45000000000005</v>
      </c>
      <c r="CX4" s="189"/>
      <c r="CY4" s="194"/>
      <c r="CZ4" s="194"/>
      <c r="DA4" s="194"/>
      <c r="DB4" s="194"/>
      <c r="DC4" s="194"/>
      <c r="DD4" s="194"/>
      <c r="DE4" s="195"/>
      <c r="DF4" s="194"/>
      <c r="DG4" s="189"/>
      <c r="DH4" s="189">
        <v>9707698.5</v>
      </c>
      <c r="DI4" s="189">
        <v>9191555</v>
      </c>
      <c r="DJ4" s="189">
        <v>408771</v>
      </c>
      <c r="DK4" s="189">
        <v>107372.5</v>
      </c>
      <c r="DL4" s="189">
        <v>9298927.5</v>
      </c>
      <c r="DM4" s="189">
        <v>3296</v>
      </c>
      <c r="DN4" s="189">
        <v>2789.7</v>
      </c>
      <c r="DO4" s="189">
        <v>322</v>
      </c>
      <c r="DP4" s="189">
        <v>1497.33</v>
      </c>
      <c r="DQ4" s="189"/>
      <c r="DR4" s="189">
        <v>203585</v>
      </c>
      <c r="DS4" s="189">
        <v>0</v>
      </c>
      <c r="DT4" s="189">
        <v>175230</v>
      </c>
      <c r="DU4" s="189">
        <v>28355</v>
      </c>
      <c r="DV4" s="189">
        <v>28355</v>
      </c>
      <c r="DW4" s="189">
        <v>0</v>
      </c>
      <c r="DX4" s="189">
        <v>0</v>
      </c>
      <c r="DY4" s="189">
        <v>155</v>
      </c>
      <c r="DZ4" s="189">
        <v>1260.6500000000001</v>
      </c>
    </row>
    <row r="5" spans="1:130" ht="15.75" customHeight="1" x14ac:dyDescent="0.25">
      <c r="B5" s="186" t="s">
        <v>85</v>
      </c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6">
        <f>'Mg St Colaba'!D7</f>
        <v>1706</v>
      </c>
      <c r="N5" s="176" t="e">
        <f>'Mg St Colaba'!#REF!</f>
        <v>#REF!</v>
      </c>
      <c r="O5" s="173"/>
      <c r="P5" s="173"/>
      <c r="Q5" s="173"/>
      <c r="R5" s="173"/>
      <c r="V5" s="179"/>
      <c r="W5" s="187"/>
      <c r="X5" s="188">
        <v>45474</v>
      </c>
      <c r="Y5" s="189">
        <v>42036087.969999999</v>
      </c>
      <c r="Z5" s="189">
        <v>33369905.469999999</v>
      </c>
      <c r="AA5" s="189">
        <v>6715473.7199999997</v>
      </c>
      <c r="AB5" s="190">
        <v>1936843.78</v>
      </c>
      <c r="AC5" s="189">
        <v>20849</v>
      </c>
      <c r="AD5" s="190">
        <v>1601.55</v>
      </c>
      <c r="AE5" s="189">
        <v>8085</v>
      </c>
      <c r="AF5" s="189">
        <v>1132.46</v>
      </c>
      <c r="AG5" s="191"/>
      <c r="AH5" s="191" t="s">
        <v>86</v>
      </c>
      <c r="AI5" s="191" t="s">
        <v>87</v>
      </c>
      <c r="AJ5" s="191" t="s">
        <v>88</v>
      </c>
      <c r="AK5" s="191" t="s">
        <v>89</v>
      </c>
      <c r="AL5" s="192">
        <v>10849598.5</v>
      </c>
      <c r="AM5" s="191" t="s">
        <v>90</v>
      </c>
      <c r="AN5" s="191" t="s">
        <v>91</v>
      </c>
      <c r="AO5" s="189">
        <v>1332</v>
      </c>
      <c r="AP5" s="189">
        <v>1385.36</v>
      </c>
      <c r="AQ5" s="189"/>
      <c r="AR5" s="189">
        <v>10720272.75</v>
      </c>
      <c r="AS5" s="189">
        <v>8903963.75</v>
      </c>
      <c r="AT5" s="190">
        <v>1458400</v>
      </c>
      <c r="AU5" s="189">
        <v>357909</v>
      </c>
      <c r="AV5" s="193">
        <v>9261872.75</v>
      </c>
      <c r="AW5" s="189">
        <v>6066</v>
      </c>
      <c r="AX5" s="189">
        <v>1468.85</v>
      </c>
      <c r="AY5" s="189">
        <v>1305</v>
      </c>
      <c r="AZ5" s="189">
        <v>1438.26</v>
      </c>
      <c r="BA5" s="189"/>
      <c r="BB5" s="189">
        <v>6271416</v>
      </c>
      <c r="BC5" s="190">
        <v>3649913.5</v>
      </c>
      <c r="BD5" s="189">
        <v>1984457</v>
      </c>
      <c r="BE5" s="190">
        <v>637045.5</v>
      </c>
      <c r="BF5" s="189">
        <v>4286959</v>
      </c>
      <c r="BG5" s="189">
        <v>4112</v>
      </c>
      <c r="BH5" s="189">
        <v>888.62</v>
      </c>
      <c r="BI5" s="189">
        <v>2162</v>
      </c>
      <c r="BJ5" s="189">
        <v>1513.7</v>
      </c>
      <c r="BK5" s="189"/>
      <c r="BL5" s="189">
        <v>214714.22</v>
      </c>
      <c r="BM5" s="189">
        <v>0</v>
      </c>
      <c r="BN5" s="189">
        <v>214714.22</v>
      </c>
      <c r="BO5" s="189">
        <v>0</v>
      </c>
      <c r="BP5" s="189">
        <v>0</v>
      </c>
      <c r="BQ5" s="189">
        <v>0</v>
      </c>
      <c r="BR5" s="189">
        <v>390</v>
      </c>
      <c r="BS5" s="189">
        <v>550.54999999999995</v>
      </c>
      <c r="BT5" s="189"/>
      <c r="BU5" s="189">
        <v>389232</v>
      </c>
      <c r="BV5" s="189">
        <v>0</v>
      </c>
      <c r="BW5" s="189">
        <v>230855.5</v>
      </c>
      <c r="BX5" s="189">
        <v>158376.5</v>
      </c>
      <c r="BY5" s="189">
        <v>158376.5</v>
      </c>
      <c r="BZ5" s="189">
        <v>0</v>
      </c>
      <c r="CA5" s="189">
        <v>0</v>
      </c>
      <c r="CB5" s="189">
        <v>373</v>
      </c>
      <c r="CC5" s="189">
        <v>708.15</v>
      </c>
      <c r="CD5" s="189"/>
      <c r="CE5" s="189">
        <v>762792.28</v>
      </c>
      <c r="CF5" s="190">
        <v>0</v>
      </c>
      <c r="CG5" s="189">
        <v>389437</v>
      </c>
      <c r="CH5" s="189">
        <v>373355.28</v>
      </c>
      <c r="CI5" s="189">
        <v>373355.28</v>
      </c>
      <c r="CJ5" s="189">
        <v>0</v>
      </c>
      <c r="CK5" s="189">
        <v>0</v>
      </c>
      <c r="CL5" s="189">
        <v>1265</v>
      </c>
      <c r="CM5" s="189">
        <v>569.35</v>
      </c>
      <c r="CN5" s="189"/>
      <c r="CO5" s="189">
        <v>399988</v>
      </c>
      <c r="CP5" s="189">
        <v>0</v>
      </c>
      <c r="CQ5" s="189">
        <v>398588</v>
      </c>
      <c r="CR5" s="189">
        <v>1400</v>
      </c>
      <c r="CS5" s="189">
        <v>1400</v>
      </c>
      <c r="CT5" s="189">
        <v>0</v>
      </c>
      <c r="CU5" s="189">
        <v>0</v>
      </c>
      <c r="CV5" s="189">
        <v>766</v>
      </c>
      <c r="CW5" s="189">
        <v>521.03</v>
      </c>
      <c r="CX5" s="189"/>
      <c r="CY5" s="194"/>
      <c r="CZ5" s="194"/>
      <c r="DA5" s="194"/>
      <c r="DB5" s="194"/>
      <c r="DC5" s="194"/>
      <c r="DD5" s="194"/>
      <c r="DE5" s="195"/>
      <c r="DF5" s="194"/>
      <c r="DG5" s="189"/>
      <c r="DH5" s="189">
        <v>10795638.220000001</v>
      </c>
      <c r="DI5" s="189">
        <v>10205066.220000001</v>
      </c>
      <c r="DJ5" s="189">
        <v>427246</v>
      </c>
      <c r="DK5" s="189">
        <v>149461</v>
      </c>
      <c r="DL5" s="189">
        <v>10354527.220000001</v>
      </c>
      <c r="DM5" s="189">
        <v>3527</v>
      </c>
      <c r="DN5" s="189">
        <v>2894.41</v>
      </c>
      <c r="DO5" s="189">
        <v>324</v>
      </c>
      <c r="DP5" s="189">
        <v>1702.18</v>
      </c>
      <c r="DQ5" s="189"/>
      <c r="DR5" s="189">
        <v>201360</v>
      </c>
      <c r="DS5" s="189">
        <v>0</v>
      </c>
      <c r="DT5" s="189">
        <v>180700</v>
      </c>
      <c r="DU5" s="189">
        <v>20660</v>
      </c>
      <c r="DV5" s="189">
        <v>20660</v>
      </c>
      <c r="DW5" s="189">
        <v>0</v>
      </c>
      <c r="DX5" s="189">
        <v>0</v>
      </c>
      <c r="DY5" s="189">
        <v>168</v>
      </c>
      <c r="DZ5" s="189">
        <v>1158.33</v>
      </c>
    </row>
    <row r="6" spans="1:130" ht="15.75" customHeight="1" x14ac:dyDescent="0.25">
      <c r="B6" s="186" t="s">
        <v>92</v>
      </c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6">
        <f>'Mg St Colaba'!D8</f>
        <v>8713619.25</v>
      </c>
      <c r="N6" s="176" t="e">
        <f>'Mg St Colaba'!#REF!</f>
        <v>#REF!</v>
      </c>
      <c r="O6" s="173"/>
      <c r="P6" s="173"/>
      <c r="Q6" s="173"/>
      <c r="R6" s="173"/>
      <c r="V6" s="179"/>
      <c r="W6" s="187"/>
      <c r="X6" s="188">
        <v>45505</v>
      </c>
      <c r="Y6" s="189">
        <v>46777133.009999998</v>
      </c>
      <c r="Z6" s="189">
        <v>37054633.850000001</v>
      </c>
      <c r="AA6" s="189">
        <v>7413990.4100000001</v>
      </c>
      <c r="AB6" s="190">
        <v>2296488.75</v>
      </c>
      <c r="AC6" s="189">
        <v>22678</v>
      </c>
      <c r="AD6" s="190">
        <v>1634.95</v>
      </c>
      <c r="AE6" s="189">
        <v>8551</v>
      </c>
      <c r="AF6" s="189">
        <v>1177.2</v>
      </c>
      <c r="AG6" s="191"/>
      <c r="AH6" s="191" t="s">
        <v>93</v>
      </c>
      <c r="AI6" s="191" t="s">
        <v>94</v>
      </c>
      <c r="AJ6" s="191" t="s">
        <v>95</v>
      </c>
      <c r="AK6" s="191" t="s">
        <v>96</v>
      </c>
      <c r="AL6" s="192">
        <v>12320674.25</v>
      </c>
      <c r="AM6" s="191" t="s">
        <v>97</v>
      </c>
      <c r="AN6" s="191" t="s">
        <v>98</v>
      </c>
      <c r="AO6" s="189">
        <v>1601</v>
      </c>
      <c r="AP6" s="189">
        <v>1367.76</v>
      </c>
      <c r="AQ6" s="189"/>
      <c r="AR6" s="189">
        <v>12132880.75</v>
      </c>
      <c r="AS6" s="189">
        <v>10168224.75</v>
      </c>
      <c r="AT6" s="190">
        <v>1517171</v>
      </c>
      <c r="AU6" s="189">
        <v>447485</v>
      </c>
      <c r="AV6" s="193">
        <v>10615709.75</v>
      </c>
      <c r="AW6" s="189">
        <v>6698</v>
      </c>
      <c r="AX6" s="189">
        <v>1519.1</v>
      </c>
      <c r="AY6" s="189">
        <v>1372</v>
      </c>
      <c r="AZ6" s="189">
        <v>1436.71</v>
      </c>
      <c r="BA6" s="189"/>
      <c r="BB6" s="189">
        <v>6848079.25</v>
      </c>
      <c r="BC6" s="190">
        <v>3841861.75</v>
      </c>
      <c r="BD6" s="189">
        <v>2334118</v>
      </c>
      <c r="BE6" s="190">
        <v>672099.5</v>
      </c>
      <c r="BF6" s="189">
        <v>4513961.25</v>
      </c>
      <c r="BG6" s="189">
        <v>4354</v>
      </c>
      <c r="BH6" s="189">
        <v>883.38</v>
      </c>
      <c r="BI6" s="189">
        <v>2328</v>
      </c>
      <c r="BJ6" s="189">
        <v>1543.73</v>
      </c>
      <c r="BK6" s="189"/>
      <c r="BL6" s="189">
        <v>218895.16</v>
      </c>
      <c r="BM6" s="189">
        <v>0</v>
      </c>
      <c r="BN6" s="189">
        <v>218895.16</v>
      </c>
      <c r="BO6" s="189">
        <v>0</v>
      </c>
      <c r="BP6" s="189">
        <v>0</v>
      </c>
      <c r="BQ6" s="189">
        <v>0</v>
      </c>
      <c r="BR6" s="189">
        <v>366</v>
      </c>
      <c r="BS6" s="189">
        <v>598.07000000000005</v>
      </c>
      <c r="BT6" s="189"/>
      <c r="BU6" s="189">
        <v>401656</v>
      </c>
      <c r="BV6" s="189">
        <v>0</v>
      </c>
      <c r="BW6" s="189">
        <v>221497.25</v>
      </c>
      <c r="BX6" s="189">
        <v>180158.75</v>
      </c>
      <c r="BY6" s="189">
        <v>180158.75</v>
      </c>
      <c r="BZ6" s="189">
        <v>0</v>
      </c>
      <c r="CA6" s="189">
        <v>0</v>
      </c>
      <c r="CB6" s="189">
        <v>372</v>
      </c>
      <c r="CC6" s="189">
        <v>721.49</v>
      </c>
      <c r="CD6" s="189"/>
      <c r="CE6" s="189">
        <v>795599.5</v>
      </c>
      <c r="CF6" s="190">
        <v>0</v>
      </c>
      <c r="CG6" s="189">
        <v>378039</v>
      </c>
      <c r="CH6" s="189">
        <v>417560.5</v>
      </c>
      <c r="CI6" s="189">
        <v>417560.5</v>
      </c>
      <c r="CJ6" s="189">
        <v>0</v>
      </c>
      <c r="CK6" s="189">
        <v>0</v>
      </c>
      <c r="CL6" s="189">
        <v>1237</v>
      </c>
      <c r="CM6" s="189">
        <v>584.29999999999995</v>
      </c>
      <c r="CN6" s="189"/>
      <c r="CO6" s="189">
        <v>421281</v>
      </c>
      <c r="CP6" s="189">
        <v>0</v>
      </c>
      <c r="CQ6" s="189">
        <v>420681</v>
      </c>
      <c r="CR6" s="189">
        <v>600</v>
      </c>
      <c r="CS6" s="189">
        <v>600</v>
      </c>
      <c r="CT6" s="189">
        <v>0</v>
      </c>
      <c r="CU6" s="189">
        <v>0</v>
      </c>
      <c r="CV6" s="189">
        <v>763</v>
      </c>
      <c r="CW6" s="189">
        <v>552.79999999999995</v>
      </c>
      <c r="CX6" s="189"/>
      <c r="CY6" s="189"/>
      <c r="CZ6" s="189"/>
      <c r="DA6" s="189"/>
      <c r="DB6" s="189"/>
      <c r="DC6" s="189"/>
      <c r="DD6" s="189"/>
      <c r="DE6" s="190"/>
      <c r="DF6" s="189"/>
      <c r="DG6" s="189"/>
      <c r="DH6" s="189">
        <v>11738218.1</v>
      </c>
      <c r="DI6" s="189">
        <v>11149612.6</v>
      </c>
      <c r="DJ6" s="189">
        <v>457315</v>
      </c>
      <c r="DK6" s="189">
        <v>119270.5</v>
      </c>
      <c r="DL6" s="189">
        <v>11268883.1</v>
      </c>
      <c r="DM6" s="189">
        <v>3992</v>
      </c>
      <c r="DN6" s="189">
        <v>2793.99</v>
      </c>
      <c r="DO6" s="189">
        <v>321</v>
      </c>
      <c r="DP6" s="189">
        <v>1719.23</v>
      </c>
      <c r="DQ6" s="189"/>
      <c r="DR6" s="189">
        <v>254435</v>
      </c>
      <c r="DS6" s="189">
        <v>0</v>
      </c>
      <c r="DT6" s="189">
        <v>220860</v>
      </c>
      <c r="DU6" s="189">
        <v>33575</v>
      </c>
      <c r="DV6" s="189">
        <v>33575</v>
      </c>
      <c r="DW6" s="189">
        <v>0</v>
      </c>
      <c r="DX6" s="189">
        <v>0</v>
      </c>
      <c r="DY6" s="189">
        <v>191</v>
      </c>
      <c r="DZ6" s="189">
        <v>1227</v>
      </c>
    </row>
    <row r="7" spans="1:130" ht="15.75" customHeight="1" x14ac:dyDescent="0.25">
      <c r="B7" s="186" t="s">
        <v>99</v>
      </c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6">
        <f>'Mg St Colaba'!D9</f>
        <v>4136581.24</v>
      </c>
      <c r="N7" s="176" t="e">
        <f>'Mg St Colaba'!#REF!</f>
        <v>#REF!</v>
      </c>
      <c r="O7" s="173"/>
      <c r="P7" s="173"/>
      <c r="Q7" s="173"/>
      <c r="R7" s="173"/>
      <c r="V7" s="179"/>
      <c r="W7" s="187"/>
      <c r="X7" s="188">
        <v>45536</v>
      </c>
      <c r="Y7" s="189">
        <v>43460885.409999996</v>
      </c>
      <c r="Z7" s="189">
        <v>33552103.23</v>
      </c>
      <c r="AA7" s="189">
        <v>7701230.4000000004</v>
      </c>
      <c r="AB7" s="190">
        <v>2199476.7799999998</v>
      </c>
      <c r="AC7" s="189">
        <v>19717</v>
      </c>
      <c r="AD7" s="190">
        <v>1702.68</v>
      </c>
      <c r="AE7" s="189">
        <v>8928</v>
      </c>
      <c r="AF7" s="189">
        <v>1160.17</v>
      </c>
      <c r="AG7" s="191"/>
      <c r="AH7" s="191" t="s">
        <v>100</v>
      </c>
      <c r="AI7" s="191" t="s">
        <v>101</v>
      </c>
      <c r="AJ7" s="191" t="s">
        <v>102</v>
      </c>
      <c r="AK7" s="191" t="s">
        <v>103</v>
      </c>
      <c r="AL7" s="192">
        <v>11452240</v>
      </c>
      <c r="AM7" s="191" t="s">
        <v>104</v>
      </c>
      <c r="AN7" s="191" t="s">
        <v>105</v>
      </c>
      <c r="AO7" s="189">
        <v>1772</v>
      </c>
      <c r="AP7" s="189">
        <v>1365.33</v>
      </c>
      <c r="AQ7" s="189"/>
      <c r="AR7" s="189">
        <v>10133146</v>
      </c>
      <c r="AS7" s="189">
        <v>8189301.75</v>
      </c>
      <c r="AT7" s="190">
        <v>1619433</v>
      </c>
      <c r="AU7" s="189">
        <v>324411.25</v>
      </c>
      <c r="AV7" s="193">
        <v>8513713</v>
      </c>
      <c r="AW7" s="189">
        <v>5533</v>
      </c>
      <c r="AX7" s="189">
        <v>1481.08</v>
      </c>
      <c r="AY7" s="189">
        <v>1461</v>
      </c>
      <c r="AZ7" s="189">
        <v>1403.32</v>
      </c>
      <c r="BA7" s="189"/>
      <c r="BB7" s="189">
        <v>6474856</v>
      </c>
      <c r="BC7" s="190">
        <v>3479957.75</v>
      </c>
      <c r="BD7" s="189">
        <v>2290823</v>
      </c>
      <c r="BE7" s="190">
        <v>704075.25</v>
      </c>
      <c r="BF7" s="189">
        <v>4184033</v>
      </c>
      <c r="BG7" s="189">
        <v>3855</v>
      </c>
      <c r="BH7" s="189">
        <v>903.71</v>
      </c>
      <c r="BI7" s="189">
        <v>2426</v>
      </c>
      <c r="BJ7" s="189">
        <v>1473.2</v>
      </c>
      <c r="BK7" s="189"/>
      <c r="BL7" s="189">
        <v>182875</v>
      </c>
      <c r="BM7" s="189">
        <v>0</v>
      </c>
      <c r="BN7" s="189">
        <v>182875</v>
      </c>
      <c r="BO7" s="189">
        <v>0</v>
      </c>
      <c r="BP7" s="189">
        <v>0</v>
      </c>
      <c r="BQ7" s="189">
        <v>0</v>
      </c>
      <c r="BR7" s="189">
        <v>325</v>
      </c>
      <c r="BS7" s="189">
        <v>562.69000000000005</v>
      </c>
      <c r="BT7" s="189"/>
      <c r="BU7" s="189">
        <v>440123.5</v>
      </c>
      <c r="BV7" s="189">
        <v>200</v>
      </c>
      <c r="BW7" s="189">
        <v>139654</v>
      </c>
      <c r="BX7" s="189">
        <v>300269.5</v>
      </c>
      <c r="BY7" s="189">
        <v>300469.5</v>
      </c>
      <c r="BZ7" s="189">
        <v>0</v>
      </c>
      <c r="CA7" s="189">
        <v>0</v>
      </c>
      <c r="CB7" s="189">
        <v>433</v>
      </c>
      <c r="CC7" s="189">
        <v>623.46</v>
      </c>
      <c r="CD7" s="189"/>
      <c r="CE7" s="189">
        <v>703701.7</v>
      </c>
      <c r="CF7" s="190">
        <v>0</v>
      </c>
      <c r="CG7" s="189">
        <v>373227.42</v>
      </c>
      <c r="CH7" s="189">
        <v>330474.28000000003</v>
      </c>
      <c r="CI7" s="189">
        <v>330474.28000000003</v>
      </c>
      <c r="CJ7" s="189">
        <v>0</v>
      </c>
      <c r="CK7" s="189">
        <v>0</v>
      </c>
      <c r="CL7" s="189">
        <v>1182</v>
      </c>
      <c r="CM7" s="189">
        <v>544.86</v>
      </c>
      <c r="CN7" s="189"/>
      <c r="CO7" s="189">
        <v>412044.98</v>
      </c>
      <c r="CP7" s="189">
        <v>0</v>
      </c>
      <c r="CQ7" s="189">
        <v>410094.98</v>
      </c>
      <c r="CR7" s="189">
        <v>1950</v>
      </c>
      <c r="CS7" s="189">
        <v>1950</v>
      </c>
      <c r="CT7" s="189">
        <v>0</v>
      </c>
      <c r="CU7" s="189">
        <v>0</v>
      </c>
      <c r="CV7" s="189">
        <v>765</v>
      </c>
      <c r="CW7" s="189">
        <v>537.48</v>
      </c>
      <c r="CX7" s="189"/>
      <c r="CY7" s="189"/>
      <c r="CZ7" s="189"/>
      <c r="DA7" s="189"/>
      <c r="DB7" s="189"/>
      <c r="DC7" s="189"/>
      <c r="DD7" s="189"/>
      <c r="DE7" s="190"/>
      <c r="DF7" s="189"/>
      <c r="DG7" s="189"/>
      <c r="DH7" s="189">
        <v>11306908.23</v>
      </c>
      <c r="DI7" s="189">
        <v>10718474.73</v>
      </c>
      <c r="DJ7" s="189">
        <v>426088</v>
      </c>
      <c r="DK7" s="189">
        <v>154270.5</v>
      </c>
      <c r="DL7" s="189">
        <v>10872745.23</v>
      </c>
      <c r="DM7" s="189">
        <v>3721</v>
      </c>
      <c r="DN7" s="189">
        <v>2881.54</v>
      </c>
      <c r="DO7" s="189">
        <v>341</v>
      </c>
      <c r="DP7" s="189">
        <v>1505.61</v>
      </c>
      <c r="DQ7" s="189"/>
      <c r="DR7" s="189">
        <v>377990</v>
      </c>
      <c r="DS7" s="189">
        <v>0</v>
      </c>
      <c r="DT7" s="189">
        <v>282035</v>
      </c>
      <c r="DU7" s="189">
        <v>95955</v>
      </c>
      <c r="DV7" s="189">
        <v>95955</v>
      </c>
      <c r="DW7" s="189">
        <v>0</v>
      </c>
      <c r="DX7" s="189">
        <v>0</v>
      </c>
      <c r="DY7" s="189">
        <v>223</v>
      </c>
      <c r="DZ7" s="189">
        <v>1403.16</v>
      </c>
    </row>
    <row r="8" spans="1:130" ht="15.75" customHeight="1" x14ac:dyDescent="0.25">
      <c r="B8" s="186" t="s">
        <v>106</v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6">
        <f>'Mg St Colaba'!D10</f>
        <v>0</v>
      </c>
      <c r="N8" s="176" t="e">
        <f>'Mg St Colaba'!#REF!</f>
        <v>#REF!</v>
      </c>
      <c r="O8" s="173"/>
      <c r="P8" s="173"/>
      <c r="Q8" s="173"/>
      <c r="R8" s="173"/>
      <c r="V8" s="179"/>
      <c r="W8" s="187"/>
      <c r="X8" s="188">
        <v>45566</v>
      </c>
      <c r="Y8" s="189">
        <v>46397489.850000001</v>
      </c>
      <c r="Z8" s="189">
        <v>35659771.170000002</v>
      </c>
      <c r="AA8" s="189">
        <v>8250709.8200000003</v>
      </c>
      <c r="AB8" s="190">
        <v>2475063.86</v>
      </c>
      <c r="AC8" s="189">
        <v>20654</v>
      </c>
      <c r="AD8" s="190">
        <v>1727.53</v>
      </c>
      <c r="AE8" s="189">
        <v>9745</v>
      </c>
      <c r="AF8" s="189">
        <v>1100.24</v>
      </c>
      <c r="AG8" s="191"/>
      <c r="AH8" s="191" t="s">
        <v>107</v>
      </c>
      <c r="AI8" s="191" t="s">
        <v>108</v>
      </c>
      <c r="AJ8" s="191" t="s">
        <v>109</v>
      </c>
      <c r="AK8" s="191" t="s">
        <v>110</v>
      </c>
      <c r="AL8" s="192">
        <v>11512021.5</v>
      </c>
      <c r="AM8" s="191" t="s">
        <v>111</v>
      </c>
      <c r="AN8" s="191" t="s">
        <v>112</v>
      </c>
      <c r="AO8" s="189">
        <v>1837</v>
      </c>
      <c r="AP8" s="189">
        <v>1308.31</v>
      </c>
      <c r="AQ8" s="189"/>
      <c r="AR8" s="189">
        <v>10575304.6</v>
      </c>
      <c r="AS8" s="189">
        <v>8537077</v>
      </c>
      <c r="AT8" s="190">
        <v>1654242.6</v>
      </c>
      <c r="AU8" s="189">
        <v>383985</v>
      </c>
      <c r="AV8" s="193">
        <v>8921062</v>
      </c>
      <c r="AW8" s="189">
        <v>5658</v>
      </c>
      <c r="AX8" s="189">
        <v>1509.85</v>
      </c>
      <c r="AY8" s="189">
        <v>1589</v>
      </c>
      <c r="AZ8" s="189">
        <v>1288.3499999999999</v>
      </c>
      <c r="BA8" s="189"/>
      <c r="BB8" s="189">
        <v>7186494.25</v>
      </c>
      <c r="BC8" s="190">
        <v>3907337.75</v>
      </c>
      <c r="BD8" s="189">
        <v>2474846.5</v>
      </c>
      <c r="BE8" s="190">
        <v>804310</v>
      </c>
      <c r="BF8" s="189">
        <v>4711647.75</v>
      </c>
      <c r="BG8" s="189">
        <v>4251</v>
      </c>
      <c r="BH8" s="189">
        <v>920.16</v>
      </c>
      <c r="BI8" s="189">
        <v>2755</v>
      </c>
      <c r="BJ8" s="189">
        <v>1408.56</v>
      </c>
      <c r="BK8" s="189"/>
      <c r="BL8" s="189">
        <v>219060</v>
      </c>
      <c r="BM8" s="189">
        <v>0</v>
      </c>
      <c r="BN8" s="189">
        <v>219060</v>
      </c>
      <c r="BO8" s="189">
        <v>0</v>
      </c>
      <c r="BP8" s="189">
        <v>0</v>
      </c>
      <c r="BQ8" s="189">
        <v>0</v>
      </c>
      <c r="BR8" s="189">
        <v>388</v>
      </c>
      <c r="BS8" s="189">
        <v>564.59</v>
      </c>
      <c r="BT8" s="189"/>
      <c r="BU8" s="189">
        <v>457678.25</v>
      </c>
      <c r="BV8" s="189">
        <v>0</v>
      </c>
      <c r="BW8" s="189">
        <v>116902</v>
      </c>
      <c r="BX8" s="189">
        <v>340776.25</v>
      </c>
      <c r="BY8" s="189">
        <v>340776.25</v>
      </c>
      <c r="BZ8" s="189">
        <v>0</v>
      </c>
      <c r="CA8" s="189">
        <v>0</v>
      </c>
      <c r="CB8" s="189">
        <v>273</v>
      </c>
      <c r="CC8" s="189">
        <v>524.22</v>
      </c>
      <c r="CD8" s="189"/>
      <c r="CE8" s="189">
        <v>678692.11</v>
      </c>
      <c r="CF8" s="190">
        <v>0</v>
      </c>
      <c r="CG8" s="189">
        <v>367754</v>
      </c>
      <c r="CH8" s="189">
        <v>310938.11</v>
      </c>
      <c r="CI8" s="189">
        <v>310938.11</v>
      </c>
      <c r="CJ8" s="189">
        <v>0</v>
      </c>
      <c r="CK8" s="189">
        <v>0</v>
      </c>
      <c r="CL8" s="189">
        <v>1158</v>
      </c>
      <c r="CM8" s="189">
        <v>537.65</v>
      </c>
      <c r="CN8" s="189"/>
      <c r="CO8" s="189">
        <v>504642</v>
      </c>
      <c r="CP8" s="189">
        <v>0</v>
      </c>
      <c r="CQ8" s="189">
        <v>500942</v>
      </c>
      <c r="CR8" s="189">
        <v>3700</v>
      </c>
      <c r="CS8" s="189">
        <v>3700</v>
      </c>
      <c r="CT8" s="189">
        <v>0</v>
      </c>
      <c r="CU8" s="189">
        <v>0</v>
      </c>
      <c r="CV8" s="189">
        <v>944</v>
      </c>
      <c r="CW8" s="189">
        <v>531.22</v>
      </c>
      <c r="CX8" s="189"/>
      <c r="CY8" s="189"/>
      <c r="CZ8" s="189"/>
      <c r="DA8" s="189"/>
      <c r="DB8" s="189"/>
      <c r="DC8" s="189"/>
      <c r="DD8" s="189"/>
      <c r="DE8" s="190"/>
      <c r="DF8" s="189"/>
      <c r="DG8" s="189"/>
      <c r="DH8" s="189">
        <v>12605984.92</v>
      </c>
      <c r="DI8" s="189">
        <v>11987140.92</v>
      </c>
      <c r="DJ8" s="189">
        <v>470347</v>
      </c>
      <c r="DK8" s="189">
        <v>136552</v>
      </c>
      <c r="DL8" s="189">
        <v>12123692.92</v>
      </c>
      <c r="DM8" s="189">
        <v>4112</v>
      </c>
      <c r="DN8" s="189">
        <v>2916.16</v>
      </c>
      <c r="DO8" s="189">
        <v>386</v>
      </c>
      <c r="DP8" s="189">
        <v>1451.69</v>
      </c>
      <c r="DQ8" s="189"/>
      <c r="DR8" s="189">
        <v>672905.1</v>
      </c>
      <c r="DS8" s="189">
        <v>0</v>
      </c>
      <c r="DT8" s="189">
        <v>461908.6</v>
      </c>
      <c r="DU8" s="189">
        <v>210996.5</v>
      </c>
      <c r="DV8" s="189">
        <v>210996.5</v>
      </c>
      <c r="DW8" s="189">
        <v>0</v>
      </c>
      <c r="DX8" s="189">
        <v>0</v>
      </c>
      <c r="DY8" s="189">
        <v>415</v>
      </c>
      <c r="DZ8" s="189">
        <v>1218.76</v>
      </c>
    </row>
    <row r="9" spans="1:130" ht="15.75" customHeight="1" x14ac:dyDescent="0.25">
      <c r="B9" s="186" t="s">
        <v>113</v>
      </c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6">
        <f>'Mg St Colaba'!D11</f>
        <v>1603.5368513065882</v>
      </c>
      <c r="N9" s="176" t="e">
        <f>'Mg St Colaba'!#REF!</f>
        <v>#REF!</v>
      </c>
      <c r="O9" s="173"/>
      <c r="P9" s="173"/>
      <c r="Q9" s="173"/>
      <c r="R9" s="173"/>
      <c r="V9" s="179"/>
      <c r="W9" s="187"/>
      <c r="X9" s="188">
        <v>45597</v>
      </c>
      <c r="Y9" s="189">
        <v>48633033.990000002</v>
      </c>
      <c r="Z9" s="189">
        <v>37563824</v>
      </c>
      <c r="AA9" s="189">
        <v>8692990.0199999996</v>
      </c>
      <c r="AB9" s="190">
        <v>2285459.9700000002</v>
      </c>
      <c r="AC9" s="189">
        <v>21027</v>
      </c>
      <c r="AD9" s="190">
        <v>1787.46</v>
      </c>
      <c r="AE9" s="189">
        <v>10086</v>
      </c>
      <c r="AF9" s="189">
        <v>1098.57</v>
      </c>
      <c r="AG9" s="191"/>
      <c r="AH9" s="191" t="s">
        <v>114</v>
      </c>
      <c r="AI9" s="191" t="s">
        <v>115</v>
      </c>
      <c r="AJ9" s="191" t="s">
        <v>116</v>
      </c>
      <c r="AK9" s="191" t="s">
        <v>117</v>
      </c>
      <c r="AL9" s="192">
        <v>11022448.5</v>
      </c>
      <c r="AM9" s="191" t="s">
        <v>118</v>
      </c>
      <c r="AN9" s="191" t="s">
        <v>119</v>
      </c>
      <c r="AO9" s="189">
        <v>1962</v>
      </c>
      <c r="AP9" s="189">
        <v>1251.1099999999999</v>
      </c>
      <c r="AQ9" s="189"/>
      <c r="AR9" s="189">
        <v>10518155.18</v>
      </c>
      <c r="AS9" s="189">
        <v>8476917</v>
      </c>
      <c r="AT9" s="190">
        <v>1751339.93</v>
      </c>
      <c r="AU9" s="189">
        <v>289898.25</v>
      </c>
      <c r="AV9" s="193">
        <v>8766815.25</v>
      </c>
      <c r="AW9" s="189">
        <v>5680</v>
      </c>
      <c r="AX9" s="189">
        <v>1493.41</v>
      </c>
      <c r="AY9" s="189">
        <v>1498</v>
      </c>
      <c r="AZ9" s="189">
        <v>1399.95</v>
      </c>
      <c r="BA9" s="189"/>
      <c r="BB9" s="189">
        <v>6803685.6200000001</v>
      </c>
      <c r="BC9" s="190">
        <v>3364524.5</v>
      </c>
      <c r="BD9" s="189">
        <v>2672539.62</v>
      </c>
      <c r="BE9" s="190">
        <v>766621.5</v>
      </c>
      <c r="BF9" s="189">
        <v>4131146</v>
      </c>
      <c r="BG9" s="189">
        <v>3669</v>
      </c>
      <c r="BH9" s="189">
        <v>918.01</v>
      </c>
      <c r="BI9" s="189">
        <v>2872</v>
      </c>
      <c r="BJ9" s="189">
        <v>1394.13</v>
      </c>
      <c r="BK9" s="189"/>
      <c r="BL9" s="189">
        <v>223299.14</v>
      </c>
      <c r="BM9" s="189">
        <v>0</v>
      </c>
      <c r="BN9" s="189">
        <v>223299.14</v>
      </c>
      <c r="BO9" s="189">
        <v>0</v>
      </c>
      <c r="BP9" s="189">
        <v>0</v>
      </c>
      <c r="BQ9" s="189">
        <v>0</v>
      </c>
      <c r="BR9" s="189">
        <v>428</v>
      </c>
      <c r="BS9" s="189">
        <v>521.73</v>
      </c>
      <c r="BT9" s="189"/>
      <c r="BU9" s="189">
        <v>429357.52</v>
      </c>
      <c r="BV9" s="189">
        <v>0</v>
      </c>
      <c r="BW9" s="189">
        <v>100377.02</v>
      </c>
      <c r="BX9" s="189">
        <v>328980.5</v>
      </c>
      <c r="BY9" s="189">
        <v>328980.5</v>
      </c>
      <c r="BZ9" s="189">
        <v>0</v>
      </c>
      <c r="CA9" s="189">
        <v>0</v>
      </c>
      <c r="CB9" s="189">
        <v>216</v>
      </c>
      <c r="CC9" s="189">
        <v>563.91999999999996</v>
      </c>
      <c r="CD9" s="189"/>
      <c r="CE9" s="189">
        <v>793248.87</v>
      </c>
      <c r="CF9" s="190">
        <v>0</v>
      </c>
      <c r="CG9" s="189">
        <v>409549.65</v>
      </c>
      <c r="CH9" s="189">
        <v>383699.22</v>
      </c>
      <c r="CI9" s="189">
        <v>383699.22</v>
      </c>
      <c r="CJ9" s="189">
        <v>0</v>
      </c>
      <c r="CK9" s="189">
        <v>0</v>
      </c>
      <c r="CL9" s="189">
        <v>1260</v>
      </c>
      <c r="CM9" s="189">
        <v>557.21</v>
      </c>
      <c r="CN9" s="189"/>
      <c r="CO9" s="190">
        <v>601704.75</v>
      </c>
      <c r="CP9" s="189">
        <v>0</v>
      </c>
      <c r="CQ9" s="189">
        <v>598654.75</v>
      </c>
      <c r="CR9" s="189">
        <v>3050</v>
      </c>
      <c r="CS9" s="189">
        <v>3050</v>
      </c>
      <c r="CT9" s="189">
        <v>0</v>
      </c>
      <c r="CU9" s="189">
        <v>0</v>
      </c>
      <c r="CV9" s="189">
        <v>1104</v>
      </c>
      <c r="CW9" s="189">
        <v>543.24</v>
      </c>
      <c r="CX9" s="189"/>
      <c r="CY9" s="189"/>
      <c r="CZ9" s="189"/>
      <c r="DA9" s="189"/>
      <c r="DB9" s="189"/>
      <c r="DC9" s="189"/>
      <c r="DD9" s="189"/>
      <c r="DE9" s="190"/>
      <c r="DF9" s="189"/>
      <c r="DG9" s="189"/>
      <c r="DH9" s="189">
        <v>15706930</v>
      </c>
      <c r="DI9" s="189">
        <v>15002377</v>
      </c>
      <c r="DJ9" s="189">
        <v>482688</v>
      </c>
      <c r="DK9" s="189">
        <v>131105</v>
      </c>
      <c r="DL9" s="189">
        <v>15133482</v>
      </c>
      <c r="DM9" s="189">
        <v>5220</v>
      </c>
      <c r="DN9" s="189">
        <v>2875.02</v>
      </c>
      <c r="DO9" s="189">
        <v>356</v>
      </c>
      <c r="DP9" s="189">
        <v>1587.79</v>
      </c>
      <c r="DQ9" s="189"/>
      <c r="DR9" s="189">
        <v>494897.46</v>
      </c>
      <c r="DS9" s="189">
        <v>0</v>
      </c>
      <c r="DT9" s="189">
        <v>415234.96</v>
      </c>
      <c r="DU9" s="189">
        <v>79662.5</v>
      </c>
      <c r="DV9" s="189">
        <v>79662.5</v>
      </c>
      <c r="DW9" s="189">
        <v>0</v>
      </c>
      <c r="DX9" s="189">
        <v>0</v>
      </c>
      <c r="DY9" s="189">
        <v>390</v>
      </c>
      <c r="DZ9" s="189">
        <v>1128.3599999999999</v>
      </c>
    </row>
    <row r="10" spans="1:130" ht="15.75" customHeight="1" x14ac:dyDescent="0.25">
      <c r="B10" s="186" t="s">
        <v>120</v>
      </c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6">
        <f>'Mg St Colaba'!D12</f>
        <v>2424.7252286049238</v>
      </c>
      <c r="N10" s="176" t="e">
        <f>'Mg St Colaba'!#REF!</f>
        <v>#REF!</v>
      </c>
      <c r="O10" s="173"/>
      <c r="P10" s="173"/>
      <c r="Q10" s="173"/>
      <c r="R10" s="173"/>
      <c r="V10" s="179"/>
      <c r="W10" s="187"/>
      <c r="X10" s="188">
        <v>45627</v>
      </c>
      <c r="Y10" s="189">
        <v>56858970.420000002</v>
      </c>
      <c r="Z10" s="189">
        <v>45119366.950000003</v>
      </c>
      <c r="AA10" s="189">
        <v>9313599.9900000002</v>
      </c>
      <c r="AB10" s="190">
        <v>2414308.48</v>
      </c>
      <c r="AC10" s="189">
        <v>24520</v>
      </c>
      <c r="AD10" s="190">
        <v>1841.1</v>
      </c>
      <c r="AE10" s="189">
        <v>10856</v>
      </c>
      <c r="AF10" s="189">
        <v>1081.0899999999999</v>
      </c>
      <c r="AG10" s="191"/>
      <c r="AH10" s="191" t="s">
        <v>121</v>
      </c>
      <c r="AI10" s="191" t="s">
        <v>122</v>
      </c>
      <c r="AJ10" s="191" t="s">
        <v>123</v>
      </c>
      <c r="AK10" s="191" t="s">
        <v>124</v>
      </c>
      <c r="AL10" s="192">
        <v>12872772</v>
      </c>
      <c r="AM10" s="191" t="s">
        <v>125</v>
      </c>
      <c r="AN10" s="191" t="s">
        <v>126</v>
      </c>
      <c r="AO10" s="189">
        <v>2057</v>
      </c>
      <c r="AP10" s="189">
        <v>1264.3</v>
      </c>
      <c r="AQ10" s="189"/>
      <c r="AR10" s="189">
        <v>13379585.189999999</v>
      </c>
      <c r="AS10" s="189">
        <v>11118964</v>
      </c>
      <c r="AT10" s="190">
        <v>1938796.69</v>
      </c>
      <c r="AU10" s="189">
        <v>321824.5</v>
      </c>
      <c r="AV10" s="193">
        <v>11440788.5</v>
      </c>
      <c r="AW10" s="189">
        <v>7200</v>
      </c>
      <c r="AX10" s="189">
        <v>1545.3</v>
      </c>
      <c r="AY10" s="189">
        <v>1732</v>
      </c>
      <c r="AZ10" s="189">
        <v>1348.26</v>
      </c>
      <c r="BA10" s="189"/>
      <c r="BB10" s="189">
        <v>7225322.6299999999</v>
      </c>
      <c r="BC10" s="190">
        <v>3710635.5</v>
      </c>
      <c r="BD10" s="189">
        <v>2787430.63</v>
      </c>
      <c r="BE10" s="190">
        <v>727256.5</v>
      </c>
      <c r="BF10" s="189">
        <v>4437892</v>
      </c>
      <c r="BG10" s="189">
        <v>4010</v>
      </c>
      <c r="BH10" s="189">
        <v>926.35</v>
      </c>
      <c r="BI10" s="189">
        <v>2887</v>
      </c>
      <c r="BJ10" s="189">
        <v>1359.72</v>
      </c>
      <c r="BK10" s="189"/>
      <c r="BL10" s="189">
        <v>312053.11</v>
      </c>
      <c r="BM10" s="189">
        <v>0</v>
      </c>
      <c r="BN10" s="189">
        <v>312053.11</v>
      </c>
      <c r="BO10" s="189">
        <v>0</v>
      </c>
      <c r="BP10" s="189">
        <v>0</v>
      </c>
      <c r="BQ10" s="189">
        <v>0</v>
      </c>
      <c r="BR10" s="189">
        <v>599</v>
      </c>
      <c r="BS10" s="189">
        <v>520.96</v>
      </c>
      <c r="BT10" s="189"/>
      <c r="BU10" s="189">
        <v>452140.06</v>
      </c>
      <c r="BV10" s="189">
        <v>0</v>
      </c>
      <c r="BW10" s="189">
        <v>83230.559999999998</v>
      </c>
      <c r="BX10" s="189">
        <v>368909.5</v>
      </c>
      <c r="BY10" s="189">
        <v>368909.5</v>
      </c>
      <c r="BZ10" s="189">
        <v>0</v>
      </c>
      <c r="CA10" s="189">
        <v>0</v>
      </c>
      <c r="CB10" s="189">
        <v>201</v>
      </c>
      <c r="CC10" s="189">
        <v>547.57000000000005</v>
      </c>
      <c r="CD10" s="189"/>
      <c r="CE10" s="189">
        <v>932418.4</v>
      </c>
      <c r="CF10" s="190">
        <v>0</v>
      </c>
      <c r="CG10" s="189">
        <v>478284.42</v>
      </c>
      <c r="CH10" s="189">
        <v>454133.98</v>
      </c>
      <c r="CI10" s="189">
        <v>454133.98</v>
      </c>
      <c r="CJ10" s="189">
        <v>0</v>
      </c>
      <c r="CK10" s="189">
        <v>0</v>
      </c>
      <c r="CL10" s="189">
        <v>1437</v>
      </c>
      <c r="CM10" s="189">
        <v>593.4</v>
      </c>
      <c r="CN10" s="189"/>
      <c r="CO10" s="190">
        <v>653261.79</v>
      </c>
      <c r="CP10" s="189">
        <v>0</v>
      </c>
      <c r="CQ10" s="189">
        <v>647911.79</v>
      </c>
      <c r="CR10" s="189">
        <v>5350</v>
      </c>
      <c r="CS10" s="189">
        <v>5350</v>
      </c>
      <c r="CT10" s="189">
        <v>0</v>
      </c>
      <c r="CU10" s="189">
        <v>0</v>
      </c>
      <c r="CV10" s="189">
        <v>1193</v>
      </c>
      <c r="CW10" s="189">
        <v>544.01</v>
      </c>
      <c r="CX10" s="189"/>
      <c r="CY10" s="189"/>
      <c r="CZ10" s="189"/>
      <c r="DA10" s="189"/>
      <c r="DB10" s="189"/>
      <c r="DC10" s="189"/>
      <c r="DD10" s="189"/>
      <c r="DE10" s="190"/>
      <c r="DF10" s="189"/>
      <c r="DG10" s="189"/>
      <c r="DH10" s="189">
        <v>18336849.949999999</v>
      </c>
      <c r="DI10" s="189">
        <v>17737602.949999999</v>
      </c>
      <c r="DJ10" s="189">
        <v>442208</v>
      </c>
      <c r="DK10" s="189">
        <v>145344</v>
      </c>
      <c r="DL10" s="189">
        <v>17882946.949999999</v>
      </c>
      <c r="DM10" s="189">
        <v>5940</v>
      </c>
      <c r="DN10" s="189">
        <v>2987.13</v>
      </c>
      <c r="DO10" s="189">
        <v>321</v>
      </c>
      <c r="DP10" s="189">
        <v>1625.76</v>
      </c>
      <c r="DQ10" s="189"/>
      <c r="DR10" s="189">
        <v>542726.6</v>
      </c>
      <c r="DS10" s="189">
        <v>0</v>
      </c>
      <c r="DT10" s="189">
        <v>471844.1</v>
      </c>
      <c r="DU10" s="189">
        <v>70882.5</v>
      </c>
      <c r="DV10" s="189">
        <v>70882.5</v>
      </c>
      <c r="DW10" s="189">
        <v>0</v>
      </c>
      <c r="DX10" s="189">
        <v>0</v>
      </c>
      <c r="DY10" s="189">
        <v>429</v>
      </c>
      <c r="DZ10" s="189">
        <v>1165.05</v>
      </c>
    </row>
    <row r="11" spans="1:130" ht="15.75" customHeight="1" x14ac:dyDescent="0.25">
      <c r="V11" s="179"/>
      <c r="W11" s="187"/>
      <c r="X11" s="188">
        <v>45658</v>
      </c>
      <c r="Y11" s="189">
        <v>52803038.109999999</v>
      </c>
      <c r="Z11" s="189">
        <v>41940527.75</v>
      </c>
      <c r="AA11" s="189">
        <v>8779763.1699999999</v>
      </c>
      <c r="AB11" s="190">
        <v>2082747.19</v>
      </c>
      <c r="AC11" s="189">
        <v>23354</v>
      </c>
      <c r="AD11" s="190">
        <v>1796.86</v>
      </c>
      <c r="AE11" s="189">
        <v>10495</v>
      </c>
      <c r="AF11" s="189">
        <v>1053.8699999999999</v>
      </c>
      <c r="AG11" s="191"/>
      <c r="AH11" s="191" t="s">
        <v>127</v>
      </c>
      <c r="AI11" s="191" t="s">
        <v>128</v>
      </c>
      <c r="AJ11" s="191" t="s">
        <v>129</v>
      </c>
      <c r="AK11" s="191" t="s">
        <v>130</v>
      </c>
      <c r="AL11" s="192">
        <v>11443319.5</v>
      </c>
      <c r="AM11" s="191" t="s">
        <v>131</v>
      </c>
      <c r="AN11" s="191" t="s">
        <v>132</v>
      </c>
      <c r="AO11" s="189">
        <v>1952</v>
      </c>
      <c r="AP11" s="189">
        <v>1273.43</v>
      </c>
      <c r="AQ11" s="189"/>
      <c r="AR11" s="189">
        <v>12767801.32</v>
      </c>
      <c r="AS11" s="189">
        <v>10593906.75</v>
      </c>
      <c r="AT11" s="190">
        <v>1837355.32</v>
      </c>
      <c r="AU11" s="189">
        <v>336539.25</v>
      </c>
      <c r="AV11" s="193">
        <v>10930446</v>
      </c>
      <c r="AW11" s="189">
        <v>6947</v>
      </c>
      <c r="AX11" s="189">
        <v>1525.96</v>
      </c>
      <c r="AY11" s="189">
        <v>1667</v>
      </c>
      <c r="AZ11" s="189">
        <v>1318.05</v>
      </c>
      <c r="BA11" s="189"/>
      <c r="BB11" s="189">
        <v>7176728.8700000001</v>
      </c>
      <c r="BC11" s="190">
        <v>3850240.5</v>
      </c>
      <c r="BD11" s="189">
        <v>2649011.37</v>
      </c>
      <c r="BE11" s="190">
        <v>677477</v>
      </c>
      <c r="BF11" s="189">
        <v>4527717.5</v>
      </c>
      <c r="BG11" s="189">
        <v>4392</v>
      </c>
      <c r="BH11" s="189">
        <v>877.65</v>
      </c>
      <c r="BI11" s="189">
        <v>2934</v>
      </c>
      <c r="BJ11" s="189">
        <v>1328.49</v>
      </c>
      <c r="BK11" s="189"/>
      <c r="BL11" s="189">
        <v>272329.93</v>
      </c>
      <c r="BM11" s="189">
        <v>0</v>
      </c>
      <c r="BN11" s="189">
        <v>272329.93</v>
      </c>
      <c r="BO11" s="189">
        <v>0</v>
      </c>
      <c r="BP11" s="189">
        <v>0</v>
      </c>
      <c r="BQ11" s="189">
        <v>0</v>
      </c>
      <c r="BR11" s="189">
        <v>524</v>
      </c>
      <c r="BS11" s="189">
        <v>519.71</v>
      </c>
      <c r="BT11" s="189"/>
      <c r="BU11" s="189">
        <v>426947.01</v>
      </c>
      <c r="BV11" s="189">
        <v>0</v>
      </c>
      <c r="BW11" s="189">
        <v>92114.13</v>
      </c>
      <c r="BX11" s="189">
        <v>334832.88</v>
      </c>
      <c r="BY11" s="189">
        <v>334832.88</v>
      </c>
      <c r="BZ11" s="189">
        <v>0</v>
      </c>
      <c r="CA11" s="189">
        <v>0</v>
      </c>
      <c r="CB11" s="189">
        <v>199</v>
      </c>
      <c r="CC11" s="189">
        <v>561.66999999999996</v>
      </c>
      <c r="CD11" s="189"/>
      <c r="CE11" s="189">
        <v>724488.44</v>
      </c>
      <c r="CF11" s="190">
        <v>0</v>
      </c>
      <c r="CG11" s="189">
        <v>397378.38</v>
      </c>
      <c r="CH11" s="189">
        <v>327110.06</v>
      </c>
      <c r="CI11" s="189">
        <v>327110.06</v>
      </c>
      <c r="CJ11" s="189">
        <v>0</v>
      </c>
      <c r="CK11" s="189">
        <v>0</v>
      </c>
      <c r="CL11" s="189">
        <v>1233</v>
      </c>
      <c r="CM11" s="189">
        <v>542.87</v>
      </c>
      <c r="CN11" s="189"/>
      <c r="CO11" s="190">
        <v>632911.21</v>
      </c>
      <c r="CP11" s="189">
        <v>0</v>
      </c>
      <c r="CQ11" s="189">
        <v>632911.21</v>
      </c>
      <c r="CR11" s="189">
        <v>0</v>
      </c>
      <c r="CS11" s="189">
        <v>0</v>
      </c>
      <c r="CT11" s="189">
        <v>0</v>
      </c>
      <c r="CU11" s="189">
        <v>0</v>
      </c>
      <c r="CV11" s="189">
        <v>1223</v>
      </c>
      <c r="CW11" s="189">
        <v>517.51</v>
      </c>
      <c r="CX11" s="189"/>
      <c r="CY11" s="189"/>
      <c r="CZ11" s="189"/>
      <c r="DA11" s="189"/>
      <c r="DB11" s="189"/>
      <c r="DC11" s="189"/>
      <c r="DD11" s="189"/>
      <c r="DE11" s="190"/>
      <c r="DF11" s="189"/>
      <c r="DG11" s="189"/>
      <c r="DH11" s="189">
        <v>16900310</v>
      </c>
      <c r="DI11" s="189">
        <v>16323094</v>
      </c>
      <c r="DJ11" s="189">
        <v>463151</v>
      </c>
      <c r="DK11" s="189">
        <v>114065</v>
      </c>
      <c r="DL11" s="189">
        <v>16437159</v>
      </c>
      <c r="DM11" s="189">
        <v>5464</v>
      </c>
      <c r="DN11" s="189">
        <v>2988.39</v>
      </c>
      <c r="DO11" s="189">
        <v>361</v>
      </c>
      <c r="DP11" s="189">
        <v>1538.71</v>
      </c>
      <c r="DQ11" s="189"/>
      <c r="DR11" s="189">
        <v>401609.25</v>
      </c>
      <c r="DS11" s="189">
        <v>0</v>
      </c>
      <c r="DT11" s="189">
        <v>378919.25</v>
      </c>
      <c r="DU11" s="189">
        <v>22690</v>
      </c>
      <c r="DV11" s="189">
        <v>22690</v>
      </c>
      <c r="DW11" s="189">
        <v>0</v>
      </c>
      <c r="DX11" s="189">
        <v>0</v>
      </c>
      <c r="DY11" s="189">
        <v>402</v>
      </c>
      <c r="DZ11" s="189">
        <v>986.77</v>
      </c>
    </row>
    <row r="12" spans="1:130" ht="15.75" customHeight="1" x14ac:dyDescent="0.25">
      <c r="B12" s="175" t="s">
        <v>133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>
        <v>45748</v>
      </c>
      <c r="N12" s="174">
        <v>45778</v>
      </c>
      <c r="O12" s="175"/>
      <c r="P12" s="175"/>
      <c r="Q12" s="175"/>
      <c r="R12" s="175"/>
      <c r="V12" s="179"/>
      <c r="W12" s="187"/>
      <c r="X12" s="188">
        <v>45689</v>
      </c>
      <c r="Y12" s="189">
        <v>46867379.18</v>
      </c>
      <c r="Z12" s="189">
        <v>36154066.25</v>
      </c>
      <c r="AA12" s="189">
        <v>8878440.7599999998</v>
      </c>
      <c r="AB12" s="190">
        <v>1834872.17</v>
      </c>
      <c r="AC12" s="189">
        <v>20011</v>
      </c>
      <c r="AD12" s="190">
        <v>1807.71</v>
      </c>
      <c r="AE12" s="189">
        <v>10204</v>
      </c>
      <c r="AF12" s="189">
        <v>1064.82</v>
      </c>
      <c r="AG12" s="191"/>
      <c r="AH12" s="191" t="s">
        <v>134</v>
      </c>
      <c r="AI12" s="191" t="s">
        <v>135</v>
      </c>
      <c r="AJ12" s="191" t="s">
        <v>136</v>
      </c>
      <c r="AK12" s="191" t="s">
        <v>137</v>
      </c>
      <c r="AL12" s="192">
        <v>9878764</v>
      </c>
      <c r="AM12" s="191" t="s">
        <v>138</v>
      </c>
      <c r="AN12" s="191" t="s">
        <v>139</v>
      </c>
      <c r="AO12" s="189">
        <v>2116</v>
      </c>
      <c r="AP12" s="189">
        <v>1207.49</v>
      </c>
      <c r="AQ12" s="189"/>
      <c r="AR12" s="189">
        <v>10589751.49</v>
      </c>
      <c r="AS12" s="189">
        <v>8554300</v>
      </c>
      <c r="AT12" s="190">
        <v>1836480.49</v>
      </c>
      <c r="AU12" s="189">
        <v>198971</v>
      </c>
      <c r="AV12" s="193">
        <v>8753271</v>
      </c>
      <c r="AW12" s="189">
        <v>5556</v>
      </c>
      <c r="AX12" s="189">
        <v>1540.65</v>
      </c>
      <c r="AY12" s="189">
        <v>1615</v>
      </c>
      <c r="AZ12" s="189">
        <v>1307.0999999999999</v>
      </c>
      <c r="BA12" s="189"/>
      <c r="BB12" s="189">
        <v>6592019.9199999999</v>
      </c>
      <c r="BC12" s="190">
        <v>3214963.75</v>
      </c>
      <c r="BD12" s="189">
        <v>2758945.17</v>
      </c>
      <c r="BE12" s="190">
        <v>618111</v>
      </c>
      <c r="BF12" s="189">
        <v>3833074.75</v>
      </c>
      <c r="BG12" s="189">
        <v>3752</v>
      </c>
      <c r="BH12" s="189">
        <v>857.87</v>
      </c>
      <c r="BI12" s="189">
        <v>2934</v>
      </c>
      <c r="BJ12" s="189">
        <v>1313.16</v>
      </c>
      <c r="BK12" s="189"/>
      <c r="BL12" s="189">
        <v>269505.12</v>
      </c>
      <c r="BM12" s="189">
        <v>0</v>
      </c>
      <c r="BN12" s="189">
        <v>269505.12</v>
      </c>
      <c r="BO12" s="189">
        <v>0</v>
      </c>
      <c r="BP12" s="189">
        <v>0</v>
      </c>
      <c r="BQ12" s="189">
        <v>0</v>
      </c>
      <c r="BR12" s="189">
        <v>512</v>
      </c>
      <c r="BS12" s="189">
        <v>526.38</v>
      </c>
      <c r="BT12" s="189"/>
      <c r="BU12" s="189">
        <v>331673.28000000003</v>
      </c>
      <c r="BV12" s="189">
        <v>875</v>
      </c>
      <c r="BW12" s="189">
        <v>99092.53</v>
      </c>
      <c r="BX12" s="189">
        <v>231705.75</v>
      </c>
      <c r="BY12" s="189">
        <v>232580.75</v>
      </c>
      <c r="BZ12" s="189">
        <v>0</v>
      </c>
      <c r="CA12" s="189">
        <v>0</v>
      </c>
      <c r="CB12" s="189">
        <v>172</v>
      </c>
      <c r="CC12" s="189">
        <v>647.66</v>
      </c>
      <c r="CD12" s="189"/>
      <c r="CE12" s="189">
        <v>639315.59</v>
      </c>
      <c r="CF12" s="190">
        <v>0</v>
      </c>
      <c r="CG12" s="189">
        <v>362322.67</v>
      </c>
      <c r="CH12" s="189">
        <v>276992.92</v>
      </c>
      <c r="CI12" s="189">
        <v>276992.92</v>
      </c>
      <c r="CJ12" s="189">
        <v>0</v>
      </c>
      <c r="CK12" s="189">
        <v>0</v>
      </c>
      <c r="CL12" s="189">
        <v>1054</v>
      </c>
      <c r="CM12" s="189">
        <v>557.41999999999996</v>
      </c>
      <c r="CN12" s="189"/>
      <c r="CO12" s="190">
        <v>574735.73</v>
      </c>
      <c r="CP12" s="189">
        <v>0</v>
      </c>
      <c r="CQ12" s="189">
        <v>574735.73</v>
      </c>
      <c r="CR12" s="189">
        <v>0</v>
      </c>
      <c r="CS12" s="189">
        <v>0</v>
      </c>
      <c r="CT12" s="189">
        <v>0</v>
      </c>
      <c r="CU12" s="189">
        <v>0</v>
      </c>
      <c r="CV12" s="189">
        <v>1065</v>
      </c>
      <c r="CW12" s="189">
        <v>539.66</v>
      </c>
      <c r="CX12" s="189"/>
      <c r="CY12" s="189"/>
      <c r="CZ12" s="189"/>
      <c r="DA12" s="189"/>
      <c r="DB12" s="189"/>
      <c r="DC12" s="189"/>
      <c r="DD12" s="189"/>
      <c r="DE12" s="190"/>
      <c r="DF12" s="189"/>
      <c r="DG12" s="189"/>
      <c r="DH12" s="189">
        <v>15413399</v>
      </c>
      <c r="DI12" s="189">
        <v>14836050</v>
      </c>
      <c r="DJ12" s="189">
        <v>432879</v>
      </c>
      <c r="DK12" s="189">
        <v>144470</v>
      </c>
      <c r="DL12" s="189">
        <v>14980520</v>
      </c>
      <c r="DM12" s="189">
        <v>4880</v>
      </c>
      <c r="DN12" s="189">
        <v>3041.17</v>
      </c>
      <c r="DO12" s="189">
        <v>328</v>
      </c>
      <c r="DP12" s="189">
        <v>1621.27</v>
      </c>
      <c r="DQ12" s="189"/>
      <c r="DR12" s="189">
        <v>414393.84</v>
      </c>
      <c r="DS12" s="189">
        <v>0</v>
      </c>
      <c r="DT12" s="189">
        <v>380658.84</v>
      </c>
      <c r="DU12" s="189">
        <v>33735</v>
      </c>
      <c r="DV12" s="189">
        <v>33735</v>
      </c>
      <c r="DW12" s="189">
        <v>0</v>
      </c>
      <c r="DX12" s="189">
        <v>0</v>
      </c>
      <c r="DY12" s="189">
        <v>408</v>
      </c>
      <c r="DZ12" s="189">
        <v>968.6</v>
      </c>
    </row>
    <row r="13" spans="1:130" ht="15.75" customHeight="1" x14ac:dyDescent="0.25">
      <c r="B13" s="186" t="s">
        <v>78</v>
      </c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6">
        <f>'Mg St LP'!D6</f>
        <v>4432</v>
      </c>
      <c r="N13" s="176" t="e">
        <f>'Mg St LP'!#REF!</f>
        <v>#REF!</v>
      </c>
      <c r="O13" s="173"/>
      <c r="P13" s="173"/>
      <c r="Q13" s="173"/>
      <c r="R13" s="173"/>
      <c r="V13" s="179"/>
      <c r="W13" s="187"/>
      <c r="X13" s="188">
        <v>45717</v>
      </c>
      <c r="Y13" s="189">
        <v>52065361.369999997</v>
      </c>
      <c r="Z13" s="189">
        <v>39668070.799999997</v>
      </c>
      <c r="AA13" s="189">
        <v>10366867.289999999</v>
      </c>
      <c r="AB13" s="190">
        <v>2030423.28</v>
      </c>
      <c r="AC13" s="189">
        <v>22339</v>
      </c>
      <c r="AD13" s="190">
        <v>1776.73</v>
      </c>
      <c r="AE13" s="189">
        <v>11503</v>
      </c>
      <c r="AF13" s="189">
        <v>1089.99</v>
      </c>
      <c r="AG13" s="191"/>
      <c r="AH13" s="191" t="s">
        <v>140</v>
      </c>
      <c r="AI13" s="191" t="s">
        <v>141</v>
      </c>
      <c r="AJ13" s="191" t="s">
        <v>142</v>
      </c>
      <c r="AK13" s="191" t="s">
        <v>143</v>
      </c>
      <c r="AL13" s="192">
        <v>11175554</v>
      </c>
      <c r="AM13" s="191" t="s">
        <v>144</v>
      </c>
      <c r="AN13" s="191" t="s">
        <v>145</v>
      </c>
      <c r="AO13" s="189">
        <v>2436</v>
      </c>
      <c r="AP13" s="189">
        <v>1243.69</v>
      </c>
      <c r="AQ13" s="189"/>
      <c r="AR13" s="189">
        <v>11527192.77</v>
      </c>
      <c r="AS13" s="189">
        <v>9107859.5</v>
      </c>
      <c r="AT13" s="190">
        <v>2136801.27</v>
      </c>
      <c r="AU13" s="189">
        <v>282532</v>
      </c>
      <c r="AV13" s="193">
        <v>9390391.5</v>
      </c>
      <c r="AW13" s="189">
        <v>5839</v>
      </c>
      <c r="AX13" s="189">
        <v>1560.83</v>
      </c>
      <c r="AY13" s="189">
        <v>1862</v>
      </c>
      <c r="AZ13" s="189">
        <v>1313.34</v>
      </c>
      <c r="BA13" s="189"/>
      <c r="BB13" s="189">
        <v>8007527.5300000003</v>
      </c>
      <c r="BC13" s="190">
        <v>4084209.5</v>
      </c>
      <c r="BD13" s="189">
        <v>3200802.53</v>
      </c>
      <c r="BE13" s="190">
        <v>722515.5</v>
      </c>
      <c r="BF13" s="189">
        <v>4806725</v>
      </c>
      <c r="BG13" s="189">
        <v>4566</v>
      </c>
      <c r="BH13" s="189">
        <v>895.48</v>
      </c>
      <c r="BI13" s="189">
        <v>3335</v>
      </c>
      <c r="BJ13" s="189">
        <v>1329.79</v>
      </c>
      <c r="BK13" s="189"/>
      <c r="BL13" s="189">
        <v>236942.03</v>
      </c>
      <c r="BM13" s="189">
        <v>0</v>
      </c>
      <c r="BN13" s="189">
        <v>236942.03</v>
      </c>
      <c r="BO13" s="189">
        <v>0</v>
      </c>
      <c r="BP13" s="189">
        <v>0</v>
      </c>
      <c r="BQ13" s="189">
        <v>0</v>
      </c>
      <c r="BR13" s="189">
        <v>466</v>
      </c>
      <c r="BS13" s="189">
        <v>508.46</v>
      </c>
      <c r="BT13" s="189"/>
      <c r="BU13" s="189">
        <v>349931.53</v>
      </c>
      <c r="BV13" s="189">
        <v>0</v>
      </c>
      <c r="BW13" s="189">
        <v>71962.53</v>
      </c>
      <c r="BX13" s="189">
        <v>277969</v>
      </c>
      <c r="BY13" s="189">
        <v>277969</v>
      </c>
      <c r="BZ13" s="189">
        <v>0</v>
      </c>
      <c r="CA13" s="189">
        <v>0</v>
      </c>
      <c r="CB13" s="189">
        <v>166</v>
      </c>
      <c r="CC13" s="189">
        <v>525.27</v>
      </c>
      <c r="CD13" s="189"/>
      <c r="CE13" s="189">
        <v>640732.34</v>
      </c>
      <c r="CF13" s="190">
        <v>0</v>
      </c>
      <c r="CG13" s="189">
        <v>335894.56</v>
      </c>
      <c r="CH13" s="189">
        <v>304837.78000000003</v>
      </c>
      <c r="CI13" s="189">
        <v>304837.78000000003</v>
      </c>
      <c r="CJ13" s="189">
        <v>0</v>
      </c>
      <c r="CK13" s="189">
        <v>0</v>
      </c>
      <c r="CL13" s="189">
        <v>1074</v>
      </c>
      <c r="CM13" s="189">
        <v>515.17999999999995</v>
      </c>
      <c r="CN13" s="189"/>
      <c r="CO13" s="190">
        <v>629526.63</v>
      </c>
      <c r="CP13" s="189">
        <v>0</v>
      </c>
      <c r="CQ13" s="189">
        <v>629526.63</v>
      </c>
      <c r="CR13" s="189">
        <v>0</v>
      </c>
      <c r="CS13" s="189">
        <v>0</v>
      </c>
      <c r="CT13" s="189">
        <v>0</v>
      </c>
      <c r="CU13" s="189">
        <v>0</v>
      </c>
      <c r="CV13" s="189">
        <v>1194</v>
      </c>
      <c r="CW13" s="189">
        <v>527.24</v>
      </c>
      <c r="CX13" s="189"/>
      <c r="CY13" s="189"/>
      <c r="CZ13" s="189"/>
      <c r="DA13" s="189"/>
      <c r="DB13" s="189"/>
      <c r="DC13" s="189"/>
      <c r="DD13" s="189"/>
      <c r="DE13" s="190"/>
      <c r="DF13" s="189"/>
      <c r="DG13" s="189"/>
      <c r="DH13" s="189">
        <v>16141898.300000001</v>
      </c>
      <c r="DI13" s="189">
        <v>15562844.300000001</v>
      </c>
      <c r="DJ13" s="189">
        <v>461254</v>
      </c>
      <c r="DK13" s="189">
        <v>117800</v>
      </c>
      <c r="DL13" s="189">
        <v>15680644.300000001</v>
      </c>
      <c r="DM13" s="189">
        <v>5420</v>
      </c>
      <c r="DN13" s="189">
        <v>2872.37</v>
      </c>
      <c r="DO13" s="189">
        <v>338</v>
      </c>
      <c r="DP13" s="189">
        <v>1574.25</v>
      </c>
      <c r="DQ13" s="189"/>
      <c r="DR13" s="189">
        <v>703266.32</v>
      </c>
      <c r="DS13" s="189">
        <v>0</v>
      </c>
      <c r="DT13" s="189">
        <v>640893.81999999995</v>
      </c>
      <c r="DU13" s="189">
        <v>62372.5</v>
      </c>
      <c r="DV13" s="189">
        <v>62372.5</v>
      </c>
      <c r="DW13" s="189">
        <v>0</v>
      </c>
      <c r="DX13" s="189">
        <v>0</v>
      </c>
      <c r="DY13" s="189">
        <v>632</v>
      </c>
      <c r="DZ13" s="189">
        <v>1064.6099999999999</v>
      </c>
    </row>
    <row r="14" spans="1:130" ht="15.75" customHeight="1" x14ac:dyDescent="0.25">
      <c r="B14" s="186" t="s">
        <v>85</v>
      </c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6">
        <f>'Mg St LP'!D7</f>
        <v>2983</v>
      </c>
      <c r="N14" s="176" t="e">
        <f>'Mg St LP'!#REF!</f>
        <v>#REF!</v>
      </c>
      <c r="O14" s="173"/>
      <c r="P14" s="173"/>
      <c r="Q14" s="173"/>
      <c r="R14" s="173"/>
      <c r="V14" s="179"/>
      <c r="W14" s="187"/>
      <c r="X14" s="188">
        <v>45748</v>
      </c>
      <c r="Y14" s="189">
        <v>52095941.240000002</v>
      </c>
      <c r="Z14" s="189">
        <v>40631144.700000003</v>
      </c>
      <c r="AA14" s="189">
        <v>9610200.4800000004</v>
      </c>
      <c r="AB14" s="190">
        <v>1854596.06</v>
      </c>
      <c r="AC14" s="189">
        <v>21929</v>
      </c>
      <c r="AD14" s="190">
        <v>1853.85</v>
      </c>
      <c r="AE14" s="189">
        <v>10600</v>
      </c>
      <c r="AF14" s="189">
        <v>1108.19</v>
      </c>
      <c r="AG14" s="191"/>
      <c r="AH14" s="191" t="s">
        <v>146</v>
      </c>
      <c r="AI14" s="191" t="s">
        <v>147</v>
      </c>
      <c r="AJ14" s="191" t="s">
        <v>148</v>
      </c>
      <c r="AK14" s="191" t="s">
        <v>149</v>
      </c>
      <c r="AL14" s="192">
        <v>12864320</v>
      </c>
      <c r="AM14" s="191" t="s">
        <v>150</v>
      </c>
      <c r="AN14" s="191" t="s">
        <v>151</v>
      </c>
      <c r="AO14" s="189">
        <v>2241</v>
      </c>
      <c r="AP14" s="189">
        <v>1284.96</v>
      </c>
      <c r="AQ14" s="189"/>
      <c r="AR14" s="189">
        <v>11274554.529999999</v>
      </c>
      <c r="AS14" s="189">
        <v>9021174.25</v>
      </c>
      <c r="AT14" s="190">
        <v>2026403.28</v>
      </c>
      <c r="AU14" s="189">
        <v>226977</v>
      </c>
      <c r="AV14" s="193">
        <v>9248151.25</v>
      </c>
      <c r="AW14" s="189">
        <v>5434</v>
      </c>
      <c r="AX14" s="189">
        <v>1661.14</v>
      </c>
      <c r="AY14" s="189">
        <v>1706</v>
      </c>
      <c r="AZ14" s="189">
        <v>1323.58</v>
      </c>
      <c r="BA14" s="189"/>
      <c r="BB14" s="189">
        <v>7799625.9199999999</v>
      </c>
      <c r="BC14" s="190">
        <v>4119225</v>
      </c>
      <c r="BD14" s="189">
        <v>3003393.42</v>
      </c>
      <c r="BE14" s="190">
        <v>677007.5</v>
      </c>
      <c r="BF14" s="189">
        <v>4796232.5</v>
      </c>
      <c r="BG14" s="189">
        <v>4432</v>
      </c>
      <c r="BH14" s="189">
        <v>930.43</v>
      </c>
      <c r="BI14" s="189">
        <v>2983</v>
      </c>
      <c r="BJ14" s="189">
        <v>1408.06</v>
      </c>
      <c r="BK14" s="189"/>
      <c r="BL14" s="189">
        <v>210736.64000000001</v>
      </c>
      <c r="BM14" s="189">
        <v>0</v>
      </c>
      <c r="BN14" s="189">
        <v>210736.64000000001</v>
      </c>
      <c r="BO14" s="189">
        <v>0</v>
      </c>
      <c r="BP14" s="189">
        <v>0</v>
      </c>
      <c r="BQ14" s="189">
        <v>0</v>
      </c>
      <c r="BR14" s="189">
        <v>419</v>
      </c>
      <c r="BS14" s="189">
        <v>502.95</v>
      </c>
      <c r="BT14" s="189"/>
      <c r="BU14" s="189">
        <v>285064.01</v>
      </c>
      <c r="BV14" s="189">
        <v>0</v>
      </c>
      <c r="BW14" s="189">
        <v>68163.009999999995</v>
      </c>
      <c r="BX14" s="189">
        <v>216901</v>
      </c>
      <c r="BY14" s="189">
        <v>216901</v>
      </c>
      <c r="BZ14" s="189">
        <v>0</v>
      </c>
      <c r="CA14" s="189">
        <v>0</v>
      </c>
      <c r="CB14" s="189">
        <v>159</v>
      </c>
      <c r="CC14" s="189">
        <v>532.52</v>
      </c>
      <c r="CD14" s="189"/>
      <c r="CE14" s="189">
        <v>671198.18</v>
      </c>
      <c r="CF14" s="190">
        <v>0</v>
      </c>
      <c r="CG14" s="189">
        <v>343309.62</v>
      </c>
      <c r="CH14" s="189">
        <v>327888.56</v>
      </c>
      <c r="CI14" s="189">
        <v>327888.56</v>
      </c>
      <c r="CJ14" s="189">
        <v>0</v>
      </c>
      <c r="CK14" s="189">
        <v>0</v>
      </c>
      <c r="CL14" s="189">
        <v>1147</v>
      </c>
      <c r="CM14" s="189">
        <v>533.91999999999996</v>
      </c>
      <c r="CN14" s="189"/>
      <c r="CO14" s="190">
        <v>521785.14</v>
      </c>
      <c r="CP14" s="189">
        <v>0</v>
      </c>
      <c r="CQ14" s="189">
        <v>521785.14</v>
      </c>
      <c r="CR14" s="189">
        <v>0</v>
      </c>
      <c r="CS14" s="189">
        <v>0</v>
      </c>
      <c r="CT14" s="189">
        <v>0</v>
      </c>
      <c r="CU14" s="189">
        <v>0</v>
      </c>
      <c r="CV14" s="189">
        <v>1015</v>
      </c>
      <c r="CW14" s="189">
        <v>514.07000000000005</v>
      </c>
      <c r="CX14" s="189"/>
      <c r="CY14" s="189">
        <v>44479.59</v>
      </c>
      <c r="CZ14" s="189">
        <v>0</v>
      </c>
      <c r="DA14" s="189">
        <v>44479.59</v>
      </c>
      <c r="DB14" s="189">
        <v>0</v>
      </c>
      <c r="DC14" s="189">
        <v>0</v>
      </c>
      <c r="DD14" s="189">
        <v>0</v>
      </c>
      <c r="DE14" s="190">
        <v>83</v>
      </c>
      <c r="DF14" s="189">
        <v>535.9</v>
      </c>
      <c r="DG14" s="189"/>
      <c r="DH14" s="189">
        <v>15494880.449999999</v>
      </c>
      <c r="DI14" s="189">
        <v>14909837.449999999</v>
      </c>
      <c r="DJ14" s="189">
        <v>486848</v>
      </c>
      <c r="DK14" s="189">
        <v>98195</v>
      </c>
      <c r="DL14" s="189">
        <v>15008032.449999999</v>
      </c>
      <c r="DM14" s="189">
        <v>4700</v>
      </c>
      <c r="DN14" s="189">
        <v>3173.31</v>
      </c>
      <c r="DO14" s="189">
        <v>348</v>
      </c>
      <c r="DP14" s="189">
        <v>1606.76</v>
      </c>
      <c r="DQ14" s="189"/>
      <c r="DR14" s="189">
        <v>432613.72</v>
      </c>
      <c r="DS14" s="189">
        <v>0</v>
      </c>
      <c r="DT14" s="189">
        <v>408398.72</v>
      </c>
      <c r="DU14" s="189">
        <v>24215</v>
      </c>
      <c r="DV14" s="189">
        <v>24215</v>
      </c>
      <c r="DW14" s="189">
        <v>0</v>
      </c>
      <c r="DX14" s="189">
        <v>0</v>
      </c>
      <c r="DY14" s="189">
        <v>499</v>
      </c>
      <c r="DZ14" s="189">
        <v>861.6</v>
      </c>
    </row>
    <row r="15" spans="1:130" ht="15.75" customHeight="1" x14ac:dyDescent="0.25">
      <c r="B15" s="186" t="s">
        <v>92</v>
      </c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6">
        <f>'Mg St LP'!D8</f>
        <v>4144195.05</v>
      </c>
      <c r="N15" s="176" t="e">
        <f>'Mg St LP'!#REF!</f>
        <v>#REF!</v>
      </c>
      <c r="O15" s="173"/>
      <c r="P15" s="173"/>
      <c r="Q15" s="173"/>
      <c r="R15" s="173"/>
      <c r="V15" s="179"/>
      <c r="W15" s="187"/>
      <c r="X15" s="188">
        <v>45778</v>
      </c>
      <c r="Y15" s="189">
        <v>54872940.299999997</v>
      </c>
      <c r="Z15" s="189">
        <v>41502148.25</v>
      </c>
      <c r="AA15" s="189">
        <v>11552515.43</v>
      </c>
      <c r="AB15" s="190">
        <v>1818276.62</v>
      </c>
      <c r="AC15" s="189">
        <v>22639</v>
      </c>
      <c r="AD15" s="190">
        <v>1834.21</v>
      </c>
      <c r="AE15" s="189">
        <v>13029</v>
      </c>
      <c r="AF15" s="189">
        <v>1030.46</v>
      </c>
      <c r="AG15" s="191"/>
      <c r="AH15" s="191" t="s">
        <v>152</v>
      </c>
      <c r="AI15" s="191" t="s">
        <v>153</v>
      </c>
      <c r="AJ15" s="191" t="s">
        <v>154</v>
      </c>
      <c r="AK15" s="191" t="s">
        <v>155</v>
      </c>
      <c r="AL15" s="192">
        <v>13069572</v>
      </c>
      <c r="AM15" s="191" t="s">
        <v>156</v>
      </c>
      <c r="AN15" s="191" t="s">
        <v>157</v>
      </c>
      <c r="AO15" s="189">
        <v>2613</v>
      </c>
      <c r="AP15" s="189">
        <v>1303.56</v>
      </c>
      <c r="AQ15" s="189"/>
      <c r="AR15" s="189">
        <v>11931117.27</v>
      </c>
      <c r="AS15" s="189">
        <v>9415520.25</v>
      </c>
      <c r="AT15" s="190">
        <v>2359371.02</v>
      </c>
      <c r="AU15" s="189">
        <v>156226</v>
      </c>
      <c r="AV15" s="193">
        <v>9571746.25</v>
      </c>
      <c r="AW15" s="189">
        <v>5738</v>
      </c>
      <c r="AX15" s="189">
        <v>1641.91</v>
      </c>
      <c r="AY15" s="189">
        <v>1956</v>
      </c>
      <c r="AZ15" s="189">
        <v>1297.07</v>
      </c>
      <c r="BA15" s="189"/>
      <c r="BB15" s="189">
        <v>8814733.8300000001</v>
      </c>
      <c r="BC15" s="190">
        <v>4677508</v>
      </c>
      <c r="BD15" s="189">
        <v>3496559.83</v>
      </c>
      <c r="BE15" s="190">
        <v>640666</v>
      </c>
      <c r="BF15" s="189">
        <v>5318174</v>
      </c>
      <c r="BG15" s="189">
        <v>4850</v>
      </c>
      <c r="BH15" s="189">
        <v>965.43</v>
      </c>
      <c r="BI15" s="189">
        <v>3547</v>
      </c>
      <c r="BJ15" s="189">
        <v>1303.71</v>
      </c>
      <c r="BK15" s="189"/>
      <c r="BL15" s="189">
        <v>269945.40999999997</v>
      </c>
      <c r="BM15" s="189">
        <v>0</v>
      </c>
      <c r="BN15" s="189">
        <v>269945.40999999997</v>
      </c>
      <c r="BO15" s="189">
        <v>0</v>
      </c>
      <c r="BP15" s="189">
        <v>0</v>
      </c>
      <c r="BQ15" s="189">
        <v>0</v>
      </c>
      <c r="BR15" s="189">
        <v>599</v>
      </c>
      <c r="BS15" s="189">
        <v>450.66</v>
      </c>
      <c r="BT15" s="189"/>
      <c r="BU15" s="189">
        <v>333501.82</v>
      </c>
      <c r="BV15" s="189">
        <v>0</v>
      </c>
      <c r="BW15" s="189">
        <v>103864.57</v>
      </c>
      <c r="BX15" s="189">
        <v>229637.25</v>
      </c>
      <c r="BY15" s="189">
        <v>229637.25</v>
      </c>
      <c r="BZ15" s="189">
        <v>0</v>
      </c>
      <c r="CA15" s="189">
        <v>0</v>
      </c>
      <c r="CB15" s="189">
        <v>248</v>
      </c>
      <c r="CC15" s="189">
        <v>487.63</v>
      </c>
      <c r="CD15" s="189"/>
      <c r="CE15" s="189">
        <v>670011.56999999995</v>
      </c>
      <c r="CF15" s="190">
        <v>0</v>
      </c>
      <c r="CG15" s="189">
        <v>401899.2</v>
      </c>
      <c r="CH15" s="189">
        <v>268112.37</v>
      </c>
      <c r="CI15" s="189">
        <v>268112.37</v>
      </c>
      <c r="CJ15" s="189">
        <v>0</v>
      </c>
      <c r="CK15" s="189">
        <v>0</v>
      </c>
      <c r="CL15" s="189">
        <v>1154</v>
      </c>
      <c r="CM15" s="189">
        <v>521.27</v>
      </c>
      <c r="CN15" s="189"/>
      <c r="CO15" s="190">
        <v>610855.05000000005</v>
      </c>
      <c r="CP15" s="189">
        <v>0</v>
      </c>
      <c r="CQ15" s="189">
        <v>610855.05000000005</v>
      </c>
      <c r="CR15" s="189">
        <v>0</v>
      </c>
      <c r="CS15" s="189">
        <v>0</v>
      </c>
      <c r="CT15" s="189">
        <v>0</v>
      </c>
      <c r="CU15" s="189">
        <v>0</v>
      </c>
      <c r="CV15" s="189">
        <v>1203</v>
      </c>
      <c r="CW15" s="189">
        <v>507.78</v>
      </c>
      <c r="CX15" s="189"/>
      <c r="CY15" s="189">
        <v>404859.4</v>
      </c>
      <c r="CZ15" s="189">
        <v>0</v>
      </c>
      <c r="DA15" s="189">
        <v>404859.4</v>
      </c>
      <c r="DB15" s="189">
        <v>0</v>
      </c>
      <c r="DC15" s="189">
        <v>0</v>
      </c>
      <c r="DD15" s="189">
        <v>0</v>
      </c>
      <c r="DE15" s="190">
        <v>859</v>
      </c>
      <c r="DF15" s="189">
        <v>471.31</v>
      </c>
      <c r="DG15" s="189"/>
      <c r="DH15" s="189">
        <v>15236383</v>
      </c>
      <c r="DI15" s="189">
        <v>14660248</v>
      </c>
      <c r="DJ15" s="189">
        <v>444905</v>
      </c>
      <c r="DK15" s="189">
        <v>131230</v>
      </c>
      <c r="DL15" s="189">
        <v>14791478</v>
      </c>
      <c r="DM15" s="189">
        <v>4719</v>
      </c>
      <c r="DN15" s="189">
        <v>3107.64</v>
      </c>
      <c r="DO15" s="189">
        <v>349</v>
      </c>
      <c r="DP15" s="189">
        <v>1508.15</v>
      </c>
      <c r="DQ15" s="189"/>
      <c r="DR15" s="189">
        <v>541603.11</v>
      </c>
      <c r="DS15" s="189">
        <v>0</v>
      </c>
      <c r="DT15" s="189">
        <v>469898.11</v>
      </c>
      <c r="DU15" s="189">
        <v>71705</v>
      </c>
      <c r="DV15" s="189">
        <v>71705</v>
      </c>
      <c r="DW15" s="189">
        <v>0</v>
      </c>
      <c r="DX15" s="189">
        <v>0</v>
      </c>
      <c r="DY15" s="189">
        <v>501</v>
      </c>
      <c r="DZ15" s="189">
        <v>987.18</v>
      </c>
    </row>
    <row r="16" spans="1:130" ht="15.75" customHeight="1" x14ac:dyDescent="0.25">
      <c r="B16" s="186" t="s">
        <v>99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6">
        <f>'Mg St LP'!D9</f>
        <v>5688107.9000000004</v>
      </c>
      <c r="N16" s="176" t="e">
        <f>'Mg St LP'!#REF!</f>
        <v>#REF!</v>
      </c>
      <c r="O16" s="173"/>
      <c r="P16" s="173"/>
      <c r="Q16" s="173"/>
      <c r="R16" s="173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</row>
    <row r="17" spans="2:130" ht="15.75" customHeight="1" x14ac:dyDescent="0.25">
      <c r="B17" s="186" t="s">
        <v>106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6">
        <f>'Mg St LP'!D10</f>
        <v>0</v>
      </c>
      <c r="N17" s="176" t="e">
        <f>'Mg St LP'!#REF!</f>
        <v>#REF!</v>
      </c>
      <c r="O17" s="173"/>
      <c r="P17" s="173"/>
      <c r="Q17" s="173"/>
      <c r="R17" s="173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  <c r="AH17" s="3"/>
      <c r="AI17" s="3"/>
      <c r="AJ17" s="3"/>
      <c r="AK17" s="2"/>
      <c r="AL17" s="2"/>
      <c r="AM17" s="2"/>
      <c r="AN17" s="196">
        <f>(AN15-AN4)/AN4</f>
        <v>0.16638285890508311</v>
      </c>
      <c r="AO17" s="2"/>
      <c r="AP17" s="196">
        <f>(AP15-AP4)/AP4</f>
        <v>-5.2783025723005451E-2</v>
      </c>
      <c r="AQ17" s="3"/>
      <c r="AR17" s="3"/>
      <c r="AS17" s="3"/>
      <c r="AT17" s="2"/>
      <c r="AU17" s="2"/>
      <c r="AV17" s="2"/>
      <c r="AW17" s="2"/>
      <c r="AX17" s="196">
        <f>(AX15-AX4)/AX4</f>
        <v>0.11442863736323416</v>
      </c>
      <c r="AY17" s="2"/>
      <c r="AZ17" s="196">
        <f>(AZ15-AZ4)/AZ4</f>
        <v>-9.1153059222511934E-2</v>
      </c>
      <c r="BA17" s="3"/>
      <c r="BB17" s="3"/>
      <c r="BC17" s="2"/>
      <c r="BD17" s="2"/>
      <c r="BE17" s="2"/>
      <c r="BF17" s="2"/>
      <c r="BG17" s="2"/>
      <c r="BH17" s="196">
        <f>(BH15-BH4)/BH4</f>
        <v>5.5333894469889934E-2</v>
      </c>
      <c r="BI17" s="2"/>
      <c r="BJ17" s="196">
        <f>(BJ15-BJ4)/BJ4</f>
        <v>-0.11739139265186742</v>
      </c>
      <c r="BK17" s="3"/>
      <c r="BL17" s="2"/>
      <c r="BM17" s="2"/>
      <c r="BN17" s="2"/>
      <c r="BO17" s="2"/>
      <c r="BP17" s="2"/>
      <c r="BQ17" s="3"/>
      <c r="BR17" s="3"/>
      <c r="BS17" s="3"/>
      <c r="BT17" s="3"/>
      <c r="BU17" s="2"/>
      <c r="BV17" s="2"/>
      <c r="BW17" s="2"/>
      <c r="BX17" s="2"/>
      <c r="BY17" s="2"/>
      <c r="BZ17" s="3"/>
      <c r="CA17" s="3"/>
      <c r="CB17" s="3"/>
      <c r="CC17" s="3"/>
      <c r="CD17" s="2"/>
      <c r="CE17" s="2"/>
      <c r="CF17" s="2"/>
      <c r="CG17" s="2"/>
      <c r="CH17" s="2"/>
      <c r="CI17" s="3"/>
      <c r="CJ17" s="3"/>
      <c r="CK17" s="3"/>
      <c r="CL17" s="3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3"/>
      <c r="DB17" s="3"/>
      <c r="DC17" s="3"/>
      <c r="DD17" s="3"/>
      <c r="DE17" s="2"/>
      <c r="DF17" s="2"/>
      <c r="DG17" s="2"/>
      <c r="DH17" s="2"/>
      <c r="DI17" s="2"/>
      <c r="DJ17" s="3"/>
      <c r="DK17" s="3"/>
      <c r="DL17" s="3"/>
      <c r="DM17" s="3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</row>
    <row r="18" spans="2:130" ht="15.75" customHeight="1" x14ac:dyDescent="0.25">
      <c r="B18" s="186" t="s">
        <v>113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6">
        <f>'Mg St LP'!D11</f>
        <v>935.06206001805049</v>
      </c>
      <c r="N18" s="176" t="e">
        <f>'Mg St LP'!#REF!</f>
        <v>#REF!</v>
      </c>
      <c r="O18" s="173"/>
      <c r="P18" s="173"/>
      <c r="Q18" s="173"/>
      <c r="R18" s="173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197"/>
      <c r="AH18" s="179"/>
      <c r="AI18" s="179"/>
      <c r="AJ18" s="179"/>
      <c r="AK18" s="2"/>
      <c r="AL18" s="2"/>
      <c r="AM18" s="2"/>
      <c r="AN18" s="2"/>
      <c r="AO18" s="2"/>
      <c r="AP18" s="197"/>
      <c r="AQ18" s="179"/>
      <c r="AR18" s="179"/>
      <c r="AS18" s="179"/>
      <c r="AT18" s="943"/>
      <c r="AU18" s="942"/>
      <c r="AV18" s="2"/>
      <c r="AW18" s="2"/>
      <c r="AX18" s="2"/>
      <c r="AY18" s="197"/>
      <c r="AZ18" s="179"/>
      <c r="BA18" s="179"/>
      <c r="BB18" s="179"/>
      <c r="BC18" s="943"/>
      <c r="BD18" s="942"/>
      <c r="BE18" s="2"/>
      <c r="BF18" s="2"/>
      <c r="BG18" s="2"/>
      <c r="BH18" s="197"/>
      <c r="BI18" s="179"/>
      <c r="BJ18" s="179"/>
      <c r="BK18" s="179"/>
      <c r="BL18" s="2"/>
      <c r="BM18" s="2"/>
      <c r="BN18" s="2"/>
      <c r="BO18" s="2"/>
      <c r="BP18" s="2"/>
      <c r="BQ18" s="197"/>
      <c r="BR18" s="179"/>
      <c r="BS18" s="179"/>
      <c r="BT18" s="179"/>
      <c r="BU18" s="943"/>
      <c r="BV18" s="942"/>
      <c r="BW18" s="2"/>
      <c r="BX18" s="2"/>
      <c r="BY18" s="2"/>
      <c r="BZ18" s="197"/>
      <c r="CA18" s="179"/>
      <c r="CB18" s="179"/>
      <c r="CC18" s="179"/>
      <c r="CD18" s="2"/>
      <c r="CE18" s="2"/>
      <c r="CF18" s="2"/>
      <c r="CG18" s="2"/>
      <c r="CH18" s="2"/>
      <c r="CI18" s="197"/>
      <c r="CJ18" s="179"/>
      <c r="CK18" s="179"/>
      <c r="CL18" s="179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197"/>
      <c r="DB18" s="179"/>
      <c r="DC18" s="179"/>
      <c r="DD18" s="179"/>
      <c r="DE18" s="2"/>
      <c r="DF18" s="2"/>
      <c r="DG18" s="2"/>
      <c r="DH18" s="2"/>
      <c r="DI18" s="2"/>
      <c r="DJ18" s="197"/>
      <c r="DK18" s="179"/>
      <c r="DL18" s="179"/>
      <c r="DM18" s="179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</row>
    <row r="19" spans="2:130" ht="15.75" customHeight="1" x14ac:dyDescent="0.25">
      <c r="B19" s="186" t="s">
        <v>120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6">
        <f>'Mg St LP'!D12</f>
        <v>1906.8414012738854</v>
      </c>
      <c r="N19" s="176" t="e">
        <f>'Mg St LP'!#REF!</f>
        <v>#REF!</v>
      </c>
      <c r="O19" s="173"/>
      <c r="P19" s="173"/>
      <c r="Q19" s="173"/>
      <c r="R19" s="173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197"/>
      <c r="AH19" s="197"/>
      <c r="AI19" s="197"/>
      <c r="AJ19" s="197"/>
      <c r="AK19" s="2"/>
      <c r="AL19" s="2"/>
      <c r="AM19" s="2"/>
      <c r="AN19" s="2"/>
      <c r="AO19" s="2"/>
      <c r="AP19" s="197"/>
      <c r="AQ19" s="197"/>
      <c r="AR19" s="197"/>
      <c r="AS19" s="197"/>
      <c r="AT19" s="2"/>
      <c r="AU19" s="2"/>
      <c r="AV19" s="2"/>
      <c r="AW19" s="2"/>
      <c r="AX19" s="2"/>
      <c r="AY19" s="197"/>
      <c r="AZ19" s="197"/>
      <c r="BA19" s="197"/>
      <c r="BB19" s="197"/>
      <c r="BC19" s="2"/>
      <c r="BD19" s="2"/>
      <c r="BE19" s="2"/>
      <c r="BF19" s="2"/>
      <c r="BG19" s="2"/>
      <c r="BH19" s="197"/>
      <c r="BI19" s="197"/>
      <c r="BJ19" s="197"/>
      <c r="BK19" s="197"/>
      <c r="BL19" s="2"/>
      <c r="BM19" s="2"/>
      <c r="BN19" s="2"/>
      <c r="BO19" s="2"/>
      <c r="BP19" s="2"/>
      <c r="BQ19" s="197"/>
      <c r="BR19" s="197"/>
      <c r="BS19" s="197"/>
      <c r="BT19" s="197"/>
      <c r="BU19" s="2"/>
      <c r="BV19" s="2"/>
      <c r="BW19" s="2"/>
      <c r="BX19" s="2"/>
      <c r="BY19" s="2"/>
      <c r="BZ19" s="197"/>
      <c r="CA19" s="197"/>
      <c r="CB19" s="197"/>
      <c r="CC19" s="197"/>
      <c r="CD19" s="2"/>
      <c r="CE19" s="2"/>
      <c r="CF19" s="2"/>
      <c r="CG19" s="2"/>
      <c r="CH19" s="2"/>
      <c r="CI19" s="197"/>
      <c r="CJ19" s="197"/>
      <c r="CK19" s="197"/>
      <c r="CL19" s="197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197"/>
      <c r="DB19" s="197"/>
      <c r="DC19" s="197"/>
      <c r="DD19" s="197"/>
      <c r="DE19" s="2"/>
      <c r="DF19" s="2"/>
      <c r="DG19" s="2"/>
      <c r="DH19" s="2"/>
      <c r="DI19" s="2"/>
      <c r="DJ19" s="197"/>
      <c r="DK19" s="197"/>
      <c r="DL19" s="197"/>
      <c r="DM19" s="197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</row>
    <row r="20" spans="2:130" ht="15.75" customHeight="1" x14ac:dyDescent="0.2"/>
    <row r="21" spans="2:130" ht="15.75" customHeight="1" x14ac:dyDescent="0.2">
      <c r="B21" s="175" t="s">
        <v>158</v>
      </c>
      <c r="C21" s="174">
        <v>45444</v>
      </c>
      <c r="D21" s="174">
        <v>45474</v>
      </c>
      <c r="E21" s="174">
        <v>45505</v>
      </c>
      <c r="F21" s="175" t="s">
        <v>67</v>
      </c>
      <c r="G21" s="174">
        <v>45566</v>
      </c>
      <c r="H21" s="174">
        <v>45597</v>
      </c>
      <c r="I21" s="174">
        <v>45627</v>
      </c>
      <c r="J21" s="174">
        <v>45658</v>
      </c>
      <c r="K21" s="174">
        <v>45689</v>
      </c>
      <c r="L21" s="174">
        <v>45717</v>
      </c>
      <c r="M21" s="174">
        <v>45748</v>
      </c>
      <c r="N21" s="174">
        <v>45778</v>
      </c>
      <c r="O21" s="175"/>
      <c r="P21" s="175"/>
      <c r="Q21" s="175"/>
      <c r="R21" s="175"/>
    </row>
    <row r="22" spans="2:130" ht="15.75" customHeight="1" x14ac:dyDescent="0.25">
      <c r="B22" s="186" t="s">
        <v>78</v>
      </c>
      <c r="C22" s="176">
        <v>7526</v>
      </c>
      <c r="D22" s="176">
        <v>7144</v>
      </c>
      <c r="E22" s="176">
        <v>7634</v>
      </c>
      <c r="F22" s="176">
        <v>6608</v>
      </c>
      <c r="G22" s="176">
        <v>6633</v>
      </c>
      <c r="H22" s="176">
        <v>6458</v>
      </c>
      <c r="I22" s="176">
        <v>7370</v>
      </c>
      <c r="J22" s="176">
        <v>6551</v>
      </c>
      <c r="K22" s="176">
        <v>5823</v>
      </c>
      <c r="L22" s="176">
        <v>6514</v>
      </c>
      <c r="M22" s="176">
        <f>'Mg St Bandra'!D6</f>
        <v>7363</v>
      </c>
      <c r="N22" s="176" t="e">
        <f>'Mg St Bandra'!#REF!</f>
        <v>#REF!</v>
      </c>
      <c r="O22" s="173"/>
      <c r="P22" s="173"/>
      <c r="Q22" s="173"/>
      <c r="R22" s="173"/>
    </row>
    <row r="23" spans="2:130" ht="15.75" customHeight="1" x14ac:dyDescent="0.25">
      <c r="B23" s="186" t="s">
        <v>85</v>
      </c>
      <c r="C23" s="176">
        <v>1229</v>
      </c>
      <c r="D23" s="176">
        <v>1332</v>
      </c>
      <c r="E23" s="176">
        <v>1601</v>
      </c>
      <c r="F23" s="176">
        <v>1772</v>
      </c>
      <c r="G23" s="176">
        <v>1837</v>
      </c>
      <c r="H23" s="176">
        <v>1962</v>
      </c>
      <c r="I23" s="176">
        <v>2057</v>
      </c>
      <c r="J23" s="176">
        <v>1952</v>
      </c>
      <c r="K23" s="176">
        <v>2116</v>
      </c>
      <c r="L23" s="176">
        <v>2436</v>
      </c>
      <c r="M23" s="176">
        <f>'Mg St Bandra'!D7</f>
        <v>2241</v>
      </c>
      <c r="N23" s="176" t="e">
        <f>'Mg St Bandra'!#REF!</f>
        <v>#REF!</v>
      </c>
      <c r="O23" s="173"/>
      <c r="P23" s="173"/>
      <c r="Q23" s="173"/>
      <c r="R23" s="173"/>
    </row>
    <row r="24" spans="2:130" ht="15.75" customHeight="1" x14ac:dyDescent="0.25">
      <c r="B24" s="186" t="s">
        <v>92</v>
      </c>
      <c r="C24" s="176">
        <v>11465780.75</v>
      </c>
      <c r="D24" s="198">
        <v>10849598.5</v>
      </c>
      <c r="E24" s="198">
        <v>12320674.25</v>
      </c>
      <c r="F24" s="198">
        <v>11452240</v>
      </c>
      <c r="G24" s="198">
        <v>11512021.5</v>
      </c>
      <c r="H24" s="198">
        <v>11022448.5</v>
      </c>
      <c r="I24" s="198">
        <v>12872772</v>
      </c>
      <c r="J24" s="198">
        <v>11443319.5</v>
      </c>
      <c r="K24" s="198">
        <v>9878764</v>
      </c>
      <c r="L24" s="198">
        <v>11175554</v>
      </c>
      <c r="M24" s="198">
        <v>12864320</v>
      </c>
      <c r="N24" s="198">
        <v>13069572</v>
      </c>
      <c r="O24" s="173"/>
      <c r="P24" s="173"/>
      <c r="Q24" s="173"/>
      <c r="R24" s="173"/>
    </row>
    <row r="25" spans="2:130" ht="15.75" customHeight="1" x14ac:dyDescent="0.25">
      <c r="B25" s="186" t="s">
        <v>99</v>
      </c>
      <c r="C25" s="176">
        <v>1314270</v>
      </c>
      <c r="D25" s="198">
        <v>1431076</v>
      </c>
      <c r="E25" s="198">
        <v>1645414</v>
      </c>
      <c r="F25" s="198">
        <v>1977000</v>
      </c>
      <c r="G25" s="198">
        <v>1984707.12</v>
      </c>
      <c r="H25" s="198">
        <v>2039306.95</v>
      </c>
      <c r="I25" s="198">
        <v>2151840.69</v>
      </c>
      <c r="J25" s="198">
        <v>2056592.58</v>
      </c>
      <c r="K25" s="198">
        <v>2163821.21</v>
      </c>
      <c r="L25" s="198">
        <v>2652789.92</v>
      </c>
      <c r="M25" s="198">
        <v>2496683.06</v>
      </c>
      <c r="N25" s="198">
        <v>2990357.84</v>
      </c>
      <c r="O25" s="173"/>
      <c r="P25" s="173"/>
      <c r="Q25" s="173"/>
      <c r="R25" s="173"/>
    </row>
    <row r="26" spans="2:130" ht="15.75" customHeight="1" x14ac:dyDescent="0.25">
      <c r="B26" s="186" t="s">
        <v>106</v>
      </c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>
        <f>'Mg St Bandra'!D10</f>
        <v>0</v>
      </c>
      <c r="N26" s="176" t="e">
        <f>'Mg St Bandra'!#REF!</f>
        <v>#REF!</v>
      </c>
      <c r="O26" s="173"/>
      <c r="P26" s="173"/>
      <c r="Q26" s="173"/>
      <c r="R26" s="173"/>
    </row>
    <row r="27" spans="2:130" ht="15.75" customHeight="1" x14ac:dyDescent="0.25">
      <c r="B27" s="186" t="s">
        <v>113</v>
      </c>
      <c r="C27" s="176">
        <f t="shared" ref="C27:L27" si="0">C24/C22</f>
        <v>1523.4893369651872</v>
      </c>
      <c r="D27" s="176">
        <f t="shared" si="0"/>
        <v>1518.7007978723404</v>
      </c>
      <c r="E27" s="176">
        <f t="shared" si="0"/>
        <v>1613.9211750065497</v>
      </c>
      <c r="F27" s="176">
        <f t="shared" si="0"/>
        <v>1733.0871670702179</v>
      </c>
      <c r="G27" s="176">
        <f t="shared" si="0"/>
        <v>1735.5678426051561</v>
      </c>
      <c r="H27" s="176">
        <f t="shared" si="0"/>
        <v>1706.7897956023537</v>
      </c>
      <c r="I27" s="176">
        <f t="shared" si="0"/>
        <v>1746.6447761194029</v>
      </c>
      <c r="J27" s="176">
        <f t="shared" si="0"/>
        <v>1746.8049916043353</v>
      </c>
      <c r="K27" s="176">
        <f t="shared" si="0"/>
        <v>1696.5076421088786</v>
      </c>
      <c r="L27" s="176">
        <f t="shared" si="0"/>
        <v>1715.620816702487</v>
      </c>
      <c r="M27" s="176">
        <f>'Mg St Bandra'!D11</f>
        <v>1689.7525465163656</v>
      </c>
      <c r="N27" s="176" t="e">
        <f>'Mg St Bandra'!#REF!</f>
        <v>#REF!</v>
      </c>
      <c r="O27" s="173"/>
      <c r="P27" s="173"/>
      <c r="Q27" s="173"/>
      <c r="R27" s="173"/>
    </row>
    <row r="28" spans="2:130" ht="15.75" customHeight="1" x14ac:dyDescent="0.25">
      <c r="B28" s="186" t="s">
        <v>120</v>
      </c>
      <c r="C28" s="176">
        <f t="shared" ref="C28:L28" si="1">C25/C23</f>
        <v>1069.3816110659072</v>
      </c>
      <c r="D28" s="176">
        <f t="shared" si="1"/>
        <v>1074.3813813813813</v>
      </c>
      <c r="E28" s="176">
        <f t="shared" si="1"/>
        <v>1027.741411617739</v>
      </c>
      <c r="F28" s="176">
        <f t="shared" si="1"/>
        <v>1115.6884875846501</v>
      </c>
      <c r="G28" s="176">
        <f t="shared" si="1"/>
        <v>1080.4067065868264</v>
      </c>
      <c r="H28" s="176">
        <f t="shared" si="1"/>
        <v>1039.4021151885831</v>
      </c>
      <c r="I28" s="176">
        <f t="shared" si="1"/>
        <v>1046.1063150218765</v>
      </c>
      <c r="J28" s="176">
        <f t="shared" si="1"/>
        <v>1053.5822643442623</v>
      </c>
      <c r="K28" s="176">
        <f t="shared" si="1"/>
        <v>1022.599815689981</v>
      </c>
      <c r="L28" s="176">
        <f t="shared" si="1"/>
        <v>1088.9942200328408</v>
      </c>
      <c r="M28" s="176">
        <f>'Mg St Bandra'!D12</f>
        <v>2188.5378179384206</v>
      </c>
      <c r="N28" s="176" t="e">
        <f>'Mg St Bandra'!#REF!</f>
        <v>#REF!</v>
      </c>
      <c r="O28" s="173"/>
      <c r="P28" s="173"/>
      <c r="Q28" s="173"/>
      <c r="R28" s="173"/>
    </row>
    <row r="29" spans="2:130" ht="15.75" customHeight="1" x14ac:dyDescent="0.2"/>
    <row r="30" spans="2:130" ht="15.75" customHeight="1" x14ac:dyDescent="0.2">
      <c r="B30" s="175" t="s">
        <v>159</v>
      </c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>
        <v>45748</v>
      </c>
      <c r="N30" s="174">
        <v>45778</v>
      </c>
      <c r="O30" s="175"/>
      <c r="P30" s="175"/>
      <c r="Q30" s="175"/>
      <c r="R30" s="175"/>
    </row>
    <row r="31" spans="2:130" ht="15.75" customHeight="1" x14ac:dyDescent="0.25">
      <c r="B31" s="186" t="s">
        <v>78</v>
      </c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6">
        <f>'The Table'!D6</f>
        <v>4700</v>
      </c>
      <c r="N31" s="176" t="e">
        <f>'The Table'!#REF!</f>
        <v>#REF!</v>
      </c>
      <c r="O31" s="173"/>
      <c r="P31" s="173"/>
      <c r="Q31" s="173"/>
      <c r="R31" s="173"/>
    </row>
    <row r="32" spans="2:130" ht="15.75" customHeight="1" x14ac:dyDescent="0.25">
      <c r="B32" s="186" t="s">
        <v>85</v>
      </c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6">
        <f>'The Table'!D7</f>
        <v>348</v>
      </c>
      <c r="N32" s="176" t="e">
        <f>'The Table'!#REF!</f>
        <v>#REF!</v>
      </c>
      <c r="O32" s="173"/>
      <c r="P32" s="173"/>
      <c r="Q32" s="173"/>
      <c r="R32" s="173"/>
    </row>
    <row r="33" spans="2:18" ht="15.75" customHeight="1" x14ac:dyDescent="0.25">
      <c r="B33" s="186" t="s">
        <v>92</v>
      </c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6">
        <f>'The Table'!D8</f>
        <v>19734167.609999999</v>
      </c>
      <c r="N33" s="176" t="e">
        <f>'The Table'!#REF!</f>
        <v>#REF!</v>
      </c>
      <c r="O33" s="173"/>
      <c r="P33" s="173"/>
      <c r="Q33" s="173"/>
      <c r="R33" s="173"/>
    </row>
    <row r="34" spans="2:18" ht="15.75" customHeight="1" x14ac:dyDescent="0.25">
      <c r="B34" s="186" t="s">
        <v>99</v>
      </c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6">
        <f>'The Table'!D9</f>
        <v>792545.26</v>
      </c>
      <c r="N34" s="176" t="e">
        <f>'The Table'!#REF!</f>
        <v>#REF!</v>
      </c>
      <c r="O34" s="173"/>
      <c r="P34" s="173"/>
      <c r="Q34" s="173"/>
      <c r="R34" s="173"/>
    </row>
    <row r="35" spans="2:18" ht="15.75" customHeight="1" x14ac:dyDescent="0.25">
      <c r="B35" s="186" t="s">
        <v>106</v>
      </c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6">
        <f>'The Table'!D10</f>
        <v>0</v>
      </c>
      <c r="N35" s="176" t="e">
        <f>'The Table'!#REF!</f>
        <v>#REF!</v>
      </c>
      <c r="O35" s="173"/>
      <c r="P35" s="173"/>
      <c r="Q35" s="173"/>
      <c r="R35" s="173"/>
    </row>
    <row r="36" spans="2:18" ht="15.75" customHeight="1" x14ac:dyDescent="0.25">
      <c r="B36" s="186" t="s">
        <v>160</v>
      </c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6">
        <f>'The Table'!D11</f>
        <v>4198.7590659574471</v>
      </c>
      <c r="N36" s="176" t="e">
        <f>'The Table'!#REF!</f>
        <v>#REF!</v>
      </c>
      <c r="O36" s="173"/>
      <c r="P36" s="173"/>
      <c r="Q36" s="173"/>
      <c r="R36" s="173"/>
    </row>
    <row r="37" spans="2:18" ht="15.75" customHeight="1" x14ac:dyDescent="0.25">
      <c r="B37" s="186" t="s">
        <v>120</v>
      </c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6">
        <f>'The Table'!D12</f>
        <v>2277.4289080459771</v>
      </c>
      <c r="N37" s="176" t="e">
        <f>'The Table'!#REF!</f>
        <v>#REF!</v>
      </c>
      <c r="O37" s="173"/>
      <c r="P37" s="173"/>
      <c r="Q37" s="173"/>
      <c r="R37" s="173"/>
    </row>
    <row r="38" spans="2:18" ht="15.75" customHeight="1" x14ac:dyDescent="0.2"/>
    <row r="39" spans="2:18" ht="15.75" customHeight="1" x14ac:dyDescent="0.2"/>
    <row r="40" spans="2:18" ht="15.75" customHeight="1" x14ac:dyDescent="0.2">
      <c r="N40" s="199" t="e">
        <f>6%*(N33+N34)</f>
        <v>#REF!</v>
      </c>
    </row>
    <row r="41" spans="2:18" ht="15.75" customHeight="1" x14ac:dyDescent="0.2"/>
    <row r="42" spans="2:18" ht="15.75" customHeight="1" x14ac:dyDescent="0.2"/>
    <row r="43" spans="2:18" ht="15.75" customHeight="1" x14ac:dyDescent="0.2"/>
    <row r="44" spans="2:18" ht="15.75" customHeight="1" x14ac:dyDescent="0.2"/>
    <row r="45" spans="2:18" ht="15.75" customHeight="1" x14ac:dyDescent="0.2"/>
    <row r="46" spans="2:18" ht="15.75" customHeight="1" x14ac:dyDescent="0.2"/>
    <row r="47" spans="2:18" ht="15.75" customHeight="1" x14ac:dyDescent="0.2"/>
    <row r="48" spans="2:1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</sheetData>
  <mergeCells count="12">
    <mergeCell ref="AH2:AI2"/>
    <mergeCell ref="AR2:AS2"/>
    <mergeCell ref="BB2:BC2"/>
    <mergeCell ref="BL2:BM2"/>
    <mergeCell ref="BU2:BV2"/>
    <mergeCell ref="CY2:CZ2"/>
    <mergeCell ref="DH2:DI2"/>
    <mergeCell ref="AT18:AU18"/>
    <mergeCell ref="BC18:BD18"/>
    <mergeCell ref="BU18:BV18"/>
    <mergeCell ref="CE2:CF2"/>
    <mergeCell ref="CO2:CQ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U1000"/>
  <sheetViews>
    <sheetView workbookViewId="0">
      <pane xSplit="2" ySplit="4" topLeftCell="C12" activePane="bottomRight" state="frozen"/>
      <selection pane="topRight" activeCell="C1" sqref="C1"/>
      <selection pane="bottomLeft" activeCell="A5" sqref="A5"/>
      <selection pane="bottomRight" activeCell="J35" sqref="J35"/>
    </sheetView>
  </sheetViews>
  <sheetFormatPr defaultColWidth="12.5703125" defaultRowHeight="15" customHeight="1" x14ac:dyDescent="0.2"/>
  <cols>
    <col min="1" max="1" width="3" customWidth="1"/>
    <col min="2" max="2" width="22.42578125" customWidth="1"/>
    <col min="3" max="6" width="12.5703125" customWidth="1"/>
    <col min="7" max="7" width="13.5703125" bestFit="1" customWidth="1"/>
  </cols>
  <sheetData>
    <row r="1" spans="1:62" ht="15.75" customHeight="1" x14ac:dyDescent="0.2">
      <c r="A1" s="171" t="s">
        <v>0</v>
      </c>
      <c r="O1" s="117"/>
      <c r="S1" s="117"/>
      <c r="W1" s="117"/>
      <c r="AA1" s="117"/>
      <c r="AE1" s="117">
        <f>AE12/$K$12</f>
        <v>0.20744695965204787</v>
      </c>
      <c r="BC1" s="200" t="s">
        <v>161</v>
      </c>
      <c r="BG1" s="200" t="s">
        <v>161</v>
      </c>
    </row>
    <row r="2" spans="1:62" ht="15.75" customHeight="1" x14ac:dyDescent="0.2">
      <c r="A2" s="117" t="s">
        <v>162</v>
      </c>
    </row>
    <row r="3" spans="1:62" ht="15.75" customHeight="1" x14ac:dyDescent="0.2">
      <c r="B3" s="175"/>
      <c r="C3" s="944" t="s">
        <v>47</v>
      </c>
      <c r="D3" s="945"/>
      <c r="E3" s="945"/>
      <c r="F3" s="946"/>
      <c r="G3" s="944" t="s">
        <v>48</v>
      </c>
      <c r="H3" s="945"/>
      <c r="I3" s="945"/>
      <c r="J3" s="946"/>
      <c r="K3" s="944" t="s">
        <v>4</v>
      </c>
      <c r="L3" s="945"/>
      <c r="M3" s="945"/>
      <c r="N3" s="946"/>
      <c r="O3" s="944" t="s">
        <v>5</v>
      </c>
      <c r="P3" s="945"/>
      <c r="Q3" s="945"/>
      <c r="R3" s="946"/>
      <c r="S3" s="944" t="s">
        <v>6</v>
      </c>
      <c r="T3" s="945"/>
      <c r="U3" s="945"/>
      <c r="V3" s="946"/>
      <c r="W3" s="944" t="s">
        <v>7</v>
      </c>
      <c r="X3" s="945"/>
      <c r="Y3" s="945"/>
      <c r="Z3" s="946"/>
      <c r="AA3" s="944" t="s">
        <v>8</v>
      </c>
      <c r="AB3" s="945"/>
      <c r="AC3" s="945"/>
      <c r="AD3" s="946"/>
      <c r="AE3" s="944" t="s">
        <v>9</v>
      </c>
      <c r="AF3" s="945"/>
      <c r="AG3" s="945"/>
      <c r="AH3" s="946"/>
      <c r="AI3" s="944" t="s">
        <v>10</v>
      </c>
      <c r="AJ3" s="945"/>
      <c r="AK3" s="945"/>
      <c r="AL3" s="946"/>
      <c r="AM3" s="944" t="s">
        <v>11</v>
      </c>
      <c r="AN3" s="945"/>
      <c r="AO3" s="945"/>
      <c r="AP3" s="946"/>
      <c r="AQ3" s="944" t="s">
        <v>12</v>
      </c>
      <c r="AR3" s="945"/>
      <c r="AS3" s="945"/>
      <c r="AT3" s="946"/>
      <c r="AU3" s="944" t="s">
        <v>13</v>
      </c>
      <c r="AV3" s="945"/>
      <c r="AW3" s="945"/>
      <c r="AX3" s="946"/>
      <c r="AY3" s="944" t="s">
        <v>14</v>
      </c>
      <c r="AZ3" s="945"/>
      <c r="BA3" s="945"/>
      <c r="BB3" s="946"/>
      <c r="BC3" s="944" t="s">
        <v>163</v>
      </c>
      <c r="BD3" s="945"/>
      <c r="BE3" s="945"/>
      <c r="BF3" s="946"/>
      <c r="BG3" s="944" t="s">
        <v>49</v>
      </c>
      <c r="BH3" s="945"/>
      <c r="BI3" s="945"/>
      <c r="BJ3" s="946"/>
    </row>
    <row r="4" spans="1:62" ht="15.75" customHeight="1" x14ac:dyDescent="0.2">
      <c r="B4" s="175"/>
      <c r="C4" s="175" t="s">
        <v>20</v>
      </c>
      <c r="D4" s="175" t="s">
        <v>18</v>
      </c>
      <c r="E4" s="175" t="s">
        <v>19</v>
      </c>
      <c r="F4" s="175" t="s">
        <v>18</v>
      </c>
      <c r="G4" s="175" t="s">
        <v>20</v>
      </c>
      <c r="H4" s="175" t="s">
        <v>18</v>
      </c>
      <c r="I4" s="175" t="s">
        <v>19</v>
      </c>
      <c r="J4" s="175" t="s">
        <v>18</v>
      </c>
      <c r="K4" s="175" t="s">
        <v>20</v>
      </c>
      <c r="L4" s="175" t="s">
        <v>18</v>
      </c>
      <c r="M4" s="175" t="s">
        <v>19</v>
      </c>
      <c r="N4" s="175" t="s">
        <v>18</v>
      </c>
      <c r="O4" s="175" t="s">
        <v>20</v>
      </c>
      <c r="P4" s="175" t="s">
        <v>18</v>
      </c>
      <c r="Q4" s="175" t="s">
        <v>19</v>
      </c>
      <c r="R4" s="175" t="s">
        <v>18</v>
      </c>
      <c r="S4" s="175" t="s">
        <v>20</v>
      </c>
      <c r="T4" s="175" t="s">
        <v>18</v>
      </c>
      <c r="U4" s="175" t="s">
        <v>19</v>
      </c>
      <c r="V4" s="175" t="s">
        <v>18</v>
      </c>
      <c r="W4" s="175" t="s">
        <v>20</v>
      </c>
      <c r="X4" s="175" t="s">
        <v>18</v>
      </c>
      <c r="Y4" s="175" t="s">
        <v>19</v>
      </c>
      <c r="Z4" s="175" t="s">
        <v>18</v>
      </c>
      <c r="AA4" s="175" t="s">
        <v>20</v>
      </c>
      <c r="AB4" s="175" t="s">
        <v>18</v>
      </c>
      <c r="AC4" s="175" t="s">
        <v>19</v>
      </c>
      <c r="AD4" s="175" t="s">
        <v>18</v>
      </c>
      <c r="AE4" s="175" t="s">
        <v>20</v>
      </c>
      <c r="AF4" s="175" t="s">
        <v>18</v>
      </c>
      <c r="AG4" s="175" t="s">
        <v>19</v>
      </c>
      <c r="AH4" s="175" t="s">
        <v>18</v>
      </c>
      <c r="AI4" s="175" t="s">
        <v>20</v>
      </c>
      <c r="AJ4" s="175" t="s">
        <v>18</v>
      </c>
      <c r="AK4" s="175" t="s">
        <v>19</v>
      </c>
      <c r="AL4" s="175" t="s">
        <v>18</v>
      </c>
      <c r="AM4" s="175" t="s">
        <v>20</v>
      </c>
      <c r="AN4" s="175" t="s">
        <v>18</v>
      </c>
      <c r="AO4" s="175" t="s">
        <v>19</v>
      </c>
      <c r="AP4" s="175" t="s">
        <v>18</v>
      </c>
      <c r="AQ4" s="175" t="s">
        <v>20</v>
      </c>
      <c r="AR4" s="175" t="s">
        <v>18</v>
      </c>
      <c r="AS4" s="175" t="s">
        <v>19</v>
      </c>
      <c r="AT4" s="175" t="s">
        <v>18</v>
      </c>
      <c r="AU4" s="175" t="s">
        <v>17</v>
      </c>
      <c r="AV4" s="175" t="s">
        <v>18</v>
      </c>
      <c r="AW4" s="175" t="s">
        <v>19</v>
      </c>
      <c r="AX4" s="175" t="s">
        <v>18</v>
      </c>
      <c r="AY4" s="175" t="s">
        <v>17</v>
      </c>
      <c r="AZ4" s="175" t="s">
        <v>18</v>
      </c>
      <c r="BA4" s="175" t="s">
        <v>19</v>
      </c>
      <c r="BB4" s="175" t="s">
        <v>18</v>
      </c>
      <c r="BC4" s="175" t="s">
        <v>17</v>
      </c>
      <c r="BD4" s="175" t="s">
        <v>18</v>
      </c>
      <c r="BE4" s="175" t="s">
        <v>19</v>
      </c>
      <c r="BF4" s="175" t="s">
        <v>18</v>
      </c>
      <c r="BG4" s="175" t="s">
        <v>17</v>
      </c>
      <c r="BH4" s="175" t="s">
        <v>18</v>
      </c>
      <c r="BI4" s="175" t="s">
        <v>19</v>
      </c>
      <c r="BJ4" s="175" t="s">
        <v>18</v>
      </c>
    </row>
    <row r="5" spans="1:62" ht="15.75" customHeight="1" x14ac:dyDescent="0.2">
      <c r="B5" s="175" t="s">
        <v>21</v>
      </c>
      <c r="C5" s="201">
        <f t="shared" ref="C5:C9" si="0">G5+K5</f>
        <v>5897856</v>
      </c>
      <c r="D5" s="202">
        <f t="shared" ref="D5:D10" si="1">C5/C$10</f>
        <v>8.0114561458239072E-2</v>
      </c>
      <c r="E5" s="201">
        <f t="shared" ref="E5:E9" si="2">I5+M5</f>
        <v>0</v>
      </c>
      <c r="F5" s="202" t="e">
        <f t="shared" ref="F5:F10" si="3">E5/E$10</f>
        <v>#DIV/0!</v>
      </c>
      <c r="G5" s="203">
        <f>HO!D14</f>
        <v>0</v>
      </c>
      <c r="H5" s="173"/>
      <c r="I5" s="203">
        <f>HO!L14</f>
        <v>0</v>
      </c>
      <c r="J5" s="173"/>
      <c r="K5" s="201">
        <f t="shared" ref="K5:K9" si="4">O5+S5+W5+AA5+AE5+AI5+AM5+AQ5+AU5+AY5+BC5+BG5</f>
        <v>5897856</v>
      </c>
      <c r="L5" s="202">
        <f t="shared" ref="L5:L10" si="5">K5/K$10</f>
        <v>8.0114561458239072E-2</v>
      </c>
      <c r="M5" s="201">
        <f t="shared" ref="M5:M9" si="6">Q5+U5+Y5+AC5+AG5+AK5+AO5+AS5+AW5+BA5+BE5+BI5</f>
        <v>0</v>
      </c>
      <c r="N5" s="202" t="e">
        <f t="shared" ref="N5:N10" si="7">M5/M$10</f>
        <v>#DIV/0!</v>
      </c>
      <c r="O5" s="176">
        <f>'The Table'!J24</f>
        <v>1235475</v>
      </c>
      <c r="P5" s="204">
        <f t="shared" ref="P5:P8" si="8">O5/O$10</f>
        <v>6.054000523334957E-2</v>
      </c>
      <c r="Q5" s="176">
        <f>'The Table'!L24</f>
        <v>0</v>
      </c>
      <c r="R5" s="204" t="e">
        <f t="shared" ref="R5:R8" si="9">Q5/Q$10</f>
        <v>#DIV/0!</v>
      </c>
      <c r="S5" s="176">
        <f>Iktara!J24</f>
        <v>0</v>
      </c>
      <c r="T5" s="204">
        <f t="shared" ref="T5:T8" si="10">S5/S$10</f>
        <v>0</v>
      </c>
      <c r="U5" s="176">
        <f>Iktara!L24</f>
        <v>0</v>
      </c>
      <c r="V5" s="204" t="e">
        <f t="shared" ref="V5:V8" si="11">U5/U$10</f>
        <v>#DIV/0!</v>
      </c>
      <c r="W5" s="176">
        <f>'Mg St Colaba'!J24</f>
        <v>1217044</v>
      </c>
      <c r="X5" s="204">
        <f t="shared" ref="X5:X8" si="12">W5/W$10</f>
        <v>9.7889177049622314E-2</v>
      </c>
      <c r="Y5" s="176"/>
      <c r="Z5" s="204" t="e">
        <f t="shared" ref="Z5:Z8" si="13">Y5/Y$10</f>
        <v>#DIV/0!</v>
      </c>
      <c r="AA5" s="176">
        <f>'Mg St LP'!J24</f>
        <v>1116341</v>
      </c>
      <c r="AB5" s="204">
        <f t="shared" ref="AB5:AB8" si="14">AA5/AA$10</f>
        <v>0.11986451287113765</v>
      </c>
      <c r="AC5" s="176">
        <f>'Mg St LP'!L24</f>
        <v>0</v>
      </c>
      <c r="AD5" s="204" t="e">
        <f t="shared" ref="AD5:AD8" si="15">AC5/AC$10</f>
        <v>#DIV/0!</v>
      </c>
      <c r="AE5" s="176">
        <f>'Mg St Bandra'!J24</f>
        <v>1681871</v>
      </c>
      <c r="AF5" s="204">
        <f t="shared" ref="AF5:AF8" si="16">AE5/AE$10</f>
        <v>9.9598095007762968E-2</v>
      </c>
      <c r="AG5" s="176">
        <f>'Mg St Bandra'!L24</f>
        <v>0</v>
      </c>
      <c r="AH5" s="204" t="e">
        <f t="shared" ref="AH5:AH8" si="17">AG5/AG$10</f>
        <v>#DIV/0!</v>
      </c>
      <c r="AI5" s="176">
        <f>'MSK Events'!J23</f>
        <v>0</v>
      </c>
      <c r="AJ5" s="204" t="e">
        <f t="shared" ref="AJ5:AJ8" si="18">AI5/AI$10</f>
        <v>#DIV/0!</v>
      </c>
      <c r="AK5" s="176">
        <f>'MSK Events'!L23</f>
        <v>0</v>
      </c>
      <c r="AL5" s="173"/>
      <c r="AM5" s="176">
        <f>MSBC!J24</f>
        <v>0</v>
      </c>
      <c r="AN5" s="204">
        <f t="shared" ref="AN5:AN8" si="19">AM5/AM$10</f>
        <v>0</v>
      </c>
      <c r="AO5" s="176">
        <f>MSBC!L24</f>
        <v>0</v>
      </c>
      <c r="AP5" s="204" t="e">
        <f t="shared" ref="AP5:AP8" si="20">AO5/AO$10</f>
        <v>#DIV/0!</v>
      </c>
      <c r="AQ5" s="176">
        <f>Kaspers!J24</f>
        <v>647125</v>
      </c>
      <c r="AR5" s="204"/>
      <c r="AS5" s="176">
        <f>Kaspers!L24</f>
        <v>0</v>
      </c>
      <c r="AT5" s="173"/>
      <c r="AU5" s="176">
        <f>'MSBC Andheri'!J24</f>
        <v>0</v>
      </c>
      <c r="AV5" s="173"/>
      <c r="AW5" s="176">
        <f>'MSBC Andheri'!L24</f>
        <v>0</v>
      </c>
      <c r="AX5" s="173"/>
      <c r="AY5" s="176">
        <f>'MSBC Dahisar'!J22</f>
        <v>0</v>
      </c>
      <c r="AZ5" s="173"/>
      <c r="BA5" s="176">
        <f>'MSBC Dahisar'!L22</f>
        <v>0</v>
      </c>
      <c r="BB5" s="173"/>
      <c r="BC5" s="176">
        <f>'MSBC Juhu  Goregoan'!J21</f>
        <v>0</v>
      </c>
      <c r="BD5" s="173"/>
      <c r="BE5" s="176">
        <f>'MSBC Juhu  Goregoan'!L21</f>
        <v>0</v>
      </c>
      <c r="BF5" s="173"/>
      <c r="BG5" s="176">
        <f>'LOUD MOUTH'!J24</f>
        <v>0</v>
      </c>
      <c r="BH5" s="173"/>
      <c r="BI5" s="176">
        <f>'LOUD MOUTH'!L24</f>
        <v>0</v>
      </c>
      <c r="BJ5" s="173"/>
    </row>
    <row r="6" spans="1:62" ht="15.75" customHeight="1" x14ac:dyDescent="0.2">
      <c r="B6" s="175" t="s">
        <v>22</v>
      </c>
      <c r="C6" s="201">
        <f t="shared" si="0"/>
        <v>11792046</v>
      </c>
      <c r="D6" s="202">
        <f t="shared" si="1"/>
        <v>0.1601793251624628</v>
      </c>
      <c r="E6" s="201">
        <f t="shared" si="2"/>
        <v>0</v>
      </c>
      <c r="F6" s="202" t="e">
        <f t="shared" si="3"/>
        <v>#DIV/0!</v>
      </c>
      <c r="G6" s="203">
        <f>HO!D15</f>
        <v>0</v>
      </c>
      <c r="H6" s="173"/>
      <c r="I6" s="203">
        <f>HO!L15</f>
        <v>0</v>
      </c>
      <c r="J6" s="173"/>
      <c r="K6" s="201">
        <f t="shared" si="4"/>
        <v>11792046</v>
      </c>
      <c r="L6" s="202">
        <f t="shared" si="5"/>
        <v>0.1601793251624628</v>
      </c>
      <c r="M6" s="201">
        <f t="shared" si="6"/>
        <v>0</v>
      </c>
      <c r="N6" s="202" t="e">
        <f t="shared" si="7"/>
        <v>#DIV/0!</v>
      </c>
      <c r="O6" s="176">
        <f>'The Table'!J25</f>
        <v>4851470</v>
      </c>
      <c r="P6" s="204">
        <f t="shared" si="8"/>
        <v>0.23772882428979819</v>
      </c>
      <c r="Q6" s="176">
        <f>'The Table'!L25</f>
        <v>0</v>
      </c>
      <c r="R6" s="204" t="e">
        <f t="shared" si="9"/>
        <v>#DIV/0!</v>
      </c>
      <c r="S6" s="176">
        <f>Iktara!J25</f>
        <v>0</v>
      </c>
      <c r="T6" s="204">
        <f t="shared" si="10"/>
        <v>0</v>
      </c>
      <c r="U6" s="176">
        <f>Iktara!L25</f>
        <v>0</v>
      </c>
      <c r="V6" s="204" t="e">
        <f t="shared" si="11"/>
        <v>#DIV/0!</v>
      </c>
      <c r="W6" s="176">
        <f>'Mg St Colaba'!J25</f>
        <v>735380</v>
      </c>
      <c r="X6" s="204">
        <f t="shared" si="12"/>
        <v>5.9148020136290266E-2</v>
      </c>
      <c r="Y6" s="176"/>
      <c r="Z6" s="204" t="e">
        <f t="shared" si="13"/>
        <v>#DIV/0!</v>
      </c>
      <c r="AA6" s="176">
        <f>'Mg St LP'!J25</f>
        <v>0</v>
      </c>
      <c r="AB6" s="204">
        <f t="shared" si="14"/>
        <v>0</v>
      </c>
      <c r="AC6" s="176">
        <f>'Mg St LP'!L25</f>
        <v>0</v>
      </c>
      <c r="AD6" s="204" t="e">
        <f t="shared" si="15"/>
        <v>#DIV/0!</v>
      </c>
      <c r="AE6" s="176">
        <f>'Mg St Bandra'!J25</f>
        <v>2074971</v>
      </c>
      <c r="AF6" s="204">
        <f t="shared" si="16"/>
        <v>0.1228769381220991</v>
      </c>
      <c r="AG6" s="176">
        <f>'Mg St Bandra'!L25</f>
        <v>0</v>
      </c>
      <c r="AH6" s="204" t="e">
        <f t="shared" si="17"/>
        <v>#DIV/0!</v>
      </c>
      <c r="AI6" s="176">
        <f>'MSK Events'!J24</f>
        <v>0</v>
      </c>
      <c r="AJ6" s="204" t="e">
        <f t="shared" si="18"/>
        <v>#DIV/0!</v>
      </c>
      <c r="AK6" s="176">
        <f>'MSK Events'!L24</f>
        <v>0</v>
      </c>
      <c r="AL6" s="173"/>
      <c r="AM6" s="176">
        <f>MSBC!J25</f>
        <v>0</v>
      </c>
      <c r="AN6" s="204">
        <f t="shared" si="19"/>
        <v>0</v>
      </c>
      <c r="AO6" s="176">
        <f>MSBC!L25</f>
        <v>0</v>
      </c>
      <c r="AP6" s="204" t="e">
        <f t="shared" si="20"/>
        <v>#DIV/0!</v>
      </c>
      <c r="AQ6" s="176">
        <f>Kaspers!J25</f>
        <v>4130225</v>
      </c>
      <c r="AR6" s="204"/>
      <c r="AS6" s="176">
        <f>Kaspers!L25</f>
        <v>0</v>
      </c>
      <c r="AT6" s="173"/>
      <c r="AU6" s="176">
        <f>'MSBC Andheri'!J25</f>
        <v>0</v>
      </c>
      <c r="AV6" s="173"/>
      <c r="AW6" s="176">
        <f>'MSBC Andheri'!L25</f>
        <v>0</v>
      </c>
      <c r="AX6" s="173"/>
      <c r="AY6" s="176">
        <f>'MSBC Dahisar'!J23</f>
        <v>0</v>
      </c>
      <c r="AZ6" s="173"/>
      <c r="BA6" s="176">
        <f>'MSBC Dahisar'!L23</f>
        <v>0</v>
      </c>
      <c r="BB6" s="173"/>
      <c r="BC6" s="176">
        <f>'MSBC Juhu  Goregoan'!J22</f>
        <v>0</v>
      </c>
      <c r="BD6" s="173"/>
      <c r="BE6" s="176">
        <f>'MSBC Juhu  Goregoan'!L22</f>
        <v>0</v>
      </c>
      <c r="BF6" s="173"/>
      <c r="BG6" s="176">
        <f>'LOUD MOUTH'!J25</f>
        <v>0</v>
      </c>
      <c r="BH6" s="173"/>
      <c r="BI6" s="176">
        <f>'LOUD MOUTH'!L25</f>
        <v>0</v>
      </c>
      <c r="BJ6" s="173"/>
    </row>
    <row r="7" spans="1:62" ht="15.75" customHeight="1" x14ac:dyDescent="0.2">
      <c r="B7" s="175" t="s">
        <v>23</v>
      </c>
      <c r="C7" s="201">
        <f t="shared" si="0"/>
        <v>55892645</v>
      </c>
      <c r="D7" s="202">
        <f t="shared" si="1"/>
        <v>0.75922754691129091</v>
      </c>
      <c r="E7" s="201">
        <f t="shared" si="2"/>
        <v>0</v>
      </c>
      <c r="F7" s="202" t="e">
        <f t="shared" si="3"/>
        <v>#DIV/0!</v>
      </c>
      <c r="G7" s="203">
        <f>HO!D16</f>
        <v>0</v>
      </c>
      <c r="H7" s="173"/>
      <c r="I7" s="203">
        <f>HO!L16</f>
        <v>0</v>
      </c>
      <c r="J7" s="173"/>
      <c r="K7" s="201">
        <f t="shared" si="4"/>
        <v>55892645</v>
      </c>
      <c r="L7" s="202">
        <f t="shared" si="5"/>
        <v>0.75922754691129091</v>
      </c>
      <c r="M7" s="201">
        <f t="shared" si="6"/>
        <v>0</v>
      </c>
      <c r="N7" s="202" t="e">
        <f t="shared" si="7"/>
        <v>#DIV/0!</v>
      </c>
      <c r="O7" s="176">
        <f>'The Table'!J26</f>
        <v>14320635</v>
      </c>
      <c r="P7" s="204">
        <f t="shared" si="8"/>
        <v>0.70173117047685218</v>
      </c>
      <c r="Q7" s="176">
        <f>'The Table'!L26</f>
        <v>0</v>
      </c>
      <c r="R7" s="204" t="e">
        <f t="shared" si="9"/>
        <v>#DIV/0!</v>
      </c>
      <c r="S7" s="176">
        <f>Iktara!J26</f>
        <v>807500</v>
      </c>
      <c r="T7" s="204">
        <f t="shared" si="10"/>
        <v>1</v>
      </c>
      <c r="U7" s="176">
        <f>Iktara!L26</f>
        <v>0</v>
      </c>
      <c r="V7" s="204" t="e">
        <f t="shared" si="11"/>
        <v>#DIV/0!</v>
      </c>
      <c r="W7" s="176">
        <f>'Mg St Colaba'!J26</f>
        <v>10480452</v>
      </c>
      <c r="X7" s="204">
        <f t="shared" si="12"/>
        <v>0.84296280281408742</v>
      </c>
      <c r="Y7" s="176"/>
      <c r="Z7" s="204" t="e">
        <f t="shared" si="13"/>
        <v>#DIV/0!</v>
      </c>
      <c r="AA7" s="176">
        <f>'Mg St LP'!J26</f>
        <v>8189016</v>
      </c>
      <c r="AB7" s="204">
        <f t="shared" si="14"/>
        <v>0.87927650577552219</v>
      </c>
      <c r="AC7" s="176">
        <f>'Mg St LP'!L26</f>
        <v>0</v>
      </c>
      <c r="AD7" s="204" t="e">
        <f t="shared" si="15"/>
        <v>#DIV/0!</v>
      </c>
      <c r="AE7" s="176">
        <f>'Mg St Bandra'!J26</f>
        <v>13116005</v>
      </c>
      <c r="AF7" s="204">
        <f t="shared" si="16"/>
        <v>0.77671183587343751</v>
      </c>
      <c r="AG7" s="176">
        <f>'Mg St Bandra'!L26</f>
        <v>0</v>
      </c>
      <c r="AH7" s="204" t="e">
        <f t="shared" si="17"/>
        <v>#DIV/0!</v>
      </c>
      <c r="AI7" s="176">
        <f>'MSK Events'!J25</f>
        <v>0</v>
      </c>
      <c r="AJ7" s="204" t="e">
        <f t="shared" si="18"/>
        <v>#DIV/0!</v>
      </c>
      <c r="AK7" s="176">
        <f>'MSK Events'!L25</f>
        <v>0</v>
      </c>
      <c r="AL7" s="173"/>
      <c r="AM7" s="176">
        <f>MSBC!J26</f>
        <v>460464</v>
      </c>
      <c r="AN7" s="204">
        <f t="shared" si="19"/>
        <v>1</v>
      </c>
      <c r="AO7" s="176">
        <f>MSBC!L26</f>
        <v>0</v>
      </c>
      <c r="AP7" s="204" t="e">
        <f t="shared" si="20"/>
        <v>#DIV/0!</v>
      </c>
      <c r="AQ7" s="176">
        <f>Kaspers!J26</f>
        <v>7349352</v>
      </c>
      <c r="AR7" s="204"/>
      <c r="AS7" s="176">
        <f>Kaspers!L26</f>
        <v>0</v>
      </c>
      <c r="AT7" s="173"/>
      <c r="AU7" s="176">
        <f>'MSBC Andheri'!J26</f>
        <v>332317</v>
      </c>
      <c r="AV7" s="173"/>
      <c r="AW7" s="176">
        <f>'MSBC Andheri'!L26</f>
        <v>0</v>
      </c>
      <c r="AX7" s="173"/>
      <c r="AY7" s="176">
        <f>'MSBC Dahisar'!J24</f>
        <v>103369</v>
      </c>
      <c r="AZ7" s="173"/>
      <c r="BA7" s="176">
        <f>'MSBC Dahisar'!L24</f>
        <v>0</v>
      </c>
      <c r="BB7" s="173"/>
      <c r="BC7" s="176">
        <f>'MSBC Juhu  Goregoan'!J23</f>
        <v>132839</v>
      </c>
      <c r="BD7" s="173"/>
      <c r="BE7" s="176">
        <f>'MSBC Juhu  Goregoan'!L23</f>
        <v>0</v>
      </c>
      <c r="BF7" s="173"/>
      <c r="BG7" s="176">
        <f>'LOUD MOUTH'!J26</f>
        <v>600696</v>
      </c>
      <c r="BH7" s="173"/>
      <c r="BI7" s="176">
        <f>'LOUD MOUTH'!L26</f>
        <v>0</v>
      </c>
      <c r="BJ7" s="173"/>
    </row>
    <row r="8" spans="1:62" ht="15.75" customHeight="1" x14ac:dyDescent="0.2">
      <c r="B8" s="175" t="s">
        <v>24</v>
      </c>
      <c r="C8" s="201">
        <f t="shared" si="0"/>
        <v>0</v>
      </c>
      <c r="D8" s="202">
        <f t="shared" si="1"/>
        <v>0</v>
      </c>
      <c r="E8" s="201">
        <f t="shared" si="2"/>
        <v>0</v>
      </c>
      <c r="F8" s="202" t="e">
        <f t="shared" si="3"/>
        <v>#DIV/0!</v>
      </c>
      <c r="G8" s="203">
        <f>HO!D18</f>
        <v>0</v>
      </c>
      <c r="H8" s="173"/>
      <c r="I8" s="203">
        <f>HO!L18</f>
        <v>0</v>
      </c>
      <c r="J8" s="173"/>
      <c r="K8" s="201">
        <f t="shared" si="4"/>
        <v>0</v>
      </c>
      <c r="L8" s="202">
        <f t="shared" si="5"/>
        <v>0</v>
      </c>
      <c r="M8" s="201">
        <f t="shared" si="6"/>
        <v>0</v>
      </c>
      <c r="N8" s="202" t="e">
        <f t="shared" si="7"/>
        <v>#DIV/0!</v>
      </c>
      <c r="O8" s="176">
        <f>'The Table'!J28</f>
        <v>0</v>
      </c>
      <c r="P8" s="204">
        <f t="shared" si="8"/>
        <v>0</v>
      </c>
      <c r="Q8" s="176">
        <f>'The Table'!L28</f>
        <v>0</v>
      </c>
      <c r="R8" s="204" t="e">
        <f t="shared" si="9"/>
        <v>#DIV/0!</v>
      </c>
      <c r="S8" s="203">
        <f>Iktara!J28</f>
        <v>0</v>
      </c>
      <c r="T8" s="204">
        <f t="shared" si="10"/>
        <v>0</v>
      </c>
      <c r="U8" s="203">
        <f>Iktara!L28</f>
        <v>0</v>
      </c>
      <c r="V8" s="204" t="e">
        <f t="shared" si="11"/>
        <v>#DIV/0!</v>
      </c>
      <c r="W8" s="176">
        <f>'Mg St Colaba'!J27</f>
        <v>0</v>
      </c>
      <c r="X8" s="204">
        <f t="shared" si="12"/>
        <v>0</v>
      </c>
      <c r="Y8" s="176"/>
      <c r="Z8" s="204" t="e">
        <f t="shared" si="13"/>
        <v>#DIV/0!</v>
      </c>
      <c r="AA8" s="176">
        <f>'Mg St LP'!J28</f>
        <v>0</v>
      </c>
      <c r="AB8" s="204">
        <f t="shared" si="14"/>
        <v>0</v>
      </c>
      <c r="AC8" s="176">
        <f>'Mg St LP'!L28</f>
        <v>0</v>
      </c>
      <c r="AD8" s="204" t="e">
        <f t="shared" si="15"/>
        <v>#DIV/0!</v>
      </c>
      <c r="AE8" s="176">
        <f>'Mg St Bandra'!J28</f>
        <v>0</v>
      </c>
      <c r="AF8" s="204">
        <f t="shared" si="16"/>
        <v>0</v>
      </c>
      <c r="AG8" s="176">
        <f>'Mg St Bandra'!L28</f>
        <v>0</v>
      </c>
      <c r="AH8" s="204" t="e">
        <f t="shared" si="17"/>
        <v>#DIV/0!</v>
      </c>
      <c r="AI8" s="203">
        <f>'MSK Events'!J27</f>
        <v>0</v>
      </c>
      <c r="AJ8" s="204" t="e">
        <f t="shared" si="18"/>
        <v>#DIV/0!</v>
      </c>
      <c r="AK8" s="203">
        <f>'MSK Events'!L27</f>
        <v>0</v>
      </c>
      <c r="AL8" s="173"/>
      <c r="AM8" s="176">
        <f>MSBC!J28</f>
        <v>0</v>
      </c>
      <c r="AN8" s="204">
        <f t="shared" si="19"/>
        <v>0</v>
      </c>
      <c r="AO8" s="203">
        <f>MSBC!L28</f>
        <v>0</v>
      </c>
      <c r="AP8" s="204" t="e">
        <f t="shared" si="20"/>
        <v>#DIV/0!</v>
      </c>
      <c r="AQ8" s="176">
        <f>Kaspers!J28</f>
        <v>0</v>
      </c>
      <c r="AR8" s="204"/>
      <c r="AS8" s="176">
        <f>Kaspers!L28</f>
        <v>0</v>
      </c>
      <c r="AT8" s="173"/>
      <c r="AU8" s="176">
        <v>0</v>
      </c>
      <c r="AV8" s="173"/>
      <c r="AW8" s="176">
        <f>'MSBC Andheri'!L28</f>
        <v>0</v>
      </c>
      <c r="AX8" s="173"/>
      <c r="AY8" s="176">
        <v>0</v>
      </c>
      <c r="AZ8" s="173"/>
      <c r="BA8" s="176">
        <v>0</v>
      </c>
      <c r="BB8" s="173"/>
      <c r="BC8" s="176">
        <v>0</v>
      </c>
      <c r="BD8" s="173"/>
      <c r="BE8" s="176">
        <v>0</v>
      </c>
      <c r="BF8" s="173"/>
      <c r="BG8" s="176">
        <f>'LOUD MOUTH'!J28</f>
        <v>0</v>
      </c>
      <c r="BH8" s="173"/>
      <c r="BI8" s="176">
        <f>'LOUD MOUTH'!L28</f>
        <v>0</v>
      </c>
      <c r="BJ8" s="173"/>
    </row>
    <row r="9" spans="1:62" ht="15.75" customHeight="1" x14ac:dyDescent="0.2">
      <c r="B9" s="205" t="s">
        <v>164</v>
      </c>
      <c r="C9" s="206">
        <f t="shared" si="0"/>
        <v>35231</v>
      </c>
      <c r="D9" s="207">
        <f t="shared" si="1"/>
        <v>4.7856646800722508E-4</v>
      </c>
      <c r="E9" s="206">
        <f t="shared" si="2"/>
        <v>0</v>
      </c>
      <c r="F9" s="207" t="e">
        <f t="shared" si="3"/>
        <v>#DIV/0!</v>
      </c>
      <c r="G9" s="208"/>
      <c r="H9" s="205"/>
      <c r="I9" s="208"/>
      <c r="J9" s="205"/>
      <c r="K9" s="201">
        <f t="shared" si="4"/>
        <v>35231</v>
      </c>
      <c r="L9" s="207">
        <f t="shared" si="5"/>
        <v>4.7856646800722508E-4</v>
      </c>
      <c r="M9" s="201">
        <f t="shared" si="6"/>
        <v>0</v>
      </c>
      <c r="N9" s="207" t="e">
        <f t="shared" si="7"/>
        <v>#DIV/0!</v>
      </c>
      <c r="O9" s="209">
        <f>'The Table'!J22</f>
        <v>0</v>
      </c>
      <c r="P9" s="209"/>
      <c r="Q9" s="209">
        <f>'The Table'!L22</f>
        <v>0</v>
      </c>
      <c r="R9" s="209"/>
      <c r="S9" s="209">
        <v>0</v>
      </c>
      <c r="T9" s="209"/>
      <c r="U9" s="209">
        <v>0</v>
      </c>
      <c r="V9" s="209"/>
      <c r="W9" s="210">
        <v>0</v>
      </c>
      <c r="X9" s="209"/>
      <c r="Y9" s="209"/>
      <c r="Z9" s="209"/>
      <c r="AA9" s="209">
        <f>'Mg St LP'!J22</f>
        <v>8000</v>
      </c>
      <c r="AB9" s="209"/>
      <c r="AC9" s="209">
        <f>'Mg St LP'!L22</f>
        <v>0</v>
      </c>
      <c r="AD9" s="209"/>
      <c r="AE9" s="209">
        <f>'Mg St Bandra'!J22</f>
        <v>13731</v>
      </c>
      <c r="AF9" s="209"/>
      <c r="AG9" s="209">
        <f>'Mg St Bandra'!L22</f>
        <v>0</v>
      </c>
      <c r="AH9" s="209"/>
      <c r="AI9" s="209">
        <v>0</v>
      </c>
      <c r="AJ9" s="209"/>
      <c r="AK9" s="209">
        <v>0</v>
      </c>
      <c r="AL9" s="209"/>
      <c r="AM9" s="209">
        <v>0</v>
      </c>
      <c r="AN9" s="209"/>
      <c r="AO9" s="209">
        <v>0</v>
      </c>
      <c r="AP9" s="209"/>
      <c r="AQ9" s="209">
        <f>Kaspers!J22</f>
        <v>13500</v>
      </c>
      <c r="AR9" s="209"/>
      <c r="AS9" s="209">
        <f>Kaspers!L22</f>
        <v>0</v>
      </c>
      <c r="AT9" s="209"/>
      <c r="AU9" s="209">
        <v>0</v>
      </c>
      <c r="AV9" s="209"/>
      <c r="AW9" s="209">
        <v>0</v>
      </c>
      <c r="AX9" s="209"/>
      <c r="AY9" s="209">
        <v>0</v>
      </c>
      <c r="AZ9" s="209"/>
      <c r="BA9" s="209">
        <v>0</v>
      </c>
      <c r="BB9" s="209"/>
      <c r="BC9" s="209">
        <v>0</v>
      </c>
      <c r="BD9" s="209"/>
      <c r="BE9" s="209">
        <v>0</v>
      </c>
      <c r="BF9" s="209"/>
      <c r="BG9" s="209"/>
      <c r="BH9" s="209"/>
      <c r="BI9" s="209">
        <v>0</v>
      </c>
      <c r="BJ9" s="209"/>
    </row>
    <row r="10" spans="1:62" ht="15.75" customHeight="1" x14ac:dyDescent="0.2">
      <c r="B10" s="211" t="s">
        <v>26</v>
      </c>
      <c r="C10" s="212">
        <f>SUM(C5:C9)</f>
        <v>73617778</v>
      </c>
      <c r="D10" s="213">
        <f t="shared" si="1"/>
        <v>1</v>
      </c>
      <c r="E10" s="212">
        <f>SUM(E5:E9)</f>
        <v>0</v>
      </c>
      <c r="F10" s="213" t="e">
        <f t="shared" si="3"/>
        <v>#DIV/0!</v>
      </c>
      <c r="G10" s="212">
        <f>SUM(G5:G9)</f>
        <v>0</v>
      </c>
      <c r="H10" s="211"/>
      <c r="I10" s="212">
        <f>SUM(I5:I9)</f>
        <v>0</v>
      </c>
      <c r="J10" s="211"/>
      <c r="K10" s="212">
        <f>SUM(K5:K9)</f>
        <v>73617778</v>
      </c>
      <c r="L10" s="213">
        <f t="shared" si="5"/>
        <v>1</v>
      </c>
      <c r="M10" s="212">
        <f>SUM(M5:M9)</f>
        <v>0</v>
      </c>
      <c r="N10" s="213" t="e">
        <f t="shared" si="7"/>
        <v>#DIV/0!</v>
      </c>
      <c r="O10" s="212">
        <f>SUM(O5:O9)</f>
        <v>20407580</v>
      </c>
      <c r="P10" s="211"/>
      <c r="Q10" s="212">
        <f>SUM(Q5:Q9)</f>
        <v>0</v>
      </c>
      <c r="R10" s="211"/>
      <c r="S10" s="212">
        <f>SUM(S5:S9)</f>
        <v>807500</v>
      </c>
      <c r="T10" s="211"/>
      <c r="U10" s="212">
        <f>SUM(U5:U9)</f>
        <v>0</v>
      </c>
      <c r="V10" s="211"/>
      <c r="W10" s="212">
        <f>SUM(W5:W9)</f>
        <v>12432876</v>
      </c>
      <c r="X10" s="211"/>
      <c r="Y10" s="212">
        <f>SUM(Y5:Y9)</f>
        <v>0</v>
      </c>
      <c r="Z10" s="211"/>
      <c r="AA10" s="212">
        <f>SUM(AA5:AA9)</f>
        <v>9313357</v>
      </c>
      <c r="AB10" s="211"/>
      <c r="AC10" s="212">
        <f>SUM(AC5:AC9)</f>
        <v>0</v>
      </c>
      <c r="AD10" s="211"/>
      <c r="AE10" s="212">
        <f>SUM(AE5:AE9)</f>
        <v>16886578</v>
      </c>
      <c r="AF10" s="211"/>
      <c r="AG10" s="212">
        <f>SUM(AG5:AG9)</f>
        <v>0</v>
      </c>
      <c r="AH10" s="211"/>
      <c r="AI10" s="212">
        <f>SUM(AI5:AI9)</f>
        <v>0</v>
      </c>
      <c r="AJ10" s="211"/>
      <c r="AK10" s="212">
        <f>SUM(AK5:AK9)</f>
        <v>0</v>
      </c>
      <c r="AL10" s="211"/>
      <c r="AM10" s="212">
        <f>SUM(AM5:AM9)</f>
        <v>460464</v>
      </c>
      <c r="AN10" s="211"/>
      <c r="AO10" s="212">
        <f>SUM(AO5:AO9)</f>
        <v>0</v>
      </c>
      <c r="AP10" s="211"/>
      <c r="AQ10" s="212">
        <f>SUM(AQ5:AQ9)</f>
        <v>12140202</v>
      </c>
      <c r="AR10" s="211"/>
      <c r="AS10" s="212">
        <f>SUM(AS5:AS9)</f>
        <v>0</v>
      </c>
      <c r="AT10" s="211"/>
      <c r="AU10" s="212">
        <f>SUM(AU5:AU9)</f>
        <v>332317</v>
      </c>
      <c r="AV10" s="211"/>
      <c r="AW10" s="212">
        <f>SUM(AW5:AW9)</f>
        <v>0</v>
      </c>
      <c r="AX10" s="211"/>
      <c r="AY10" s="212">
        <f>SUM(AY5:AY9)</f>
        <v>103369</v>
      </c>
      <c r="AZ10" s="211"/>
      <c r="BA10" s="212">
        <f>SUM(BA5:BA9)</f>
        <v>0</v>
      </c>
      <c r="BB10" s="211"/>
      <c r="BC10" s="212">
        <f>SUM(BC5:BC9)</f>
        <v>132839</v>
      </c>
      <c r="BD10" s="211"/>
      <c r="BE10" s="212">
        <f>SUM(BE5:BE9)</f>
        <v>0</v>
      </c>
      <c r="BF10" s="211"/>
      <c r="BG10" s="212">
        <f>SUM(BG5:BG9)</f>
        <v>600696</v>
      </c>
      <c r="BH10" s="211"/>
      <c r="BI10" s="212">
        <f>SUM(BI5:BI9)</f>
        <v>0</v>
      </c>
      <c r="BJ10" s="211"/>
    </row>
    <row r="11" spans="1:62" ht="15.75" customHeight="1" x14ac:dyDescent="0.2">
      <c r="B11" s="214"/>
      <c r="C11" s="215"/>
      <c r="D11" s="215"/>
      <c r="E11" s="215"/>
      <c r="F11" s="215"/>
      <c r="G11" s="216"/>
      <c r="H11" s="216"/>
      <c r="I11" s="217"/>
      <c r="J11" s="216"/>
      <c r="K11" s="215"/>
      <c r="L11" s="215"/>
      <c r="M11" s="218"/>
      <c r="N11" s="215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  <c r="AK11" s="216"/>
      <c r="AL11" s="216"/>
      <c r="AM11" s="216"/>
      <c r="AN11" s="216"/>
      <c r="AO11" s="216"/>
      <c r="AP11" s="216"/>
      <c r="AQ11" s="216"/>
      <c r="AR11" s="216"/>
      <c r="AS11" s="216"/>
      <c r="AT11" s="216"/>
      <c r="AU11" s="216">
        <v>0</v>
      </c>
      <c r="AV11" s="216"/>
      <c r="AW11" s="216"/>
      <c r="AX11" s="216"/>
      <c r="AY11" s="216"/>
      <c r="AZ11" s="216"/>
      <c r="BA11" s="216"/>
      <c r="BB11" s="216"/>
      <c r="BC11" s="216"/>
      <c r="BD11" s="216"/>
      <c r="BE11" s="216"/>
      <c r="BF11" s="216"/>
      <c r="BG11" s="216"/>
      <c r="BH11" s="216"/>
      <c r="BI11" s="216">
        <v>0</v>
      </c>
      <c r="BJ11" s="216"/>
    </row>
    <row r="12" spans="1:62" ht="15.75" customHeight="1" x14ac:dyDescent="0.2">
      <c r="B12" s="175" t="s">
        <v>28</v>
      </c>
      <c r="C12" s="201">
        <f t="shared" ref="C12:C14" si="21">G12+K12</f>
        <v>28301881.551856451</v>
      </c>
      <c r="D12" s="202">
        <f t="shared" ref="D12:D14" si="22">C12/C$10</f>
        <v>0.38444357220149256</v>
      </c>
      <c r="E12" s="201">
        <f t="shared" ref="E12:E13" si="23">I12+M12</f>
        <v>0</v>
      </c>
      <c r="F12" s="202" t="e">
        <f t="shared" ref="F12:F13" si="24">E12/E$10</f>
        <v>#DIV/0!</v>
      </c>
      <c r="G12" s="203">
        <f>HO!D32</f>
        <v>0</v>
      </c>
      <c r="H12" s="173"/>
      <c r="I12" s="219">
        <f>HO!L32</f>
        <v>0</v>
      </c>
      <c r="J12" s="173"/>
      <c r="K12" s="201">
        <f t="shared" ref="K12:K14" si="25">O12+S12+W12+AA12+AE12+AI12+AM12+AQ12+AU12+AY12+BC12+BG12</f>
        <v>28301881.551856451</v>
      </c>
      <c r="L12" s="202">
        <f t="shared" ref="L12:L13" si="26">K12/K$10</f>
        <v>0.38444357220149256</v>
      </c>
      <c r="M12" s="201">
        <f t="shared" ref="M12:M14" si="27">Q12+U12+Y12+AC12+AG12+AK12+AO12+AS12+AW12+BA12+BE12+BI12</f>
        <v>0</v>
      </c>
      <c r="N12" s="202" t="e">
        <f t="shared" ref="N12:N13" si="28">M12/M$10</f>
        <v>#DIV/0!</v>
      </c>
      <c r="O12" s="176">
        <f>'The Table'!J39</f>
        <v>7196374.9235024657</v>
      </c>
      <c r="P12" s="204">
        <f t="shared" ref="P12:P13" si="29">O12/O$10</f>
        <v>0.35263244948702716</v>
      </c>
      <c r="Q12" s="176">
        <f>'The Table'!L39</f>
        <v>0</v>
      </c>
      <c r="R12" s="204" t="e">
        <f t="shared" ref="R12:R13" si="30">Q12/Q$10</f>
        <v>#DIV/0!</v>
      </c>
      <c r="S12" s="176">
        <f>Iktara!J40</f>
        <v>287157.02291564678</v>
      </c>
      <c r="T12" s="204">
        <f t="shared" ref="T12:T13" si="31">S12/S$10</f>
        <v>0.35561241227943874</v>
      </c>
      <c r="U12" s="176">
        <f>Iktara!L40</f>
        <v>0</v>
      </c>
      <c r="V12" s="204" t="e">
        <f t="shared" ref="V12:V13" si="32">U12/U$10</f>
        <v>#DIV/0!</v>
      </c>
      <c r="W12" s="176">
        <f>'Mg St Colaba'!J47</f>
        <v>5012275.4660783941</v>
      </c>
      <c r="X12" s="204">
        <f t="shared" ref="X12:X13" si="33">W12/W$10</f>
        <v>0.40314690390850788</v>
      </c>
      <c r="Y12" s="176"/>
      <c r="Z12" s="204" t="e">
        <f t="shared" ref="Z12:Z13" si="34">Y12/Y$10</f>
        <v>#DIV/0!</v>
      </c>
      <c r="AA12" s="176">
        <f>'Mg St LP'!J49</f>
        <v>3629432.9340067599</v>
      </c>
      <c r="AB12" s="204">
        <f t="shared" ref="AB12:AB13" si="35">AA12/AA$10</f>
        <v>0.3897019016888067</v>
      </c>
      <c r="AC12" s="176">
        <f>'Mg St LP'!L49</f>
        <v>0</v>
      </c>
      <c r="AD12" s="204" t="e">
        <f t="shared" ref="AD12:AD13" si="36">AC12/AC$10</f>
        <v>#DIV/0!</v>
      </c>
      <c r="AE12" s="176">
        <f>'Mg St Bandra'!J47</f>
        <v>5871139.2803650033</v>
      </c>
      <c r="AF12" s="204">
        <f t="shared" ref="AF12:AF13" si="37">AE12/AE$10</f>
        <v>0.34768081966429215</v>
      </c>
      <c r="AG12" s="176">
        <f>'Mg St Bandra'!L47</f>
        <v>0</v>
      </c>
      <c r="AH12" s="204" t="e">
        <f t="shared" ref="AH12:AH13" si="38">AG12/AG$10</f>
        <v>#DIV/0!</v>
      </c>
      <c r="AI12" s="203">
        <f>'MSK Events'!J46</f>
        <v>0</v>
      </c>
      <c r="AJ12" s="204" t="e">
        <f>AI12/AI$10</f>
        <v>#DIV/0!</v>
      </c>
      <c r="AK12" s="203">
        <f>'MSK Events'!L46</f>
        <v>0</v>
      </c>
      <c r="AL12" s="173"/>
      <c r="AM12" s="176">
        <f>MSBC!J47</f>
        <v>877373.13618919393</v>
      </c>
      <c r="AN12" s="173"/>
      <c r="AO12" s="203">
        <f>MSBC!L47</f>
        <v>0</v>
      </c>
      <c r="AP12" s="173"/>
      <c r="AQ12" s="176">
        <f>Kaspers!J47</f>
        <v>4712035.3957440453</v>
      </c>
      <c r="AR12" s="173"/>
      <c r="AS12" s="176">
        <f>Kaspers!L47</f>
        <v>0</v>
      </c>
      <c r="AT12" s="173"/>
      <c r="AU12" s="176">
        <f>'MSBC Andheri'!J46</f>
        <v>99085.77</v>
      </c>
      <c r="AV12" s="173"/>
      <c r="AW12" s="176">
        <f>'MSBC Andheri'!L46</f>
        <v>0</v>
      </c>
      <c r="AX12" s="173"/>
      <c r="AY12" s="176">
        <f>'MSBC Dahisar'!J44</f>
        <v>182309.38685198693</v>
      </c>
      <c r="AZ12" s="173"/>
      <c r="BA12" s="176">
        <f>'MSBC Dahisar'!L44</f>
        <v>0</v>
      </c>
      <c r="BB12" s="173"/>
      <c r="BC12" s="176">
        <f>'MSBC Juhu  Goregoan'!J36</f>
        <v>221635.65620295875</v>
      </c>
      <c r="BD12" s="173"/>
      <c r="BE12" s="176">
        <f>'MSBC Juhu  Goregoan'!L36</f>
        <v>0</v>
      </c>
      <c r="BF12" s="173"/>
      <c r="BG12" s="176">
        <f>'LOUD MOUTH'!J39</f>
        <v>213062.58000000002</v>
      </c>
      <c r="BH12" s="173"/>
      <c r="BI12" s="176">
        <f>'LOUD MOUTH'!L39</f>
        <v>0</v>
      </c>
      <c r="BJ12" s="173"/>
    </row>
    <row r="13" spans="1:62" ht="15.75" customHeight="1" x14ac:dyDescent="0.2">
      <c r="B13" s="175" t="s">
        <v>29</v>
      </c>
      <c r="C13" s="201">
        <f t="shared" si="21"/>
        <v>996226.27</v>
      </c>
      <c r="D13" s="202">
        <f t="shared" si="22"/>
        <v>1.3532414276345044E-2</v>
      </c>
      <c r="E13" s="201">
        <f t="shared" si="23"/>
        <v>0</v>
      </c>
      <c r="F13" s="202" t="e">
        <f t="shared" si="24"/>
        <v>#DIV/0!</v>
      </c>
      <c r="G13" s="203">
        <f>HO!D33</f>
        <v>0</v>
      </c>
      <c r="H13" s="173"/>
      <c r="I13" s="219">
        <f>HO!L33</f>
        <v>0</v>
      </c>
      <c r="J13" s="173"/>
      <c r="K13" s="201">
        <f t="shared" si="25"/>
        <v>996226.27</v>
      </c>
      <c r="L13" s="202">
        <f t="shared" si="26"/>
        <v>1.3532414276345044E-2</v>
      </c>
      <c r="M13" s="201">
        <f t="shared" si="27"/>
        <v>0</v>
      </c>
      <c r="N13" s="202" t="e">
        <f t="shared" si="28"/>
        <v>#DIV/0!</v>
      </c>
      <c r="O13" s="176">
        <f>'The Table'!J40</f>
        <v>58949.25</v>
      </c>
      <c r="P13" s="204">
        <f t="shared" si="29"/>
        <v>2.8885958060681375E-3</v>
      </c>
      <c r="Q13" s="176">
        <f>'The Table'!L40</f>
        <v>0</v>
      </c>
      <c r="R13" s="204" t="e">
        <f t="shared" si="30"/>
        <v>#DIV/0!</v>
      </c>
      <c r="S13" s="176">
        <f>Iktara!J41</f>
        <v>29560</v>
      </c>
      <c r="T13" s="204">
        <f t="shared" si="31"/>
        <v>3.6606811145510836E-2</v>
      </c>
      <c r="U13" s="176">
        <f>Iktara!L41</f>
        <v>0</v>
      </c>
      <c r="V13" s="204" t="e">
        <f t="shared" si="32"/>
        <v>#DIV/0!</v>
      </c>
      <c r="W13" s="176">
        <f>'Mg St Colaba'!J48</f>
        <v>179370</v>
      </c>
      <c r="X13" s="204">
        <f t="shared" si="33"/>
        <v>1.4427072223675359E-2</v>
      </c>
      <c r="Y13" s="176"/>
      <c r="Z13" s="204" t="e">
        <f t="shared" si="34"/>
        <v>#DIV/0!</v>
      </c>
      <c r="AA13" s="176">
        <f>'Mg St LP'!J50</f>
        <v>229061</v>
      </c>
      <c r="AB13" s="204">
        <f t="shared" si="35"/>
        <v>2.4594890972181139E-2</v>
      </c>
      <c r="AC13" s="176">
        <f>'Mg St LP'!L50</f>
        <v>0</v>
      </c>
      <c r="AD13" s="204" t="e">
        <f t="shared" si="36"/>
        <v>#DIV/0!</v>
      </c>
      <c r="AE13" s="176">
        <f>'Mg St Bandra'!J48</f>
        <v>309372.52</v>
      </c>
      <c r="AF13" s="204">
        <f t="shared" si="37"/>
        <v>1.8320616527516705E-2</v>
      </c>
      <c r="AG13" s="176">
        <f>'Mg St Bandra'!L48</f>
        <v>0</v>
      </c>
      <c r="AH13" s="204" t="e">
        <f t="shared" si="38"/>
        <v>#DIV/0!</v>
      </c>
      <c r="AI13" s="203">
        <f>'MSK Events'!J47</f>
        <v>1030</v>
      </c>
      <c r="AJ13" s="173"/>
      <c r="AK13" s="203">
        <f>'MSK Events'!L47</f>
        <v>0</v>
      </c>
      <c r="AL13" s="173"/>
      <c r="AM13" s="176">
        <f>MSBC!J48</f>
        <v>109653</v>
      </c>
      <c r="AN13" s="173"/>
      <c r="AO13" s="203">
        <f>MSBC!L48</f>
        <v>0</v>
      </c>
      <c r="AP13" s="173"/>
      <c r="AQ13" s="176">
        <f>Kaspers!J48</f>
        <v>27761.5</v>
      </c>
      <c r="AR13" s="173"/>
      <c r="AS13" s="176">
        <f>Kaspers!L48</f>
        <v>0</v>
      </c>
      <c r="AT13" s="173"/>
      <c r="AU13" s="176">
        <f>'MSBC Andheri'!J47</f>
        <v>6379</v>
      </c>
      <c r="AV13" s="173"/>
      <c r="AW13" s="176">
        <f>'MSBC Andheri'!L47</f>
        <v>0</v>
      </c>
      <c r="AX13" s="173"/>
      <c r="AY13" s="176">
        <f>'MSBC Dahisar'!J45</f>
        <v>668</v>
      </c>
      <c r="AZ13" s="173"/>
      <c r="BA13" s="176">
        <f>'MSBC Dahisar'!L45</f>
        <v>0</v>
      </c>
      <c r="BB13" s="173"/>
      <c r="BC13" s="176">
        <f>'MSBC Juhu  Goregoan'!J37</f>
        <v>3293</v>
      </c>
      <c r="BD13" s="173"/>
      <c r="BE13" s="176">
        <f>'MSBC Juhu  Goregoan'!L37</f>
        <v>0</v>
      </c>
      <c r="BF13" s="173"/>
      <c r="BG13" s="176">
        <f>'LOUD MOUTH'!J40</f>
        <v>41129</v>
      </c>
      <c r="BH13" s="173"/>
      <c r="BI13" s="176">
        <f>'LOUD MOUTH'!L40</f>
        <v>0</v>
      </c>
      <c r="BJ13" s="173"/>
    </row>
    <row r="14" spans="1:62" ht="15.75" customHeight="1" x14ac:dyDescent="0.2">
      <c r="B14" s="205" t="s">
        <v>165</v>
      </c>
      <c r="C14" s="220">
        <f t="shared" si="21"/>
        <v>0</v>
      </c>
      <c r="D14" s="221">
        <f t="shared" si="22"/>
        <v>0</v>
      </c>
      <c r="E14" s="220"/>
      <c r="F14" s="221"/>
      <c r="G14" s="205"/>
      <c r="H14" s="205"/>
      <c r="I14" s="205"/>
      <c r="J14" s="205"/>
      <c r="K14" s="201">
        <f t="shared" si="25"/>
        <v>0</v>
      </c>
      <c r="L14" s="221"/>
      <c r="M14" s="201">
        <f t="shared" si="27"/>
        <v>0</v>
      </c>
      <c r="N14" s="221"/>
      <c r="O14" s="209"/>
      <c r="P14" s="222"/>
      <c r="Q14" s="209"/>
      <c r="R14" s="222"/>
      <c r="S14" s="209"/>
      <c r="T14" s="222"/>
      <c r="U14" s="223"/>
      <c r="V14" s="222"/>
      <c r="W14" s="209"/>
      <c r="X14" s="222"/>
      <c r="Y14" s="223"/>
      <c r="Z14" s="222"/>
      <c r="AA14" s="209"/>
      <c r="AB14" s="222"/>
      <c r="AC14" s="209"/>
      <c r="AD14" s="222"/>
      <c r="AE14" s="209"/>
      <c r="AF14" s="222"/>
      <c r="AG14" s="223"/>
      <c r="AH14" s="222"/>
      <c r="AI14" s="223"/>
      <c r="AJ14" s="223"/>
      <c r="AK14" s="223"/>
      <c r="AL14" s="223"/>
      <c r="AM14" s="209"/>
      <c r="AN14" s="223"/>
      <c r="AO14" s="223"/>
      <c r="AP14" s="223"/>
      <c r="AR14" s="223"/>
      <c r="AS14" s="209"/>
      <c r="AT14" s="223"/>
    </row>
    <row r="15" spans="1:62" ht="15.75" customHeight="1" x14ac:dyDescent="0.2">
      <c r="B15" s="211" t="s">
        <v>30</v>
      </c>
      <c r="C15" s="212">
        <f t="shared" ref="C15:AM15" si="39">SUM(C12:C14)</f>
        <v>29298107.82185645</v>
      </c>
      <c r="D15" s="224">
        <f t="shared" si="39"/>
        <v>0.39797598647783761</v>
      </c>
      <c r="E15" s="212">
        <f t="shared" si="39"/>
        <v>0</v>
      </c>
      <c r="F15" s="224" t="e">
        <f t="shared" si="39"/>
        <v>#DIV/0!</v>
      </c>
      <c r="G15" s="225">
        <f t="shared" si="39"/>
        <v>0</v>
      </c>
      <c r="H15" s="211">
        <f t="shared" si="39"/>
        <v>0</v>
      </c>
      <c r="I15" s="212">
        <f t="shared" si="39"/>
        <v>0</v>
      </c>
      <c r="J15" s="211">
        <f t="shared" si="39"/>
        <v>0</v>
      </c>
      <c r="K15" s="212">
        <f t="shared" si="39"/>
        <v>29298107.82185645</v>
      </c>
      <c r="L15" s="224">
        <f t="shared" si="39"/>
        <v>0.39797598647783761</v>
      </c>
      <c r="M15" s="212">
        <f t="shared" si="39"/>
        <v>0</v>
      </c>
      <c r="N15" s="224" t="e">
        <f t="shared" si="39"/>
        <v>#DIV/0!</v>
      </c>
      <c r="O15" s="212">
        <f t="shared" si="39"/>
        <v>7255324.1735024657</v>
      </c>
      <c r="P15" s="224">
        <f t="shared" si="39"/>
        <v>0.35552104529309531</v>
      </c>
      <c r="Q15" s="212">
        <f t="shared" si="39"/>
        <v>0</v>
      </c>
      <c r="R15" s="224" t="e">
        <f t="shared" si="39"/>
        <v>#DIV/0!</v>
      </c>
      <c r="S15" s="212">
        <f t="shared" si="39"/>
        <v>316717.02291564678</v>
      </c>
      <c r="T15" s="224">
        <f t="shared" si="39"/>
        <v>0.39221922342494958</v>
      </c>
      <c r="U15" s="212">
        <f t="shared" si="39"/>
        <v>0</v>
      </c>
      <c r="V15" s="224" t="e">
        <f t="shared" si="39"/>
        <v>#DIV/0!</v>
      </c>
      <c r="W15" s="212">
        <f t="shared" si="39"/>
        <v>5191645.4660783941</v>
      </c>
      <c r="X15" s="224">
        <f t="shared" si="39"/>
        <v>0.41757397613218322</v>
      </c>
      <c r="Y15" s="212">
        <f t="shared" si="39"/>
        <v>0</v>
      </c>
      <c r="Z15" s="224" t="e">
        <f t="shared" si="39"/>
        <v>#DIV/0!</v>
      </c>
      <c r="AA15" s="212">
        <f t="shared" si="39"/>
        <v>3858493.9340067599</v>
      </c>
      <c r="AB15" s="224">
        <f t="shared" si="39"/>
        <v>0.41429679266098784</v>
      </c>
      <c r="AC15" s="212">
        <f t="shared" si="39"/>
        <v>0</v>
      </c>
      <c r="AD15" s="224" t="e">
        <f t="shared" si="39"/>
        <v>#DIV/0!</v>
      </c>
      <c r="AE15" s="212">
        <f t="shared" si="39"/>
        <v>6180511.8003650028</v>
      </c>
      <c r="AF15" s="224">
        <f t="shared" si="39"/>
        <v>0.36600143619180886</v>
      </c>
      <c r="AG15" s="212">
        <f t="shared" si="39"/>
        <v>0</v>
      </c>
      <c r="AH15" s="224" t="e">
        <f t="shared" si="39"/>
        <v>#DIV/0!</v>
      </c>
      <c r="AI15" s="225">
        <f t="shared" si="39"/>
        <v>1030</v>
      </c>
      <c r="AJ15" s="224" t="e">
        <f t="shared" si="39"/>
        <v>#DIV/0!</v>
      </c>
      <c r="AK15" s="225">
        <f t="shared" si="39"/>
        <v>0</v>
      </c>
      <c r="AL15" s="211">
        <f t="shared" si="39"/>
        <v>0</v>
      </c>
      <c r="AM15" s="212">
        <f t="shared" si="39"/>
        <v>987026.13618919393</v>
      </c>
      <c r="AN15" s="211"/>
      <c r="AO15" s="225">
        <f>SUM(AO12:AO14)</f>
        <v>0</v>
      </c>
      <c r="AP15" s="211"/>
      <c r="AQ15" s="212">
        <f>SUM(AQ12:AQ13)</f>
        <v>4739796.8957440453</v>
      </c>
      <c r="AR15" s="211"/>
      <c r="AS15" s="212">
        <f>SUM(AS12:AS14)</f>
        <v>0</v>
      </c>
      <c r="AT15" s="211"/>
      <c r="AU15" s="212">
        <f t="shared" ref="AU15:BJ15" si="40">SUM(AU12:AU14)</f>
        <v>105464.77</v>
      </c>
      <c r="AV15" s="212">
        <f t="shared" si="40"/>
        <v>0</v>
      </c>
      <c r="AW15" s="212">
        <f t="shared" si="40"/>
        <v>0</v>
      </c>
      <c r="AX15" s="212">
        <f t="shared" si="40"/>
        <v>0</v>
      </c>
      <c r="AY15" s="212">
        <f t="shared" si="40"/>
        <v>182977.38685198693</v>
      </c>
      <c r="AZ15" s="212">
        <f t="shared" si="40"/>
        <v>0</v>
      </c>
      <c r="BA15" s="212">
        <f t="shared" si="40"/>
        <v>0</v>
      </c>
      <c r="BB15" s="212">
        <f t="shared" si="40"/>
        <v>0</v>
      </c>
      <c r="BC15" s="212">
        <f t="shared" si="40"/>
        <v>224928.65620295875</v>
      </c>
      <c r="BD15" s="212">
        <f t="shared" si="40"/>
        <v>0</v>
      </c>
      <c r="BE15" s="212">
        <f t="shared" si="40"/>
        <v>0</v>
      </c>
      <c r="BF15" s="212">
        <f t="shared" si="40"/>
        <v>0</v>
      </c>
      <c r="BG15" s="212">
        <f t="shared" si="40"/>
        <v>254191.58000000002</v>
      </c>
      <c r="BH15" s="212">
        <f t="shared" si="40"/>
        <v>0</v>
      </c>
      <c r="BI15" s="212">
        <f t="shared" si="40"/>
        <v>0</v>
      </c>
      <c r="BJ15" s="212">
        <f t="shared" si="40"/>
        <v>0</v>
      </c>
    </row>
    <row r="16" spans="1:62" ht="15.75" customHeight="1" x14ac:dyDescent="0.2">
      <c r="B16" s="226"/>
      <c r="C16" s="227"/>
      <c r="D16" s="227"/>
      <c r="E16" s="227"/>
      <c r="F16" s="227"/>
      <c r="G16" s="228"/>
      <c r="H16" s="228"/>
      <c r="I16" s="229"/>
      <c r="J16" s="228"/>
      <c r="K16" s="227"/>
      <c r="L16" s="227"/>
      <c r="M16" s="230"/>
      <c r="N16" s="227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/>
      <c r="AR16" s="228"/>
      <c r="AS16" s="228"/>
      <c r="AT16" s="228"/>
      <c r="AU16" s="228">
        <v>0</v>
      </c>
      <c r="AV16" s="228"/>
      <c r="AW16" s="228">
        <v>0</v>
      </c>
      <c r="AX16" s="228"/>
      <c r="AY16" s="228"/>
      <c r="AZ16" s="228"/>
      <c r="BA16" s="228"/>
      <c r="BB16" s="228"/>
      <c r="BC16" s="228"/>
      <c r="BD16" s="228"/>
      <c r="BE16" s="228"/>
      <c r="BF16" s="228"/>
      <c r="BG16" s="228"/>
      <c r="BH16" s="228"/>
      <c r="BI16" s="228"/>
      <c r="BJ16" s="228"/>
    </row>
    <row r="17" spans="2:62" ht="15.75" customHeight="1" x14ac:dyDescent="0.2">
      <c r="B17" s="211" t="s">
        <v>32</v>
      </c>
      <c r="C17" s="212">
        <f>C10-C15</f>
        <v>44319670.178143546</v>
      </c>
      <c r="D17" s="213">
        <f>C17/C$10</f>
        <v>0.60202401352216239</v>
      </c>
      <c r="E17" s="231">
        <f>E10-E15</f>
        <v>0</v>
      </c>
      <c r="F17" s="213" t="e">
        <f>E17/E$10</f>
        <v>#DIV/0!</v>
      </c>
      <c r="G17" s="231">
        <f>G10-G15</f>
        <v>0</v>
      </c>
      <c r="H17" s="232"/>
      <c r="I17" s="231">
        <f>I10-I15</f>
        <v>0</v>
      </c>
      <c r="J17" s="232"/>
      <c r="K17" s="212">
        <f>K10-K15</f>
        <v>44319670.178143546</v>
      </c>
      <c r="L17" s="213">
        <f>K17/K$10</f>
        <v>0.60202401352216239</v>
      </c>
      <c r="M17" s="231">
        <f>Q17+U17+Y17+AC17+AG17+AK17+AO17</f>
        <v>0</v>
      </c>
      <c r="N17" s="213" t="e">
        <f>M17/M$10</f>
        <v>#DIV/0!</v>
      </c>
      <c r="O17" s="231">
        <f>O10-O15</f>
        <v>13152255.826497534</v>
      </c>
      <c r="P17" s="213">
        <f>O17/O$10</f>
        <v>0.64447895470690475</v>
      </c>
      <c r="Q17" s="231">
        <f>Q10-Q15</f>
        <v>0</v>
      </c>
      <c r="R17" s="213" t="e">
        <f>Q17/Q$10</f>
        <v>#DIV/0!</v>
      </c>
      <c r="S17" s="231">
        <f>S10-S15</f>
        <v>490782.97708435322</v>
      </c>
      <c r="T17" s="213">
        <f>S17/S$10</f>
        <v>0.60778077657505047</v>
      </c>
      <c r="U17" s="231">
        <f>U10-U15</f>
        <v>0</v>
      </c>
      <c r="V17" s="213" t="e">
        <f>U17/U$10</f>
        <v>#DIV/0!</v>
      </c>
      <c r="W17" s="231">
        <f>W10-W15</f>
        <v>7241230.5339216059</v>
      </c>
      <c r="X17" s="213">
        <f>W17/W$10</f>
        <v>0.58242602386781672</v>
      </c>
      <c r="Y17" s="231">
        <f>Y10-Y15</f>
        <v>0</v>
      </c>
      <c r="Z17" s="213" t="e">
        <f>Y17/Y$10</f>
        <v>#DIV/0!</v>
      </c>
      <c r="AA17" s="231">
        <f>AA10-AA15</f>
        <v>5454863.0659932401</v>
      </c>
      <c r="AB17" s="213">
        <f>AA17/AA$10</f>
        <v>0.58570320733901216</v>
      </c>
      <c r="AC17" s="231">
        <f>AC10-AC15</f>
        <v>0</v>
      </c>
      <c r="AD17" s="213" t="e">
        <f>AC17/AC$10</f>
        <v>#DIV/0!</v>
      </c>
      <c r="AE17" s="231">
        <f>AE10-AE15</f>
        <v>10706066.199634997</v>
      </c>
      <c r="AF17" s="213">
        <f>AE17/AE$10</f>
        <v>0.6339985638081912</v>
      </c>
      <c r="AG17" s="231">
        <f>AG10-AG15</f>
        <v>0</v>
      </c>
      <c r="AH17" s="213" t="e">
        <f>AG17/AG$10</f>
        <v>#DIV/0!</v>
      </c>
      <c r="AI17" s="231">
        <f>AI10-AI15</f>
        <v>-1030</v>
      </c>
      <c r="AJ17" s="213" t="e">
        <f>AI17/AI$10</f>
        <v>#DIV/0!</v>
      </c>
      <c r="AK17" s="231">
        <f>AK10-AK15</f>
        <v>0</v>
      </c>
      <c r="AL17" s="232"/>
      <c r="AM17" s="231">
        <f>AM10-AM15</f>
        <v>-526562.13618919393</v>
      </c>
      <c r="AN17" s="232"/>
      <c r="AO17" s="231">
        <f>AO10-AO15</f>
        <v>0</v>
      </c>
      <c r="AP17" s="232"/>
      <c r="AQ17" s="231">
        <f>AQ10-AQ15</f>
        <v>7400405.1042559547</v>
      </c>
      <c r="AR17" s="232"/>
      <c r="AS17" s="231">
        <f>AS10-AS15</f>
        <v>0</v>
      </c>
      <c r="AT17" s="232"/>
      <c r="AU17" s="231">
        <f t="shared" ref="AU17:BJ17" si="41">AU10-AU15</f>
        <v>226852.22999999998</v>
      </c>
      <c r="AV17" s="231">
        <f t="shared" si="41"/>
        <v>0</v>
      </c>
      <c r="AW17" s="231">
        <f t="shared" si="41"/>
        <v>0</v>
      </c>
      <c r="AX17" s="231">
        <f t="shared" si="41"/>
        <v>0</v>
      </c>
      <c r="AY17" s="231">
        <f t="shared" si="41"/>
        <v>-79608.386851986928</v>
      </c>
      <c r="AZ17" s="231">
        <f t="shared" si="41"/>
        <v>0</v>
      </c>
      <c r="BA17" s="231">
        <f t="shared" si="41"/>
        <v>0</v>
      </c>
      <c r="BB17" s="231">
        <f t="shared" si="41"/>
        <v>0</v>
      </c>
      <c r="BC17" s="231">
        <f t="shared" si="41"/>
        <v>-92089.656202958751</v>
      </c>
      <c r="BD17" s="231">
        <f t="shared" si="41"/>
        <v>0</v>
      </c>
      <c r="BE17" s="231">
        <f t="shared" si="41"/>
        <v>0</v>
      </c>
      <c r="BF17" s="231">
        <f t="shared" si="41"/>
        <v>0</v>
      </c>
      <c r="BG17" s="231">
        <f t="shared" si="41"/>
        <v>346504.42</v>
      </c>
      <c r="BH17" s="231">
        <f t="shared" si="41"/>
        <v>0</v>
      </c>
      <c r="BI17" s="231">
        <f t="shared" si="41"/>
        <v>0</v>
      </c>
      <c r="BJ17" s="231">
        <f t="shared" si="41"/>
        <v>0</v>
      </c>
    </row>
    <row r="18" spans="2:62" ht="15.75" customHeight="1" x14ac:dyDescent="0.2">
      <c r="B18" s="214"/>
      <c r="C18" s="215"/>
      <c r="D18" s="215"/>
      <c r="E18" s="215"/>
      <c r="F18" s="215"/>
      <c r="G18" s="216"/>
      <c r="H18" s="216"/>
      <c r="I18" s="217"/>
      <c r="J18" s="216"/>
      <c r="K18" s="215"/>
      <c r="L18" s="215"/>
      <c r="M18" s="218"/>
      <c r="N18" s="215"/>
      <c r="O18" s="217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7"/>
      <c r="AN18" s="216"/>
      <c r="AO18" s="216"/>
      <c r="AP18" s="216"/>
      <c r="AQ18" s="216"/>
      <c r="AR18" s="216"/>
      <c r="AS18" s="216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6"/>
      <c r="BH18" s="216"/>
      <c r="BI18" s="216"/>
      <c r="BJ18" s="216"/>
    </row>
    <row r="19" spans="2:62" ht="15.75" customHeight="1" x14ac:dyDescent="0.2">
      <c r="B19" s="175" t="s">
        <v>33</v>
      </c>
      <c r="C19" s="201">
        <f t="shared" ref="C19:C28" si="42">G19+K19</f>
        <v>1907328.94</v>
      </c>
      <c r="D19" s="202">
        <f t="shared" ref="D19:D29" si="43">C19/C$10</f>
        <v>2.5908537201435228E-2</v>
      </c>
      <c r="E19" s="201">
        <f t="shared" ref="E19:E29" si="44">I19+M19</f>
        <v>0</v>
      </c>
      <c r="F19" s="202" t="e">
        <f t="shared" ref="F19:F29" si="45">E19/E$10</f>
        <v>#DIV/0!</v>
      </c>
      <c r="G19" s="176">
        <f>HO!J43</f>
        <v>21275</v>
      </c>
      <c r="H19" s="173"/>
      <c r="I19" s="176">
        <f>HO!L43</f>
        <v>0</v>
      </c>
      <c r="J19" s="173"/>
      <c r="K19" s="201">
        <f t="shared" ref="K19:K28" si="46">O19+S19+W19+AA19+AE19+AI19+AM19+AQ19+AU19+AY19+BC19+BG19</f>
        <v>1886053.94</v>
      </c>
      <c r="L19" s="202">
        <f t="shared" ref="L19:L29" si="47">K19/K$10</f>
        <v>2.5619544507306372E-2</v>
      </c>
      <c r="M19" s="201">
        <f t="shared" ref="M19:M21" si="48">Q19+U19+Y19+AC19+AG19+AK19+AO19+AS19+AW1+BA19+BE19+BI19</f>
        <v>0</v>
      </c>
      <c r="N19" s="202" t="e">
        <f t="shared" ref="N19:N29" si="49">M19/M$10</f>
        <v>#DIV/0!</v>
      </c>
      <c r="O19" s="176">
        <f>'The Table'!J51</f>
        <v>421384.94</v>
      </c>
      <c r="P19" s="204">
        <f t="shared" ref="P19:P29" si="50">O19/O$10</f>
        <v>2.0648452192763671E-2</v>
      </c>
      <c r="Q19" s="176">
        <f>'The Table'!L51</f>
        <v>0</v>
      </c>
      <c r="R19" s="204" t="e">
        <f t="shared" ref="R19:R29" si="51">Q19/Q$10</f>
        <v>#DIV/0!</v>
      </c>
      <c r="S19" s="176">
        <f>Iktara!J52</f>
        <v>43391</v>
      </c>
      <c r="T19" s="204">
        <f t="shared" ref="T19:T29" si="52">S19/S$10</f>
        <v>5.3734984520123839E-2</v>
      </c>
      <c r="U19" s="176">
        <f>Iktara!L52</f>
        <v>0</v>
      </c>
      <c r="V19" s="204" t="e">
        <f t="shared" ref="V19:V29" si="53">U19/U$10</f>
        <v>#DIV/0!</v>
      </c>
      <c r="W19" s="176">
        <f>'Mg St Colaba'!J60</f>
        <v>356741</v>
      </c>
      <c r="X19" s="204">
        <f t="shared" ref="X19:X29" si="54">W19/W$10</f>
        <v>2.8693361053387809E-2</v>
      </c>
      <c r="Y19" s="176"/>
      <c r="Z19" s="204" t="e">
        <f t="shared" ref="Z19:Z29" si="55">Y19/Y$10</f>
        <v>#DIV/0!</v>
      </c>
      <c r="AA19" s="176">
        <f>'Mg St LP'!J61</f>
        <v>253717</v>
      </c>
      <c r="AB19" s="204">
        <f t="shared" ref="AB19:AB29" si="56">AA19/AA$10</f>
        <v>2.7242271503175493E-2</v>
      </c>
      <c r="AC19" s="176">
        <f>'Mg St LP'!L61</f>
        <v>0</v>
      </c>
      <c r="AD19" s="204" t="e">
        <f t="shared" ref="AD19:AD29" si="57">AC19/AC$10</f>
        <v>#DIV/0!</v>
      </c>
      <c r="AE19" s="176">
        <f>'Mg St Bandra'!J58</f>
        <v>549979</v>
      </c>
      <c r="AF19" s="204">
        <f t="shared" ref="AF19:AF29" si="58">AE19/AE$10</f>
        <v>3.2569002434951595E-2</v>
      </c>
      <c r="AG19" s="176">
        <f>'Mg St Bandra'!L58</f>
        <v>0</v>
      </c>
      <c r="AH19" s="204" t="e">
        <f t="shared" ref="AH19:AH29" si="59">AG19/AG$10</f>
        <v>#DIV/0!</v>
      </c>
      <c r="AI19" s="176">
        <f>'MSK Events'!J58</f>
        <v>24234</v>
      </c>
      <c r="AJ19" s="204" t="e">
        <f t="shared" ref="AJ19:AJ28" si="60">AI19/AI$10</f>
        <v>#DIV/0!</v>
      </c>
      <c r="AK19" s="176">
        <f>'MSK Events'!L58</f>
        <v>0</v>
      </c>
      <c r="AL19" s="204" t="e">
        <f t="shared" ref="AL19:AL28" si="61">AK19/AK$10</f>
        <v>#DIV/0!</v>
      </c>
      <c r="AM19" s="176">
        <f>MSBC!J59</f>
        <v>42515</v>
      </c>
      <c r="AN19" s="204">
        <f t="shared" ref="AN19:AN29" si="62">AM19/AM$10</f>
        <v>9.2330779387748016E-2</v>
      </c>
      <c r="AO19" s="176">
        <f>MSBC!L59</f>
        <v>0</v>
      </c>
      <c r="AP19" s="204" t="e">
        <f t="shared" ref="AP19:AP29" si="63">AO19/AO$10</f>
        <v>#DIV/0!</v>
      </c>
      <c r="AQ19" s="176">
        <f>Kaspers!J62</f>
        <v>189879</v>
      </c>
      <c r="AR19" s="173"/>
      <c r="AS19" s="176">
        <f>Kaspers!L62</f>
        <v>0</v>
      </c>
      <c r="AT19" s="173"/>
      <c r="AU19" s="176">
        <f>'MSBC Andheri'!J58</f>
        <v>0</v>
      </c>
      <c r="AV19" s="173"/>
      <c r="AW19" s="176">
        <f>'MSBC Andheri'!L58</f>
        <v>0</v>
      </c>
      <c r="AX19" s="173"/>
      <c r="AY19" s="176">
        <f>'MSBC Dahisar'!J55</f>
        <v>0</v>
      </c>
      <c r="AZ19" s="173"/>
      <c r="BA19" s="176">
        <f>'MSBC Dahisar'!L55</f>
        <v>0</v>
      </c>
      <c r="BB19" s="173"/>
      <c r="BC19" s="176">
        <f>'MSBC Juhu  Goregoan'!J62</f>
        <v>0</v>
      </c>
      <c r="BD19" s="173"/>
      <c r="BE19" s="176">
        <f>'MSBC Juhu  Goregoan'!L62</f>
        <v>0</v>
      </c>
      <c r="BF19" s="173"/>
      <c r="BG19" s="176">
        <f>'LOUD MOUTH'!J51</f>
        <v>4213</v>
      </c>
      <c r="BH19" s="173"/>
      <c r="BI19" s="176">
        <f>'LOUD MOUTH'!L51</f>
        <v>0</v>
      </c>
      <c r="BJ19" s="173"/>
    </row>
    <row r="20" spans="2:62" ht="15.75" customHeight="1" x14ac:dyDescent="0.2">
      <c r="B20" s="175" t="s">
        <v>34</v>
      </c>
      <c r="C20" s="201">
        <f t="shared" si="42"/>
        <v>775680</v>
      </c>
      <c r="D20" s="202">
        <f t="shared" si="43"/>
        <v>1.053658533404798E-2</v>
      </c>
      <c r="E20" s="201">
        <f t="shared" si="44"/>
        <v>0</v>
      </c>
      <c r="F20" s="202" t="e">
        <f t="shared" si="45"/>
        <v>#DIV/0!</v>
      </c>
      <c r="G20" s="176">
        <f>HO!J52</f>
        <v>53100</v>
      </c>
      <c r="H20" s="173"/>
      <c r="I20" s="176">
        <f>HO!L52</f>
        <v>0</v>
      </c>
      <c r="J20" s="173"/>
      <c r="K20" s="201">
        <f t="shared" si="46"/>
        <v>722580</v>
      </c>
      <c r="L20" s="202">
        <f t="shared" si="47"/>
        <v>9.8152921703233142E-3</v>
      </c>
      <c r="M20" s="201">
        <f t="shared" si="48"/>
        <v>0</v>
      </c>
      <c r="N20" s="202" t="e">
        <f t="shared" si="49"/>
        <v>#DIV/0!</v>
      </c>
      <c r="O20" s="176">
        <f>'The Table'!J60</f>
        <v>0</v>
      </c>
      <c r="P20" s="204">
        <f t="shared" si="50"/>
        <v>0</v>
      </c>
      <c r="Q20" s="176">
        <f>'The Table'!L60</f>
        <v>0</v>
      </c>
      <c r="R20" s="204" t="e">
        <f t="shared" si="51"/>
        <v>#DIV/0!</v>
      </c>
      <c r="S20" s="176">
        <f>Iktara!J64</f>
        <v>89697</v>
      </c>
      <c r="T20" s="204">
        <f t="shared" si="52"/>
        <v>0.11107987616099071</v>
      </c>
      <c r="U20" s="176">
        <f>Iktara!L64</f>
        <v>0</v>
      </c>
      <c r="V20" s="204" t="e">
        <f t="shared" si="53"/>
        <v>#DIV/0!</v>
      </c>
      <c r="W20" s="176">
        <f>'Mg St Colaba'!J72</f>
        <v>210682</v>
      </c>
      <c r="X20" s="204">
        <f t="shared" si="54"/>
        <v>1.6945556281587622E-2</v>
      </c>
      <c r="Y20" s="176"/>
      <c r="Z20" s="204" t="e">
        <f t="shared" si="55"/>
        <v>#DIV/0!</v>
      </c>
      <c r="AA20" s="176">
        <f>'Mg St LP'!J72</f>
        <v>116275</v>
      </c>
      <c r="AB20" s="204">
        <f t="shared" si="56"/>
        <v>1.2484757107453306E-2</v>
      </c>
      <c r="AC20" s="176">
        <f>'Mg St LP'!L72</f>
        <v>0</v>
      </c>
      <c r="AD20" s="204" t="e">
        <f t="shared" si="57"/>
        <v>#DIV/0!</v>
      </c>
      <c r="AE20" s="176">
        <f>'Mg St Bandra'!J70</f>
        <v>100602</v>
      </c>
      <c r="AF20" s="204">
        <f t="shared" si="58"/>
        <v>5.9575125285892738E-3</v>
      </c>
      <c r="AG20" s="176">
        <f>'Mg St Bandra'!L70</f>
        <v>0</v>
      </c>
      <c r="AH20" s="204" t="e">
        <f t="shared" si="59"/>
        <v>#DIV/0!</v>
      </c>
      <c r="AI20" s="176">
        <f>'MSK Events'!J69</f>
        <v>80000</v>
      </c>
      <c r="AJ20" s="204" t="e">
        <f t="shared" si="60"/>
        <v>#DIV/0!</v>
      </c>
      <c r="AK20" s="176">
        <f>'MSK Events'!L69</f>
        <v>0</v>
      </c>
      <c r="AL20" s="204" t="e">
        <f t="shared" si="61"/>
        <v>#DIV/0!</v>
      </c>
      <c r="AM20" s="176">
        <f>MSBC!J61</f>
        <v>25981</v>
      </c>
      <c r="AN20" s="204">
        <f t="shared" si="62"/>
        <v>5.6423520622676256E-2</v>
      </c>
      <c r="AO20" s="176">
        <f>MSBC!L61</f>
        <v>0</v>
      </c>
      <c r="AP20" s="204" t="e">
        <f t="shared" si="63"/>
        <v>#DIV/0!</v>
      </c>
      <c r="AQ20" s="176">
        <f>Kaspers!J65</f>
        <v>35000</v>
      </c>
      <c r="AR20" s="173"/>
      <c r="AS20" s="176">
        <f>Kaspers!L65</f>
        <v>0</v>
      </c>
      <c r="AT20" s="173"/>
      <c r="AU20" s="176">
        <f>'MSBC Andheri'!J70</f>
        <v>56065</v>
      </c>
      <c r="AV20" s="173"/>
      <c r="AW20" s="176">
        <f>'MSBC Andheri'!L70</f>
        <v>0</v>
      </c>
      <c r="AX20" s="173"/>
      <c r="AY20" s="176">
        <f>'MSBC Dahisar'!J57</f>
        <v>4563</v>
      </c>
      <c r="AZ20" s="173"/>
      <c r="BA20" s="176">
        <f>'MSBC Dahisar'!L57</f>
        <v>0</v>
      </c>
      <c r="BB20" s="173"/>
      <c r="BC20" s="176">
        <f>'MSBC Juhu  Goregoan'!J74</f>
        <v>3715</v>
      </c>
      <c r="BD20" s="173"/>
      <c r="BE20" s="176">
        <f>'MSBC Juhu  Goregoan'!L74</f>
        <v>0</v>
      </c>
      <c r="BF20" s="173"/>
      <c r="BG20" s="176">
        <f>'LOUD MOUTH'!J54</f>
        <v>0</v>
      </c>
      <c r="BH20" s="173"/>
      <c r="BI20" s="176">
        <f>'LOUD MOUTH'!L54</f>
        <v>0</v>
      </c>
      <c r="BJ20" s="173"/>
    </row>
    <row r="21" spans="2:62" ht="15.75" customHeight="1" x14ac:dyDescent="0.2">
      <c r="B21" s="175" t="s">
        <v>35</v>
      </c>
      <c r="C21" s="201">
        <f t="shared" si="42"/>
        <v>2295835.17</v>
      </c>
      <c r="D21" s="202">
        <f t="shared" si="43"/>
        <v>3.1185879720520768E-2</v>
      </c>
      <c r="E21" s="201">
        <f t="shared" si="44"/>
        <v>0</v>
      </c>
      <c r="F21" s="202" t="e">
        <f t="shared" si="45"/>
        <v>#DIV/0!</v>
      </c>
      <c r="G21" s="176">
        <f>HO!J63</f>
        <v>0</v>
      </c>
      <c r="H21" s="173"/>
      <c r="I21" s="176">
        <f>HO!L63</f>
        <v>0</v>
      </c>
      <c r="J21" s="173"/>
      <c r="K21" s="201">
        <f t="shared" si="46"/>
        <v>2295835.17</v>
      </c>
      <c r="L21" s="202">
        <f t="shared" si="47"/>
        <v>3.1185879720520768E-2</v>
      </c>
      <c r="M21" s="201">
        <f t="shared" si="48"/>
        <v>0</v>
      </c>
      <c r="N21" s="202" t="e">
        <f t="shared" si="49"/>
        <v>#DIV/0!</v>
      </c>
      <c r="O21" s="176">
        <f>'The Table'!J69</f>
        <v>83781</v>
      </c>
      <c r="P21" s="204">
        <f t="shared" si="50"/>
        <v>4.1053863319413667E-3</v>
      </c>
      <c r="Q21" s="176">
        <f>'The Table'!L69</f>
        <v>0</v>
      </c>
      <c r="R21" s="204" t="e">
        <f t="shared" si="51"/>
        <v>#DIV/0!</v>
      </c>
      <c r="S21" s="176">
        <f>Iktara!J74</f>
        <v>116787.54999999999</v>
      </c>
      <c r="T21" s="204">
        <f t="shared" si="52"/>
        <v>0.14462854489164084</v>
      </c>
      <c r="U21" s="176">
        <f>Iktara!L74</f>
        <v>0</v>
      </c>
      <c r="V21" s="204" t="e">
        <f t="shared" si="53"/>
        <v>#DIV/0!</v>
      </c>
      <c r="W21" s="176">
        <f>'Mg St Colaba'!J84</f>
        <v>480329</v>
      </c>
      <c r="X21" s="204">
        <f t="shared" si="54"/>
        <v>3.8633780309559912E-2</v>
      </c>
      <c r="Y21" s="176"/>
      <c r="Z21" s="204" t="e">
        <f t="shared" si="55"/>
        <v>#DIV/0!</v>
      </c>
      <c r="AA21" s="176">
        <f>'Mg St LP'!J85</f>
        <v>721776</v>
      </c>
      <c r="AB21" s="204">
        <f t="shared" si="56"/>
        <v>7.7499015661055409E-2</v>
      </c>
      <c r="AC21" s="176">
        <f>'Mg St LP'!L85</f>
        <v>0</v>
      </c>
      <c r="AD21" s="204" t="e">
        <f t="shared" si="57"/>
        <v>#DIV/0!</v>
      </c>
      <c r="AE21" s="176">
        <f>'Mg St Bandra'!J81</f>
        <v>679501</v>
      </c>
      <c r="AF21" s="204">
        <f t="shared" si="58"/>
        <v>4.0239117718225685E-2</v>
      </c>
      <c r="AG21" s="176">
        <f>'Mg St Bandra'!L81</f>
        <v>0</v>
      </c>
      <c r="AH21" s="204" t="e">
        <f t="shared" si="59"/>
        <v>#DIV/0!</v>
      </c>
      <c r="AI21" s="176">
        <f>'MSK Events'!J76</f>
        <v>0</v>
      </c>
      <c r="AJ21" s="204" t="e">
        <f t="shared" si="60"/>
        <v>#DIV/0!</v>
      </c>
      <c r="AK21" s="176">
        <f>'MSK Events'!L76</f>
        <v>0</v>
      </c>
      <c r="AL21" s="204" t="e">
        <f t="shared" si="61"/>
        <v>#DIV/0!</v>
      </c>
      <c r="AM21" s="176">
        <f>MSBC!J69</f>
        <v>38464</v>
      </c>
      <c r="AN21" s="204">
        <f t="shared" si="62"/>
        <v>8.3533131797491222E-2</v>
      </c>
      <c r="AO21" s="176">
        <f>MSBC!L69</f>
        <v>0</v>
      </c>
      <c r="AP21" s="204" t="e">
        <f t="shared" si="63"/>
        <v>#DIV/0!</v>
      </c>
      <c r="AQ21" s="176">
        <f>Kaspers!J73</f>
        <v>0</v>
      </c>
      <c r="AR21" s="173"/>
      <c r="AS21" s="176">
        <f>Kaspers!L73</f>
        <v>0</v>
      </c>
      <c r="AT21" s="173"/>
      <c r="AU21" s="176">
        <f>'MSBC Andheri'!J78</f>
        <v>65859.7</v>
      </c>
      <c r="AV21" s="173"/>
      <c r="AW21" s="176">
        <f>'MSBC Andheri'!L78</f>
        <v>0</v>
      </c>
      <c r="AX21" s="173"/>
      <c r="AY21" s="176">
        <f>'MSBC Dahisar'!J65</f>
        <v>16021.92</v>
      </c>
      <c r="AZ21" s="173"/>
      <c r="BA21" s="176">
        <f>'MSBC Dahisar'!L65</f>
        <v>0</v>
      </c>
      <c r="BB21" s="173"/>
      <c r="BC21" s="176">
        <f>'MSBC Juhu  Goregoan'!J82</f>
        <v>20427</v>
      </c>
      <c r="BD21" s="173"/>
      <c r="BE21" s="176">
        <f>'MSBC Juhu  Goregoan'!L82</f>
        <v>0</v>
      </c>
      <c r="BF21" s="173"/>
      <c r="BG21" s="176">
        <f>'LOUD MOUTH'!J63</f>
        <v>72888</v>
      </c>
      <c r="BH21" s="173"/>
      <c r="BI21" s="176">
        <f>'LOUD MOUTH'!L63</f>
        <v>0</v>
      </c>
      <c r="BJ21" s="173"/>
    </row>
    <row r="22" spans="2:62" ht="15.75" customHeight="1" x14ac:dyDescent="0.2">
      <c r="B22" s="175" t="s">
        <v>36</v>
      </c>
      <c r="C22" s="201">
        <f t="shared" si="42"/>
        <v>7979501.04</v>
      </c>
      <c r="D22" s="202">
        <f t="shared" si="43"/>
        <v>0.10839095197901789</v>
      </c>
      <c r="E22" s="201">
        <f t="shared" si="44"/>
        <v>0</v>
      </c>
      <c r="F22" s="202" t="e">
        <f t="shared" si="45"/>
        <v>#DIV/0!</v>
      </c>
      <c r="G22" s="176">
        <f>HO!J70</f>
        <v>814333</v>
      </c>
      <c r="H22" s="173"/>
      <c r="I22" s="176">
        <f>HO!L70</f>
        <v>0</v>
      </c>
      <c r="J22" s="173"/>
      <c r="K22" s="201">
        <f t="shared" si="46"/>
        <v>7165168.04</v>
      </c>
      <c r="L22" s="202">
        <f t="shared" si="47"/>
        <v>9.7329316839744884E-2</v>
      </c>
      <c r="M22" s="201">
        <f>Q22+U22+Y22+AC22+AG22+AK22+AO22+AS22+AW22+BA22+BE22+BI22</f>
        <v>0</v>
      </c>
      <c r="N22" s="202" t="e">
        <f t="shared" si="49"/>
        <v>#DIV/0!</v>
      </c>
      <c r="O22" s="176">
        <f>'The Table'!J75</f>
        <v>1848628</v>
      </c>
      <c r="P22" s="204">
        <f t="shared" si="50"/>
        <v>9.0585360929615374E-2</v>
      </c>
      <c r="Q22" s="176">
        <f>'The Table'!L75</f>
        <v>0</v>
      </c>
      <c r="R22" s="204" t="e">
        <f t="shared" si="51"/>
        <v>#DIV/0!</v>
      </c>
      <c r="S22" s="176">
        <f>Iktara!J80</f>
        <v>109552</v>
      </c>
      <c r="T22" s="204">
        <f t="shared" si="52"/>
        <v>0.13566811145510835</v>
      </c>
      <c r="U22" s="176">
        <f>Iktara!L80</f>
        <v>0</v>
      </c>
      <c r="V22" s="204" t="e">
        <f t="shared" si="53"/>
        <v>#DIV/0!</v>
      </c>
      <c r="W22" s="176">
        <f>'Mg St Colaba'!J91</f>
        <v>1784689</v>
      </c>
      <c r="X22" s="204">
        <f t="shared" si="54"/>
        <v>0.14354595026926995</v>
      </c>
      <c r="Y22" s="176"/>
      <c r="Z22" s="204" t="e">
        <f t="shared" si="55"/>
        <v>#DIV/0!</v>
      </c>
      <c r="AA22" s="176">
        <f>'Mg St LP'!J92</f>
        <v>1116762.04</v>
      </c>
      <c r="AB22" s="204">
        <f t="shared" si="56"/>
        <v>0.11990972105976395</v>
      </c>
      <c r="AC22" s="176">
        <f>'Mg St LP'!L92</f>
        <v>0</v>
      </c>
      <c r="AD22" s="204" t="e">
        <f t="shared" si="57"/>
        <v>#DIV/0!</v>
      </c>
      <c r="AE22" s="176">
        <f>'Mg St Bandra'!J88</f>
        <v>808420</v>
      </c>
      <c r="AF22" s="204">
        <f t="shared" si="58"/>
        <v>4.7873524168129268E-2</v>
      </c>
      <c r="AG22" s="176">
        <f>'Mg St Bandra'!L88</f>
        <v>0</v>
      </c>
      <c r="AH22" s="204" t="e">
        <f t="shared" si="59"/>
        <v>#DIV/0!</v>
      </c>
      <c r="AI22" s="176">
        <f>'MSK Events'!J83</f>
        <v>278160</v>
      </c>
      <c r="AJ22" s="204" t="e">
        <f t="shared" si="60"/>
        <v>#DIV/0!</v>
      </c>
      <c r="AK22" s="176">
        <f>'MSK Events'!L83</f>
        <v>0</v>
      </c>
      <c r="AL22" s="204" t="e">
        <f t="shared" si="61"/>
        <v>#DIV/0!</v>
      </c>
      <c r="AM22" s="176">
        <f>MSBC!J75</f>
        <v>236678</v>
      </c>
      <c r="AN22" s="204">
        <f t="shared" si="62"/>
        <v>0.5139989228256715</v>
      </c>
      <c r="AO22" s="176">
        <f>MSBC!L75</f>
        <v>0</v>
      </c>
      <c r="AP22" s="204" t="e">
        <f t="shared" si="63"/>
        <v>#DIV/0!</v>
      </c>
      <c r="AQ22" s="176">
        <f>Kaspers!J80</f>
        <v>982279</v>
      </c>
      <c r="AR22" s="173"/>
      <c r="AS22" s="176">
        <f>Kaspers!L80</f>
        <v>0</v>
      </c>
      <c r="AT22" s="173"/>
      <c r="AU22" s="176">
        <f>'MSBC Andheri'!J87</f>
        <v>0</v>
      </c>
      <c r="AV22" s="173"/>
      <c r="AW22" s="176">
        <f>'MSBC Andheri'!L87</f>
        <v>0</v>
      </c>
      <c r="AX22" s="173"/>
      <c r="AY22" s="176">
        <f>'MSBC Dahisar'!J74</f>
        <v>0</v>
      </c>
      <c r="AZ22" s="173"/>
      <c r="BA22" s="176">
        <f>'MSBC Dahisar'!L74</f>
        <v>0</v>
      </c>
      <c r="BB22" s="173"/>
      <c r="BC22" s="176">
        <v>0</v>
      </c>
      <c r="BD22" s="173"/>
      <c r="BE22" s="176">
        <v>0</v>
      </c>
      <c r="BF22" s="173"/>
      <c r="BG22" s="176">
        <f>'LOUD MOUTH'!J70</f>
        <v>0</v>
      </c>
      <c r="BH22" s="173"/>
      <c r="BI22" s="176">
        <f>'LOUD MOUTH'!L70</f>
        <v>0</v>
      </c>
      <c r="BJ22" s="173"/>
    </row>
    <row r="23" spans="2:62" ht="15.75" customHeight="1" x14ac:dyDescent="0.2">
      <c r="B23" s="175" t="s">
        <v>37</v>
      </c>
      <c r="C23" s="201">
        <f t="shared" si="42"/>
        <v>24466959.510000002</v>
      </c>
      <c r="D23" s="202">
        <f t="shared" si="43"/>
        <v>0.3323512360017169</v>
      </c>
      <c r="E23" s="201">
        <f t="shared" si="44"/>
        <v>0</v>
      </c>
      <c r="F23" s="202" t="e">
        <f t="shared" si="45"/>
        <v>#DIV/0!</v>
      </c>
      <c r="G23" s="176">
        <f>HO!J76</f>
        <v>3975522.27</v>
      </c>
      <c r="H23" s="173"/>
      <c r="I23" s="176">
        <f>HO!L76</f>
        <v>0</v>
      </c>
      <c r="J23" s="173"/>
      <c r="K23" s="201">
        <f t="shared" si="46"/>
        <v>20491437.240000002</v>
      </c>
      <c r="L23" s="202">
        <f t="shared" si="47"/>
        <v>0.2783490319417139</v>
      </c>
      <c r="M23" s="201">
        <f t="shared" ref="M23:M28" si="64">Q23+U23+Y23+AC23+AG23+AK23+AO23+AS23+AW5+BA23+BE23+BI23</f>
        <v>0</v>
      </c>
      <c r="N23" s="202" t="e">
        <f t="shared" si="49"/>
        <v>#DIV/0!</v>
      </c>
      <c r="O23" s="176">
        <f>'The Table'!J81</f>
        <v>5055129.75</v>
      </c>
      <c r="P23" s="204">
        <f t="shared" si="50"/>
        <v>0.24770843725713682</v>
      </c>
      <c r="Q23" s="176">
        <f>'The Table'!L81</f>
        <v>0</v>
      </c>
      <c r="R23" s="204" t="e">
        <f t="shared" si="51"/>
        <v>#DIV/0!</v>
      </c>
      <c r="S23" s="176">
        <f>Iktara!J86</f>
        <v>336606.49</v>
      </c>
      <c r="T23" s="204">
        <f t="shared" si="52"/>
        <v>0.41685014241486068</v>
      </c>
      <c r="U23" s="176">
        <f>Iktara!L86</f>
        <v>0</v>
      </c>
      <c r="V23" s="204" t="e">
        <f t="shared" si="53"/>
        <v>#DIV/0!</v>
      </c>
      <c r="W23" s="176">
        <f>'Mg St Colaba'!J97</f>
        <v>3234308.2666666666</v>
      </c>
      <c r="X23" s="204">
        <f t="shared" si="54"/>
        <v>0.26014160091893995</v>
      </c>
      <c r="Y23" s="176"/>
      <c r="Z23" s="204" t="e">
        <f t="shared" si="55"/>
        <v>#DIV/0!</v>
      </c>
      <c r="AA23" s="176">
        <f>'Mg St LP'!J99</f>
        <v>1791147.0466666666</v>
      </c>
      <c r="AB23" s="204">
        <f t="shared" si="56"/>
        <v>0.19232023927211925</v>
      </c>
      <c r="AC23" s="176">
        <f>'Mg St LP'!L99</f>
        <v>0</v>
      </c>
      <c r="AD23" s="204" t="e">
        <f t="shared" si="57"/>
        <v>#DIV/0!</v>
      </c>
      <c r="AE23" s="176">
        <f>'Mg St Bandra'!J96</f>
        <v>3833654.9166666665</v>
      </c>
      <c r="AF23" s="204">
        <f t="shared" si="58"/>
        <v>0.2270237887549903</v>
      </c>
      <c r="AG23" s="176">
        <f>'Mg St Bandra'!L96</f>
        <v>0</v>
      </c>
      <c r="AH23" s="204" t="e">
        <f t="shared" si="59"/>
        <v>#DIV/0!</v>
      </c>
      <c r="AI23" s="176">
        <f>'MSK Events'!J89</f>
        <v>189246</v>
      </c>
      <c r="AJ23" s="204" t="e">
        <f t="shared" si="60"/>
        <v>#DIV/0!</v>
      </c>
      <c r="AK23" s="176">
        <f>'MSK Events'!L89</f>
        <v>0</v>
      </c>
      <c r="AL23" s="204" t="e">
        <f t="shared" si="61"/>
        <v>#DIV/0!</v>
      </c>
      <c r="AM23" s="176">
        <f>MSBC!J81</f>
        <v>1547667.72</v>
      </c>
      <c r="AN23" s="204">
        <f t="shared" si="62"/>
        <v>3.3611047117689981</v>
      </c>
      <c r="AO23" s="176">
        <f>MSBC!L81</f>
        <v>0</v>
      </c>
      <c r="AP23" s="204" t="e">
        <f t="shared" si="63"/>
        <v>#DIV/0!</v>
      </c>
      <c r="AQ23" s="176">
        <f>Kaspers!J86</f>
        <v>3797461.05</v>
      </c>
      <c r="AR23" s="173"/>
      <c r="AS23" s="176">
        <f>Kaspers!L86</f>
        <v>0</v>
      </c>
      <c r="AT23" s="173"/>
      <c r="AU23" s="176">
        <f>'MSBC Andheri'!J93</f>
        <v>0</v>
      </c>
      <c r="AV23" s="173"/>
      <c r="AW23" s="176">
        <f>'MSBC Andheri'!L93</f>
        <v>0</v>
      </c>
      <c r="AX23" s="173"/>
      <c r="AY23" s="176">
        <f>'MSBC Dahisar'!J80</f>
        <v>0</v>
      </c>
      <c r="AZ23" s="173"/>
      <c r="BA23" s="176">
        <f>'MSBC Dahisar'!L80</f>
        <v>0</v>
      </c>
      <c r="BB23" s="173"/>
      <c r="BC23" s="176">
        <v>0</v>
      </c>
      <c r="BD23" s="173"/>
      <c r="BE23" s="176">
        <v>0</v>
      </c>
      <c r="BF23" s="173"/>
      <c r="BG23" s="176">
        <f>'LOUD MOUTH'!J77</f>
        <v>706216</v>
      </c>
      <c r="BH23" s="173"/>
      <c r="BI23" s="176">
        <f>'LOUD MOUTH'!L77</f>
        <v>0</v>
      </c>
      <c r="BJ23" s="173"/>
    </row>
    <row r="24" spans="2:62" ht="15.75" customHeight="1" x14ac:dyDescent="0.2">
      <c r="B24" s="175" t="s">
        <v>38</v>
      </c>
      <c r="C24" s="201">
        <f t="shared" si="42"/>
        <v>1069597.1499999999</v>
      </c>
      <c r="D24" s="202">
        <f t="shared" si="43"/>
        <v>1.4529060494056204E-2</v>
      </c>
      <c r="E24" s="201">
        <f t="shared" si="44"/>
        <v>0</v>
      </c>
      <c r="F24" s="202" t="e">
        <f t="shared" si="45"/>
        <v>#DIV/0!</v>
      </c>
      <c r="G24" s="176">
        <f>HO!J87</f>
        <v>467837</v>
      </c>
      <c r="H24" s="173"/>
      <c r="I24" s="176">
        <f>HO!L87</f>
        <v>0</v>
      </c>
      <c r="J24" s="173"/>
      <c r="K24" s="201">
        <f t="shared" si="46"/>
        <v>601760.14999999991</v>
      </c>
      <c r="L24" s="202">
        <f t="shared" si="47"/>
        <v>8.1741145460815165E-3</v>
      </c>
      <c r="M24" s="201">
        <f t="shared" si="64"/>
        <v>0</v>
      </c>
      <c r="N24" s="202" t="e">
        <f t="shared" si="49"/>
        <v>#DIV/0!</v>
      </c>
      <c r="O24" s="176">
        <f>'The Table'!J92</f>
        <v>521738</v>
      </c>
      <c r="P24" s="204">
        <f t="shared" si="50"/>
        <v>2.55658926732126E-2</v>
      </c>
      <c r="Q24" s="176">
        <f>'The Table'!L92</f>
        <v>0</v>
      </c>
      <c r="R24" s="204" t="e">
        <f t="shared" si="51"/>
        <v>#DIV/0!</v>
      </c>
      <c r="S24" s="176">
        <f>Iktara!J96</f>
        <v>0</v>
      </c>
      <c r="T24" s="204">
        <f t="shared" si="52"/>
        <v>0</v>
      </c>
      <c r="U24" s="203">
        <f>Iktara!L96</f>
        <v>0</v>
      </c>
      <c r="V24" s="204" t="e">
        <f t="shared" si="53"/>
        <v>#DIV/0!</v>
      </c>
      <c r="W24" s="176">
        <f>'Mg St Colaba'!J107</f>
        <v>22441.599999999999</v>
      </c>
      <c r="X24" s="204">
        <f t="shared" si="54"/>
        <v>1.8050208173877064E-3</v>
      </c>
      <c r="Y24" s="176"/>
      <c r="Z24" s="204" t="e">
        <f t="shared" si="55"/>
        <v>#DIV/0!</v>
      </c>
      <c r="AA24" s="176">
        <f>'Mg St LP'!J109</f>
        <v>29639.82</v>
      </c>
      <c r="AB24" s="204">
        <f t="shared" si="56"/>
        <v>3.1825065870448219E-3</v>
      </c>
      <c r="AC24" s="176">
        <f>'Mg St LP'!L109</f>
        <v>0</v>
      </c>
      <c r="AD24" s="204" t="e">
        <f t="shared" si="57"/>
        <v>#DIV/0!</v>
      </c>
      <c r="AE24" s="176">
        <f>'Mg St Bandra'!J107</f>
        <v>20525.73</v>
      </c>
      <c r="AF24" s="204">
        <f t="shared" si="58"/>
        <v>1.2155055926665545E-3</v>
      </c>
      <c r="AG24" s="176">
        <f>'Mg St Bandra'!L107</f>
        <v>0</v>
      </c>
      <c r="AH24" s="204" t="e">
        <f t="shared" si="59"/>
        <v>#DIV/0!</v>
      </c>
      <c r="AI24" s="176">
        <f>'MSK Events'!J99</f>
        <v>0</v>
      </c>
      <c r="AJ24" s="204" t="e">
        <f t="shared" si="60"/>
        <v>#DIV/0!</v>
      </c>
      <c r="AK24" s="176">
        <f>'MSK Events'!L99</f>
        <v>0</v>
      </c>
      <c r="AL24" s="204" t="e">
        <f t="shared" si="61"/>
        <v>#DIV/0!</v>
      </c>
      <c r="AM24" s="176">
        <f>MSBC!J92</f>
        <v>5388</v>
      </c>
      <c r="AN24" s="204">
        <f t="shared" si="62"/>
        <v>1.1701240487855728E-2</v>
      </c>
      <c r="AO24" s="176">
        <f>MSBC!L92</f>
        <v>0</v>
      </c>
      <c r="AP24" s="204" t="e">
        <f t="shared" si="63"/>
        <v>#DIV/0!</v>
      </c>
      <c r="AQ24" s="176">
        <f>Kaspers!J97</f>
        <v>2027</v>
      </c>
      <c r="AR24" s="173"/>
      <c r="AS24" s="176">
        <f>Kaspers!L97</f>
        <v>0</v>
      </c>
      <c r="AT24" s="173"/>
      <c r="AU24" s="176">
        <f>'MSBC Andheri'!J103</f>
        <v>0</v>
      </c>
      <c r="AV24" s="173"/>
      <c r="AW24" s="176">
        <f>'MSBC Andheri'!L103</f>
        <v>0</v>
      </c>
      <c r="AX24" s="173"/>
      <c r="AY24" s="176">
        <f>'MSBC Dahisar'!J90</f>
        <v>0</v>
      </c>
      <c r="AZ24" s="173"/>
      <c r="BA24" s="176">
        <f>'MSBC Dahisar'!L90</f>
        <v>0</v>
      </c>
      <c r="BB24" s="173"/>
      <c r="BC24" s="176">
        <f>'MSBC Juhu  Goregoan'!J105</f>
        <v>0</v>
      </c>
      <c r="BD24" s="173"/>
      <c r="BE24" s="176">
        <f>'MSBC Juhu  Goregoan'!L105</f>
        <v>0</v>
      </c>
      <c r="BF24" s="173"/>
      <c r="BG24" s="176">
        <f>'LOUD MOUTH'!J89</f>
        <v>0</v>
      </c>
      <c r="BH24" s="173"/>
      <c r="BI24" s="176">
        <f>'LOUD MOUTH'!L89</f>
        <v>0</v>
      </c>
      <c r="BJ24" s="173"/>
    </row>
    <row r="25" spans="2:62" ht="15.75" customHeight="1" x14ac:dyDescent="0.2">
      <c r="B25" s="175" t="s">
        <v>39</v>
      </c>
      <c r="C25" s="201">
        <f t="shared" si="42"/>
        <v>468332.41666666669</v>
      </c>
      <c r="D25" s="202">
        <f t="shared" si="43"/>
        <v>6.3616755271622936E-3</v>
      </c>
      <c r="E25" s="201">
        <f t="shared" si="44"/>
        <v>0</v>
      </c>
      <c r="F25" s="202" t="e">
        <f t="shared" si="45"/>
        <v>#DIV/0!</v>
      </c>
      <c r="G25" s="176">
        <f>HO!J94</f>
        <v>113293.5</v>
      </c>
      <c r="H25" s="173"/>
      <c r="I25" s="176">
        <f>HO!L94</f>
        <v>0</v>
      </c>
      <c r="J25" s="173"/>
      <c r="K25" s="201">
        <f t="shared" si="46"/>
        <v>355038.91666666669</v>
      </c>
      <c r="L25" s="202">
        <f t="shared" si="47"/>
        <v>4.8227333982651128E-3</v>
      </c>
      <c r="M25" s="201">
        <f t="shared" si="64"/>
        <v>0</v>
      </c>
      <c r="N25" s="202" t="e">
        <f t="shared" si="49"/>
        <v>#DIV/0!</v>
      </c>
      <c r="O25" s="176">
        <f>'The Table'!J95</f>
        <v>25091</v>
      </c>
      <c r="P25" s="204">
        <f t="shared" si="50"/>
        <v>1.229494138942491E-3</v>
      </c>
      <c r="Q25" s="176">
        <f>'The Table'!L95</f>
        <v>0</v>
      </c>
      <c r="R25" s="204" t="e">
        <f t="shared" si="51"/>
        <v>#DIV/0!</v>
      </c>
      <c r="S25" s="176">
        <f>Iktara!J99</f>
        <v>23090</v>
      </c>
      <c r="T25" s="204">
        <f t="shared" si="52"/>
        <v>2.8594427244582044E-2</v>
      </c>
      <c r="U25" s="203">
        <f>Iktara!L99</f>
        <v>0</v>
      </c>
      <c r="V25" s="204" t="e">
        <f t="shared" si="53"/>
        <v>#DIV/0!</v>
      </c>
      <c r="W25" s="176">
        <f>'Mg St Colaba'!J110</f>
        <v>63685.333333333336</v>
      </c>
      <c r="X25" s="204">
        <f t="shared" si="54"/>
        <v>5.1223331860893112E-3</v>
      </c>
      <c r="Y25" s="176"/>
      <c r="Z25" s="204" t="e">
        <f t="shared" si="55"/>
        <v>#DIV/0!</v>
      </c>
      <c r="AA25" s="176">
        <f>'Mg St LP'!J112</f>
        <v>49820.333333333336</v>
      </c>
      <c r="AB25" s="204">
        <f t="shared" si="56"/>
        <v>5.3493421688155345E-3</v>
      </c>
      <c r="AC25" s="176">
        <f>'Mg St LP'!L112</f>
        <v>0</v>
      </c>
      <c r="AD25" s="204" t="e">
        <f t="shared" si="57"/>
        <v>#DIV/0!</v>
      </c>
      <c r="AE25" s="176">
        <f>'Mg St Bandra'!J110</f>
        <v>77845.333333333343</v>
      </c>
      <c r="AF25" s="204">
        <f t="shared" si="58"/>
        <v>4.6098939248279515E-3</v>
      </c>
      <c r="AG25" s="176">
        <f>'Mg St Bandra'!L110</f>
        <v>0</v>
      </c>
      <c r="AH25" s="204" t="e">
        <f t="shared" si="59"/>
        <v>#DIV/0!</v>
      </c>
      <c r="AI25" s="176">
        <f>'MSK Events'!J102</f>
        <v>6806.25</v>
      </c>
      <c r="AJ25" s="204" t="e">
        <f t="shared" si="60"/>
        <v>#DIV/0!</v>
      </c>
      <c r="AK25" s="176">
        <f>'MSK Events'!L102</f>
        <v>0</v>
      </c>
      <c r="AL25" s="204" t="e">
        <f t="shared" si="61"/>
        <v>#DIV/0!</v>
      </c>
      <c r="AM25" s="176">
        <f>MSBC!J95</f>
        <v>36281</v>
      </c>
      <c r="AN25" s="204">
        <f t="shared" si="62"/>
        <v>7.8792261718614268E-2</v>
      </c>
      <c r="AO25" s="176">
        <f>MSBC!L95</f>
        <v>0</v>
      </c>
      <c r="AP25" s="204" t="e">
        <f t="shared" si="63"/>
        <v>#DIV/0!</v>
      </c>
      <c r="AQ25" s="176">
        <f>Kaspers!J100</f>
        <v>3146.6666666666665</v>
      </c>
      <c r="AR25" s="173"/>
      <c r="AS25" s="176">
        <f>Kaspers!L100</f>
        <v>0</v>
      </c>
      <c r="AT25" s="173"/>
      <c r="AU25" s="176">
        <f>'MSBC Andheri'!J106</f>
        <v>23091</v>
      </c>
      <c r="AV25" s="173"/>
      <c r="AW25" s="176">
        <f>'MSBC Andheri'!L106</f>
        <v>0</v>
      </c>
      <c r="AX25" s="173"/>
      <c r="AY25" s="176">
        <f>'MSBC Dahisar'!J93</f>
        <v>23091</v>
      </c>
      <c r="AZ25" s="173"/>
      <c r="BA25" s="176">
        <f>'MSBC Dahisar'!L93</f>
        <v>0</v>
      </c>
      <c r="BB25" s="173"/>
      <c r="BC25" s="176">
        <f>'MSBC Juhu  Goregoan'!J108</f>
        <v>23091</v>
      </c>
      <c r="BD25" s="173"/>
      <c r="BE25" s="176">
        <f>'MSBC Juhu  Goregoan'!L108</f>
        <v>0</v>
      </c>
      <c r="BF25" s="173"/>
      <c r="BG25" s="176">
        <f>'LOUD MOUTH'!J92</f>
        <v>0</v>
      </c>
      <c r="BH25" s="173"/>
      <c r="BI25" s="176">
        <f>'LOUD MOUTH'!L92</f>
        <v>0</v>
      </c>
      <c r="BJ25" s="173"/>
    </row>
    <row r="26" spans="2:62" ht="15.75" customHeight="1" x14ac:dyDescent="0.2">
      <c r="B26" s="175" t="s">
        <v>40</v>
      </c>
      <c r="C26" s="201">
        <f t="shared" si="42"/>
        <v>5178592.0900000008</v>
      </c>
      <c r="D26" s="202">
        <f t="shared" si="43"/>
        <v>7.034431397807199E-2</v>
      </c>
      <c r="E26" s="201">
        <f t="shared" si="44"/>
        <v>0</v>
      </c>
      <c r="F26" s="202" t="e">
        <f t="shared" si="45"/>
        <v>#DIV/0!</v>
      </c>
      <c r="G26" s="176">
        <f>HO!J98</f>
        <v>2043928.5</v>
      </c>
      <c r="H26" s="173"/>
      <c r="I26" s="176">
        <f>HO!L98</f>
        <v>0</v>
      </c>
      <c r="J26" s="173"/>
      <c r="K26" s="201">
        <f t="shared" si="46"/>
        <v>3134663.5900000008</v>
      </c>
      <c r="L26" s="202">
        <f t="shared" si="47"/>
        <v>4.258025269385339E-2</v>
      </c>
      <c r="M26" s="201">
        <f t="shared" si="64"/>
        <v>0</v>
      </c>
      <c r="N26" s="202" t="e">
        <f t="shared" si="49"/>
        <v>#DIV/0!</v>
      </c>
      <c r="O26" s="176">
        <f>'The Table'!J99+'The Table'!J106+'The Table'!J112+'The Table'!J114+'The Table'!J116+'The Table'!J118+'The Table'!J120</f>
        <v>1210775.6666666667</v>
      </c>
      <c r="P26" s="204">
        <f t="shared" si="50"/>
        <v>5.9329703309587256E-2</v>
      </c>
      <c r="Q26" s="176">
        <f>'The Table'!L99</f>
        <v>0</v>
      </c>
      <c r="R26" s="204" t="e">
        <f t="shared" si="51"/>
        <v>#DIV/0!</v>
      </c>
      <c r="S26" s="176">
        <f>Iktara!J103</f>
        <v>30642</v>
      </c>
      <c r="T26" s="204">
        <f t="shared" si="52"/>
        <v>3.7946749226006195E-2</v>
      </c>
      <c r="U26" s="203">
        <f>Iktara!L103</f>
        <v>0</v>
      </c>
      <c r="V26" s="204" t="e">
        <f t="shared" si="53"/>
        <v>#DIV/0!</v>
      </c>
      <c r="W26" s="176">
        <f>'Mg St Colaba'!J114</f>
        <v>446614.75</v>
      </c>
      <c r="X26" s="204">
        <f t="shared" si="54"/>
        <v>3.5922078688792519E-2</v>
      </c>
      <c r="Y26" s="176"/>
      <c r="Z26" s="204" t="e">
        <f t="shared" si="55"/>
        <v>#DIV/0!</v>
      </c>
      <c r="AA26" s="176">
        <f>'Mg St LP'!J116</f>
        <v>141618.25</v>
      </c>
      <c r="AB26" s="204">
        <f t="shared" si="56"/>
        <v>1.5205929505333039E-2</v>
      </c>
      <c r="AC26" s="176">
        <f>'Mg St LP'!L116</f>
        <v>0</v>
      </c>
      <c r="AD26" s="204" t="e">
        <f t="shared" si="57"/>
        <v>#DIV/0!</v>
      </c>
      <c r="AE26" s="176">
        <f>'Mg St Bandra'!J114</f>
        <v>288798</v>
      </c>
      <c r="AF26" s="204">
        <f t="shared" si="58"/>
        <v>1.7102221657934485E-2</v>
      </c>
      <c r="AG26" s="176">
        <f>'Mg St Bandra'!L114</f>
        <v>0</v>
      </c>
      <c r="AH26" s="204" t="e">
        <f t="shared" si="59"/>
        <v>#DIV/0!</v>
      </c>
      <c r="AI26" s="176">
        <f>'MSK Events'!J106</f>
        <v>551879.50666666671</v>
      </c>
      <c r="AJ26" s="204" t="e">
        <f t="shared" si="60"/>
        <v>#DIV/0!</v>
      </c>
      <c r="AK26" s="176">
        <f>'MSK Events'!L106</f>
        <v>0</v>
      </c>
      <c r="AL26" s="204" t="e">
        <f t="shared" si="61"/>
        <v>#DIV/0!</v>
      </c>
      <c r="AM26" s="176">
        <f>MSBC!J99</f>
        <v>100840.33333333333</v>
      </c>
      <c r="AN26" s="204">
        <f t="shared" si="62"/>
        <v>0.21899721440402145</v>
      </c>
      <c r="AO26" s="176">
        <f>MSBC!L99</f>
        <v>0</v>
      </c>
      <c r="AP26" s="204" t="e">
        <f t="shared" si="63"/>
        <v>#DIV/0!</v>
      </c>
      <c r="AQ26" s="176">
        <f>Kaspers!J104</f>
        <v>363495.08333333337</v>
      </c>
      <c r="AR26" s="173"/>
      <c r="AS26" s="176">
        <f>Kaspers!L104</f>
        <v>0</v>
      </c>
      <c r="AT26" s="173"/>
      <c r="AU26" s="176">
        <f>'MSBC Andheri'!J110</f>
        <v>0</v>
      </c>
      <c r="AV26" s="173"/>
      <c r="AW26" s="176">
        <f>'MSBC Andheri'!L110</f>
        <v>0</v>
      </c>
      <c r="AX26" s="173"/>
      <c r="AY26" s="176">
        <f>'MSBC Dahisar'!J97</f>
        <v>0</v>
      </c>
      <c r="AZ26" s="173"/>
      <c r="BA26" s="176">
        <f>'MSBC Dahisar'!L97</f>
        <v>0</v>
      </c>
      <c r="BB26" s="173"/>
      <c r="BC26" s="176">
        <f>'MSBC Juhu  Goregoan'!J112</f>
        <v>0</v>
      </c>
      <c r="BD26" s="173"/>
      <c r="BE26" s="176">
        <f>'MSBC Juhu  Goregoan'!L112</f>
        <v>0</v>
      </c>
      <c r="BF26" s="173"/>
      <c r="BG26" s="176">
        <f>'LOUD MOUTH'!J96</f>
        <v>0</v>
      </c>
      <c r="BH26" s="173"/>
      <c r="BI26" s="176">
        <f>'LOUD MOUTH'!L96</f>
        <v>0</v>
      </c>
      <c r="BJ26" s="173"/>
    </row>
    <row r="27" spans="2:62" ht="15.75" customHeight="1" x14ac:dyDescent="0.2">
      <c r="B27" s="175" t="s">
        <v>41</v>
      </c>
      <c r="C27" s="201">
        <f t="shared" si="42"/>
        <v>748613</v>
      </c>
      <c r="D27" s="202">
        <f t="shared" si="43"/>
        <v>1.0168915992003997E-2</v>
      </c>
      <c r="E27" s="201">
        <f t="shared" si="44"/>
        <v>0</v>
      </c>
      <c r="F27" s="202" t="e">
        <f t="shared" si="45"/>
        <v>#DIV/0!</v>
      </c>
      <c r="G27" s="176">
        <f>HO!J113</f>
        <v>687949</v>
      </c>
      <c r="H27" s="173"/>
      <c r="I27" s="176">
        <f>HO!L113</f>
        <v>0</v>
      </c>
      <c r="J27" s="173"/>
      <c r="K27" s="201">
        <f t="shared" si="46"/>
        <v>60664</v>
      </c>
      <c r="L27" s="202">
        <f t="shared" si="47"/>
        <v>8.2404008444807988E-4</v>
      </c>
      <c r="M27" s="201">
        <f t="shared" si="64"/>
        <v>0</v>
      </c>
      <c r="N27" s="202" t="e">
        <f t="shared" si="49"/>
        <v>#DIV/0!</v>
      </c>
      <c r="O27" s="176">
        <f>'The Table'!J122</f>
        <v>32384</v>
      </c>
      <c r="P27" s="204">
        <f t="shared" si="50"/>
        <v>1.5868613524974544E-3</v>
      </c>
      <c r="Q27" s="176">
        <f>'The Table'!L122</f>
        <v>0</v>
      </c>
      <c r="R27" s="204" t="e">
        <f t="shared" si="51"/>
        <v>#DIV/0!</v>
      </c>
      <c r="S27" s="176">
        <f>Iktara!J116</f>
        <v>0</v>
      </c>
      <c r="T27" s="204">
        <f t="shared" si="52"/>
        <v>0</v>
      </c>
      <c r="U27" s="203">
        <f>Iktara!L116</f>
        <v>0</v>
      </c>
      <c r="V27" s="204" t="e">
        <f t="shared" si="53"/>
        <v>#DIV/0!</v>
      </c>
      <c r="W27" s="176">
        <f>'Mg St Colaba'!J130</f>
        <v>10010</v>
      </c>
      <c r="X27" s="204">
        <f t="shared" si="54"/>
        <v>8.0512344850861537E-4</v>
      </c>
      <c r="Y27" s="173"/>
      <c r="Z27" s="204" t="e">
        <f t="shared" si="55"/>
        <v>#DIV/0!</v>
      </c>
      <c r="AA27" s="176">
        <f>'Mg St LP'!D132</f>
        <v>0</v>
      </c>
      <c r="AB27" s="204">
        <f t="shared" si="56"/>
        <v>0</v>
      </c>
      <c r="AC27" s="203">
        <f>'Mg St LP'!L132</f>
        <v>0</v>
      </c>
      <c r="AD27" s="204" t="e">
        <f t="shared" si="57"/>
        <v>#DIV/0!</v>
      </c>
      <c r="AE27" s="176">
        <f>'Mg St Bandra'!J131</f>
        <v>10010</v>
      </c>
      <c r="AF27" s="204">
        <f t="shared" si="58"/>
        <v>5.9277847767617571E-4</v>
      </c>
      <c r="AG27" s="176">
        <f>'Mg St Bandra'!L131</f>
        <v>0</v>
      </c>
      <c r="AH27" s="204" t="e">
        <f t="shared" si="59"/>
        <v>#DIV/0!</v>
      </c>
      <c r="AI27" s="176">
        <f>'MSK Events'!J124</f>
        <v>0</v>
      </c>
      <c r="AJ27" s="204" t="e">
        <f t="shared" si="60"/>
        <v>#DIV/0!</v>
      </c>
      <c r="AK27" s="176">
        <f>'MSK Events'!L124</f>
        <v>0</v>
      </c>
      <c r="AL27" s="204" t="e">
        <f t="shared" si="61"/>
        <v>#DIV/0!</v>
      </c>
      <c r="AM27" s="176">
        <f>MSBC!J115</f>
        <v>0</v>
      </c>
      <c r="AN27" s="204">
        <f t="shared" si="62"/>
        <v>0</v>
      </c>
      <c r="AO27" s="176">
        <f>MSBC!L115</f>
        <v>0</v>
      </c>
      <c r="AP27" s="204" t="e">
        <f t="shared" si="63"/>
        <v>#DIV/0!</v>
      </c>
      <c r="AQ27" s="176">
        <f>Kaspers!J127</f>
        <v>8260</v>
      </c>
      <c r="AR27" s="173"/>
      <c r="AS27" s="176">
        <f>Kaspers!L127</f>
        <v>0</v>
      </c>
      <c r="AT27" s="173"/>
      <c r="AU27" s="176">
        <f>'MSBC Andheri'!J125</f>
        <v>0</v>
      </c>
      <c r="AV27" s="173"/>
      <c r="AW27" s="176">
        <f>'MSBC Andheri'!L125</f>
        <v>0</v>
      </c>
      <c r="AX27" s="173"/>
      <c r="AY27" s="176">
        <f>'MSBC Dahisar'!J112</f>
        <v>0</v>
      </c>
      <c r="AZ27" s="173"/>
      <c r="BA27" s="176">
        <f>'MSBC Dahisar'!L112</f>
        <v>0</v>
      </c>
      <c r="BB27" s="173"/>
      <c r="BC27" s="176">
        <f>'MSBC Juhu  Goregoan'!J127</f>
        <v>0</v>
      </c>
      <c r="BD27" s="173"/>
      <c r="BE27" s="176">
        <f>'MSBC Juhu  Goregoan'!L127</f>
        <v>0</v>
      </c>
      <c r="BF27" s="173"/>
      <c r="BG27" s="176">
        <f>'LOUD MOUTH'!J112</f>
        <v>0</v>
      </c>
      <c r="BH27" s="173"/>
      <c r="BI27" s="176">
        <f>'LOUD MOUTH'!L112</f>
        <v>0</v>
      </c>
      <c r="BJ27" s="173"/>
    </row>
    <row r="28" spans="2:62" ht="15.75" customHeight="1" x14ac:dyDescent="0.2">
      <c r="B28" s="205" t="s">
        <v>42</v>
      </c>
      <c r="C28" s="206">
        <f t="shared" si="42"/>
        <v>-2008802</v>
      </c>
      <c r="D28" s="207">
        <f t="shared" si="43"/>
        <v>-2.7286914310290646E-2</v>
      </c>
      <c r="E28" s="206">
        <f t="shared" si="44"/>
        <v>0</v>
      </c>
      <c r="F28" s="207" t="e">
        <f t="shared" si="45"/>
        <v>#DIV/0!</v>
      </c>
      <c r="G28" s="209">
        <f>HO!J117</f>
        <v>25013</v>
      </c>
      <c r="H28" s="223"/>
      <c r="I28" s="209">
        <f>HO!L117</f>
        <v>0</v>
      </c>
      <c r="J28" s="223"/>
      <c r="K28" s="201">
        <f t="shared" si="46"/>
        <v>-2033815</v>
      </c>
      <c r="L28" s="207">
        <f t="shared" si="47"/>
        <v>-2.7626682783063624E-2</v>
      </c>
      <c r="M28" s="201">
        <f t="shared" si="64"/>
        <v>0</v>
      </c>
      <c r="N28" s="207" t="e">
        <f t="shared" si="49"/>
        <v>#DIV/0!</v>
      </c>
      <c r="O28" s="209">
        <f>'The Table'!J126</f>
        <v>0</v>
      </c>
      <c r="P28" s="222">
        <f t="shared" si="50"/>
        <v>0</v>
      </c>
      <c r="Q28" s="209">
        <f>'The Table'!L126</f>
        <v>0</v>
      </c>
      <c r="R28" s="222" t="e">
        <f t="shared" si="51"/>
        <v>#DIV/0!</v>
      </c>
      <c r="S28" s="209">
        <f>Iktara!J120</f>
        <v>0</v>
      </c>
      <c r="T28" s="222">
        <f t="shared" si="52"/>
        <v>0</v>
      </c>
      <c r="U28" s="209">
        <f>Iktara!L120</f>
        <v>0</v>
      </c>
      <c r="V28" s="222" t="e">
        <f t="shared" si="53"/>
        <v>#DIV/0!</v>
      </c>
      <c r="W28" s="209">
        <f>'Mg St Colaba'!J134</f>
        <v>0</v>
      </c>
      <c r="X28" s="222">
        <f t="shared" si="54"/>
        <v>0</v>
      </c>
      <c r="Y28" s="209"/>
      <c r="Z28" s="222" t="e">
        <f t="shared" si="55"/>
        <v>#DIV/0!</v>
      </c>
      <c r="AA28" s="209">
        <f>'Mg St LP'!J136</f>
        <v>0</v>
      </c>
      <c r="AB28" s="222">
        <f t="shared" si="56"/>
        <v>0</v>
      </c>
      <c r="AC28" s="209">
        <f>'Mg St LP'!L136</f>
        <v>0</v>
      </c>
      <c r="AD28" s="222" t="e">
        <f t="shared" si="57"/>
        <v>#DIV/0!</v>
      </c>
      <c r="AE28" s="209">
        <f>'Mg St Bandra'!J135</f>
        <v>0</v>
      </c>
      <c r="AF28" s="222">
        <f t="shared" si="58"/>
        <v>0</v>
      </c>
      <c r="AG28" s="209">
        <f>'Mg St Bandra'!L135</f>
        <v>0</v>
      </c>
      <c r="AH28" s="222" t="e">
        <f t="shared" si="59"/>
        <v>#DIV/0!</v>
      </c>
      <c r="AI28" s="209">
        <f>'MSK Events'!J128</f>
        <v>0</v>
      </c>
      <c r="AJ28" s="222" t="e">
        <f t="shared" si="60"/>
        <v>#DIV/0!</v>
      </c>
      <c r="AK28" s="209">
        <f>'MSK Events'!L128</f>
        <v>0</v>
      </c>
      <c r="AL28" s="222" t="e">
        <f t="shared" si="61"/>
        <v>#DIV/0!</v>
      </c>
      <c r="AM28" s="209">
        <f>MSBC!J119</f>
        <v>-2033815</v>
      </c>
      <c r="AN28" s="222">
        <f t="shared" si="62"/>
        <v>-4.4168816671878801</v>
      </c>
      <c r="AO28" s="209">
        <f>MSBC!L119</f>
        <v>0</v>
      </c>
      <c r="AP28" s="222" t="e">
        <f t="shared" si="63"/>
        <v>#DIV/0!</v>
      </c>
      <c r="AQ28" s="209">
        <f>Kaspers!J131</f>
        <v>0</v>
      </c>
      <c r="AR28" s="223"/>
      <c r="AS28" s="209">
        <f>Kaspers!L131</f>
        <v>0</v>
      </c>
      <c r="AT28" s="223"/>
      <c r="AU28" s="209">
        <f>'MSBC Andheri'!J129</f>
        <v>0</v>
      </c>
      <c r="AV28" s="223"/>
      <c r="AW28" s="209">
        <f>'MSBC Andheri'!L129</f>
        <v>0</v>
      </c>
      <c r="AX28" s="223"/>
      <c r="AY28" s="209">
        <f>'MSBC Dahisar'!J116</f>
        <v>0</v>
      </c>
      <c r="AZ28" s="223"/>
      <c r="BA28" s="209">
        <f>'MSBC Dahisar'!L116</f>
        <v>0</v>
      </c>
      <c r="BB28" s="223"/>
      <c r="BC28" s="209">
        <f>'MSBC Juhu  Goregoan'!J131</f>
        <v>0</v>
      </c>
      <c r="BD28" s="223"/>
      <c r="BE28" s="209">
        <f>'MSBC Juhu  Goregoan'!L131</f>
        <v>0</v>
      </c>
      <c r="BF28" s="223"/>
      <c r="BG28" s="209">
        <f>'LOUD MOUTH'!J117</f>
        <v>0</v>
      </c>
      <c r="BH28" s="223"/>
      <c r="BI28" s="209">
        <f>'LOUD MOUTH'!L117</f>
        <v>0</v>
      </c>
      <c r="BJ28" s="223"/>
    </row>
    <row r="29" spans="2:62" ht="15.75" customHeight="1" x14ac:dyDescent="0.2">
      <c r="B29" s="211" t="s">
        <v>43</v>
      </c>
      <c r="C29" s="212">
        <f>SUM(C19:C28)</f>
        <v>42881637.316666663</v>
      </c>
      <c r="D29" s="213">
        <f t="shared" si="43"/>
        <v>0.58249024191774257</v>
      </c>
      <c r="E29" s="231">
        <f t="shared" si="44"/>
        <v>0</v>
      </c>
      <c r="F29" s="213" t="e">
        <f t="shared" si="45"/>
        <v>#DIV/0!</v>
      </c>
      <c r="G29" s="231">
        <f>SUM(G19:G28)</f>
        <v>8202251.2699999996</v>
      </c>
      <c r="H29" s="232"/>
      <c r="I29" s="231">
        <f>SUM(I19:I28)</f>
        <v>0</v>
      </c>
      <c r="J29" s="232"/>
      <c r="K29" s="212">
        <f>SUM(K19:K28)</f>
        <v>34679386.046666667</v>
      </c>
      <c r="L29" s="213">
        <f t="shared" si="47"/>
        <v>0.47107352311919365</v>
      </c>
      <c r="M29" s="231">
        <f>SUM(M19:M28)</f>
        <v>0</v>
      </c>
      <c r="N29" s="213" t="e">
        <f t="shared" si="49"/>
        <v>#DIV/0!</v>
      </c>
      <c r="O29" s="231">
        <f>SUM(O19:O28)</f>
        <v>9198912.3566666655</v>
      </c>
      <c r="P29" s="213">
        <f t="shared" si="50"/>
        <v>0.45075958818569695</v>
      </c>
      <c r="Q29" s="231">
        <f>SUM(Q19:Q28)</f>
        <v>0</v>
      </c>
      <c r="R29" s="213" t="e">
        <f t="shared" si="51"/>
        <v>#DIV/0!</v>
      </c>
      <c r="S29" s="231">
        <f>SUM(S19:S28)</f>
        <v>749766.04</v>
      </c>
      <c r="T29" s="213">
        <f t="shared" si="52"/>
        <v>0.92850283591331273</v>
      </c>
      <c r="U29" s="231">
        <f>SUM(U19:U28)</f>
        <v>0</v>
      </c>
      <c r="V29" s="213" t="e">
        <f t="shared" si="53"/>
        <v>#DIV/0!</v>
      </c>
      <c r="W29" s="231">
        <f>SUM(W19:W28)</f>
        <v>6609500.9499999993</v>
      </c>
      <c r="X29" s="213">
        <f t="shared" si="54"/>
        <v>0.53161480497352331</v>
      </c>
      <c r="Y29" s="231">
        <f>SUM(Y19:Y28)</f>
        <v>0</v>
      </c>
      <c r="Z29" s="213" t="e">
        <f t="shared" si="55"/>
        <v>#DIV/0!</v>
      </c>
      <c r="AA29" s="231">
        <f>SUM(AA19:AA28)</f>
        <v>4220755.49</v>
      </c>
      <c r="AB29" s="213">
        <f t="shared" si="56"/>
        <v>0.45319378286476081</v>
      </c>
      <c r="AC29" s="231">
        <f>SUM(AC19:AC28)</f>
        <v>0</v>
      </c>
      <c r="AD29" s="213" t="e">
        <f t="shared" si="57"/>
        <v>#DIV/0!</v>
      </c>
      <c r="AE29" s="231">
        <f>SUM(AE19:AE28)</f>
        <v>6369335.9799999995</v>
      </c>
      <c r="AF29" s="213">
        <f t="shared" si="58"/>
        <v>0.37718334525799124</v>
      </c>
      <c r="AG29" s="231">
        <f>SUM(AG19:AG28)</f>
        <v>0</v>
      </c>
      <c r="AH29" s="213" t="e">
        <f t="shared" si="59"/>
        <v>#DIV/0!</v>
      </c>
      <c r="AI29" s="231">
        <f>SUM(AI19:AI28)</f>
        <v>1130325.7566666668</v>
      </c>
      <c r="AJ29" s="232"/>
      <c r="AK29" s="231">
        <f>SUM(AK19:AK28)</f>
        <v>0</v>
      </c>
      <c r="AL29" s="232"/>
      <c r="AM29" s="231">
        <f>SUM(AM19:AM28)</f>
        <v>5.3333333227783442E-2</v>
      </c>
      <c r="AN29" s="213">
        <f t="shared" si="62"/>
        <v>1.1582519638404618E-7</v>
      </c>
      <c r="AO29" s="231">
        <f>SUM(AO19:AO28)</f>
        <v>0</v>
      </c>
      <c r="AP29" s="213" t="e">
        <f t="shared" si="63"/>
        <v>#DIV/0!</v>
      </c>
      <c r="AQ29" s="231">
        <f>SUM(AQ19:AQ28)</f>
        <v>5381547.7999999998</v>
      </c>
      <c r="AR29" s="232"/>
      <c r="AS29" s="231">
        <f>SUM(AS19:AS28)</f>
        <v>0</v>
      </c>
      <c r="AT29" s="232"/>
      <c r="AU29" s="231">
        <f>SUM(AU19:AU28)</f>
        <v>145015.70000000001</v>
      </c>
      <c r="AV29" s="232"/>
      <c r="AW29" s="231">
        <f>SUM(AW19:AW28)</f>
        <v>0</v>
      </c>
      <c r="AX29" s="232"/>
      <c r="AY29" s="231">
        <f>SUM(AY19:AY28)</f>
        <v>43675.92</v>
      </c>
      <c r="AZ29" s="232"/>
      <c r="BA29" s="231">
        <f>SUM(BA19:BA28)</f>
        <v>0</v>
      </c>
      <c r="BB29" s="232"/>
      <c r="BC29" s="231">
        <f>SUM(BC19:BC28)</f>
        <v>47233</v>
      </c>
      <c r="BD29" s="232"/>
      <c r="BE29" s="231">
        <f>SUM(BE19:BE28)</f>
        <v>0</v>
      </c>
      <c r="BF29" s="232"/>
      <c r="BG29" s="231">
        <f>SUM(BG19:BG28)</f>
        <v>783317</v>
      </c>
      <c r="BH29" s="232"/>
      <c r="BI29" s="231">
        <f>SUM(BI19:BI28)</f>
        <v>0</v>
      </c>
      <c r="BJ29" s="232"/>
    </row>
    <row r="30" spans="2:62" ht="15.75" customHeight="1" x14ac:dyDescent="0.2">
      <c r="B30" s="226"/>
      <c r="C30" s="227"/>
      <c r="D30" s="227"/>
      <c r="E30" s="227"/>
      <c r="F30" s="227"/>
      <c r="G30" s="228"/>
      <c r="H30" s="228"/>
      <c r="I30" s="229"/>
      <c r="J30" s="228"/>
      <c r="K30" s="227"/>
      <c r="L30" s="227"/>
      <c r="M30" s="230"/>
      <c r="N30" s="227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33"/>
      <c r="AV30" s="234"/>
      <c r="AW30" s="233">
        <f>AW17-AW29</f>
        <v>0</v>
      </c>
      <c r="AX30" s="234"/>
      <c r="AY30" s="233"/>
      <c r="AZ30" s="234"/>
      <c r="BA30" s="233">
        <f>BA17-BA29</f>
        <v>0</v>
      </c>
      <c r="BB30" s="234"/>
      <c r="BC30" s="233"/>
      <c r="BD30" s="234"/>
      <c r="BE30" s="233">
        <f>BE17-BE29</f>
        <v>0</v>
      </c>
      <c r="BF30" s="234"/>
      <c r="BG30" s="233"/>
      <c r="BH30" s="234"/>
      <c r="BI30" s="233">
        <f>BI17-BI29</f>
        <v>0</v>
      </c>
      <c r="BJ30" s="234"/>
    </row>
    <row r="31" spans="2:62" ht="15.75" customHeight="1" x14ac:dyDescent="0.2">
      <c r="B31" s="211" t="s">
        <v>44</v>
      </c>
      <c r="C31" s="231">
        <f>C17-C29</f>
        <v>1438032.8614768833</v>
      </c>
      <c r="D31" s="213">
        <f>C31/C$10</f>
        <v>1.9533771604419835E-2</v>
      </c>
      <c r="E31" s="231">
        <f>E17-E29</f>
        <v>0</v>
      </c>
      <c r="F31" s="213" t="e">
        <f>E31/E$10</f>
        <v>#DIV/0!</v>
      </c>
      <c r="G31" s="231">
        <f>G17-G29</f>
        <v>-8202251.2699999996</v>
      </c>
      <c r="H31" s="232"/>
      <c r="I31" s="231">
        <f>I17-I29</f>
        <v>0</v>
      </c>
      <c r="J31" s="232"/>
      <c r="K31" s="231">
        <f>K17-K29</f>
        <v>9640284.1314768791</v>
      </c>
      <c r="L31" s="213">
        <f>K31/K$10</f>
        <v>0.13095049040296869</v>
      </c>
      <c r="M31" s="231">
        <f>M17-M29</f>
        <v>0</v>
      </c>
      <c r="N31" s="213" t="e">
        <f>M31/M$10</f>
        <v>#DIV/0!</v>
      </c>
      <c r="O31" s="231">
        <f>O17-O29</f>
        <v>3953343.4698308688</v>
      </c>
      <c r="P31" s="213">
        <f>O31/O$10</f>
        <v>0.19371936652120775</v>
      </c>
      <c r="Q31" s="231">
        <f>Q17-Q29</f>
        <v>0</v>
      </c>
      <c r="R31" s="213" t="e">
        <f>Q31/Q$10</f>
        <v>#DIV/0!</v>
      </c>
      <c r="S31" s="231">
        <f>S17-S29</f>
        <v>-258983.06291564682</v>
      </c>
      <c r="T31" s="213">
        <f>S31/S$10</f>
        <v>-0.32072205933826231</v>
      </c>
      <c r="U31" s="231">
        <f>U17-U29</f>
        <v>0</v>
      </c>
      <c r="V31" s="213" t="e">
        <f>U31/U$10</f>
        <v>#DIV/0!</v>
      </c>
      <c r="W31" s="231">
        <f>W17-W29</f>
        <v>631729.58392160665</v>
      </c>
      <c r="X31" s="213">
        <f>W31/W$10</f>
        <v>5.0811218894293374E-2</v>
      </c>
      <c r="Y31" s="231">
        <f>Y17-Y29</f>
        <v>0</v>
      </c>
      <c r="Z31" s="213" t="e">
        <f>Y31/Y$10</f>
        <v>#DIV/0!</v>
      </c>
      <c r="AA31" s="231">
        <f>AA17-AA29</f>
        <v>1234107.5759932399</v>
      </c>
      <c r="AB31" s="213">
        <f>AA31/AA$10</f>
        <v>0.13250942447425132</v>
      </c>
      <c r="AC31" s="231">
        <f>AC17-AC29</f>
        <v>0</v>
      </c>
      <c r="AD31" s="213" t="e">
        <f>AC31/AC$10</f>
        <v>#DIV/0!</v>
      </c>
      <c r="AE31" s="231">
        <f>AE17-AE29</f>
        <v>4336730.2196349977</v>
      </c>
      <c r="AF31" s="213">
        <f>AE31/AE$10</f>
        <v>0.2568152185501999</v>
      </c>
      <c r="AG31" s="231">
        <f>AG17-AG29</f>
        <v>0</v>
      </c>
      <c r="AH31" s="213" t="e">
        <f>AG31/AG$10</f>
        <v>#DIV/0!</v>
      </c>
      <c r="AI31" s="231">
        <f>AI17-AI29</f>
        <v>-1131355.7566666668</v>
      </c>
      <c r="AJ31" s="232"/>
      <c r="AK31" s="231">
        <f>AK17-AK29</f>
        <v>0</v>
      </c>
      <c r="AL31" s="232"/>
      <c r="AM31" s="231">
        <f>AM17-AM29</f>
        <v>-526562.18952252716</v>
      </c>
      <c r="AN31" s="213">
        <f>AM31/AM$10</f>
        <v>-1.1435469211980245</v>
      </c>
      <c r="AO31" s="231">
        <f>AO17-AO29</f>
        <v>0</v>
      </c>
      <c r="AP31" s="213" t="e">
        <f>AO31/AO$10</f>
        <v>#DIV/0!</v>
      </c>
      <c r="AQ31" s="231">
        <f>AQ17-AQ29</f>
        <v>2018857.3042559549</v>
      </c>
      <c r="AR31" s="232"/>
      <c r="AS31" s="231">
        <f>AS17-AS29</f>
        <v>0</v>
      </c>
      <c r="AT31" s="232"/>
      <c r="AU31" s="231">
        <f t="shared" ref="AU31:BJ31" si="65">AU17-AU29</f>
        <v>81836.52999999997</v>
      </c>
      <c r="AV31" s="231">
        <f t="shared" si="65"/>
        <v>0</v>
      </c>
      <c r="AW31" s="231">
        <f t="shared" si="65"/>
        <v>0</v>
      </c>
      <c r="AX31" s="231">
        <f t="shared" si="65"/>
        <v>0</v>
      </c>
      <c r="AY31" s="231">
        <f t="shared" si="65"/>
        <v>-123284.30685198693</v>
      </c>
      <c r="AZ31" s="231">
        <f t="shared" si="65"/>
        <v>0</v>
      </c>
      <c r="BA31" s="231">
        <f t="shared" si="65"/>
        <v>0</v>
      </c>
      <c r="BB31" s="231">
        <f t="shared" si="65"/>
        <v>0</v>
      </c>
      <c r="BC31" s="231">
        <f t="shared" si="65"/>
        <v>-139322.65620295875</v>
      </c>
      <c r="BD31" s="231">
        <f t="shared" si="65"/>
        <v>0</v>
      </c>
      <c r="BE31" s="231">
        <f t="shared" si="65"/>
        <v>0</v>
      </c>
      <c r="BF31" s="231">
        <f t="shared" si="65"/>
        <v>0</v>
      </c>
      <c r="BG31" s="231">
        <f t="shared" si="65"/>
        <v>-436812.58</v>
      </c>
      <c r="BH31" s="231">
        <f t="shared" si="65"/>
        <v>0</v>
      </c>
      <c r="BI31" s="231">
        <f t="shared" si="65"/>
        <v>0</v>
      </c>
      <c r="BJ31" s="231">
        <f t="shared" si="65"/>
        <v>0</v>
      </c>
    </row>
    <row r="32" spans="2:62" ht="15.75" customHeight="1" x14ac:dyDescent="0.2"/>
    <row r="33" spans="3:73" ht="15.75" customHeight="1" x14ac:dyDescent="0.2">
      <c r="C33" s="998">
        <f>+G33+K33</f>
        <v>1438032.8614768814</v>
      </c>
      <c r="G33" s="996">
        <f>HO!J123</f>
        <v>-8202251.2699999996</v>
      </c>
      <c r="H33" s="996"/>
      <c r="I33" s="996"/>
      <c r="J33" s="997"/>
      <c r="K33" s="997">
        <f>SUM(O33:BJ33)</f>
        <v>9640284.131476881</v>
      </c>
      <c r="L33" s="996"/>
      <c r="M33" s="996"/>
      <c r="N33" s="996"/>
      <c r="O33" s="996">
        <f>'The Table'!J132</f>
        <v>3953343.4698308688</v>
      </c>
      <c r="P33" s="996"/>
      <c r="Q33" s="996"/>
      <c r="R33" s="996"/>
      <c r="S33" s="996">
        <f>Iktara!J127</f>
        <v>-258983.06291564682</v>
      </c>
      <c r="T33" s="996"/>
      <c r="U33" s="996"/>
      <c r="V33" s="996"/>
      <c r="W33" s="996">
        <f>'Mg St Colaba'!J140</f>
        <v>631729.58392160665</v>
      </c>
      <c r="X33" s="996"/>
      <c r="Y33" s="996"/>
      <c r="Z33" s="996"/>
      <c r="AA33" s="996">
        <f>'Mg St LP'!J143</f>
        <v>1234107.5759932399</v>
      </c>
      <c r="AB33" s="996"/>
      <c r="AC33" s="996"/>
      <c r="AD33" s="996"/>
      <c r="AE33" s="996">
        <f>'Mg St Bandra'!J142</f>
        <v>4336730.2196349977</v>
      </c>
      <c r="AF33" s="996"/>
      <c r="AG33" s="996"/>
      <c r="AH33" s="996"/>
      <c r="AI33" s="996">
        <f>'MSK Events'!J135</f>
        <v>-1131355.7566666668</v>
      </c>
      <c r="AJ33" s="996"/>
      <c r="AK33" s="996"/>
      <c r="AL33" s="996"/>
      <c r="AM33" s="996">
        <f>MSBC!J125</f>
        <v>-526562.18952252716</v>
      </c>
      <c r="AN33" s="996"/>
      <c r="AO33" s="996"/>
      <c r="AP33" s="996"/>
      <c r="AQ33" s="996">
        <f>Kaspers!J138</f>
        <v>2018857.3042559549</v>
      </c>
      <c r="AR33" s="996"/>
      <c r="AS33" s="996"/>
      <c r="AT33" s="996"/>
      <c r="AU33" s="996">
        <f>'MSBC Andheri'!J136</f>
        <v>81836.52999999997</v>
      </c>
      <c r="AV33" s="996"/>
      <c r="AW33" s="996"/>
      <c r="AX33" s="996"/>
      <c r="AY33" s="996">
        <f>'MSBC Dahisar'!J123</f>
        <v>-123284.30685198693</v>
      </c>
      <c r="AZ33" s="996"/>
      <c r="BA33" s="996"/>
      <c r="BB33" s="996"/>
      <c r="BC33" s="996">
        <f>'MSBC Juhu  Goregoan'!J137</f>
        <v>-139322.65620295875</v>
      </c>
      <c r="BD33" s="996"/>
      <c r="BE33" s="996"/>
      <c r="BF33" s="996"/>
      <c r="BG33" s="996">
        <f>'LOUD MOUTH'!J123</f>
        <v>-436812.58</v>
      </c>
      <c r="BH33" s="996"/>
      <c r="BI33" s="996"/>
      <c r="BJ33" s="996"/>
      <c r="BK33" s="996"/>
      <c r="BL33" s="996"/>
      <c r="BM33" s="996"/>
      <c r="BN33" s="996"/>
      <c r="BO33" s="996"/>
      <c r="BP33" s="996"/>
      <c r="BQ33" s="996"/>
      <c r="BR33" s="996"/>
      <c r="BS33" s="996"/>
      <c r="BT33" s="996"/>
      <c r="BU33" s="996"/>
    </row>
    <row r="34" spans="3:73" ht="15.75" customHeight="1" x14ac:dyDescent="0.2">
      <c r="C34" s="999">
        <f>+C31-C33</f>
        <v>1.862645149230957E-9</v>
      </c>
      <c r="G34" s="996">
        <f>+G31-G33</f>
        <v>0</v>
      </c>
      <c r="H34" s="996"/>
      <c r="I34" s="996"/>
      <c r="J34" s="997"/>
      <c r="K34" s="997">
        <f>+K31-K33</f>
        <v>0</v>
      </c>
      <c r="L34" s="996"/>
      <c r="M34" s="996"/>
      <c r="N34" s="996"/>
      <c r="O34" s="996">
        <f>+O31-O33</f>
        <v>0</v>
      </c>
      <c r="P34" s="996"/>
      <c r="Q34" s="996"/>
      <c r="R34" s="996"/>
      <c r="S34" s="996">
        <f>+S31-S33</f>
        <v>0</v>
      </c>
      <c r="T34" s="996"/>
      <c r="U34" s="996"/>
      <c r="V34" s="996"/>
      <c r="W34" s="996">
        <f t="shared" ref="W34:BJ34" si="66">+W31-W33</f>
        <v>0</v>
      </c>
      <c r="X34" s="996"/>
      <c r="Y34" s="996"/>
      <c r="Z34" s="996"/>
      <c r="AA34" s="996">
        <f t="shared" si="66"/>
        <v>0</v>
      </c>
      <c r="AB34" s="996"/>
      <c r="AC34" s="996"/>
      <c r="AD34" s="996"/>
      <c r="AE34" s="996">
        <f t="shared" si="66"/>
        <v>0</v>
      </c>
      <c r="AF34" s="996"/>
      <c r="AG34" s="996"/>
      <c r="AH34" s="996"/>
      <c r="AI34" s="996">
        <f t="shared" si="66"/>
        <v>0</v>
      </c>
      <c r="AJ34" s="996"/>
      <c r="AK34" s="996"/>
      <c r="AL34" s="996"/>
      <c r="AM34" s="996">
        <f t="shared" si="66"/>
        <v>0</v>
      </c>
      <c r="AN34" s="996"/>
      <c r="AO34" s="996"/>
      <c r="AP34" s="996"/>
      <c r="AQ34" s="996">
        <f t="shared" si="66"/>
        <v>0</v>
      </c>
      <c r="AR34" s="996"/>
      <c r="AS34" s="996"/>
      <c r="AT34" s="996"/>
      <c r="AU34" s="996">
        <f t="shared" si="66"/>
        <v>0</v>
      </c>
      <c r="AV34" s="996"/>
      <c r="AW34" s="996"/>
      <c r="AX34" s="996"/>
      <c r="AY34" s="996">
        <f t="shared" si="66"/>
        <v>0</v>
      </c>
      <c r="AZ34" s="996">
        <f t="shared" si="66"/>
        <v>0</v>
      </c>
      <c r="BA34" s="996">
        <f t="shared" si="66"/>
        <v>0</v>
      </c>
      <c r="BB34" s="996">
        <f t="shared" si="66"/>
        <v>0</v>
      </c>
      <c r="BC34" s="996">
        <f t="shared" si="66"/>
        <v>0</v>
      </c>
      <c r="BD34" s="996">
        <f t="shared" si="66"/>
        <v>0</v>
      </c>
      <c r="BE34" s="996">
        <f t="shared" si="66"/>
        <v>0</v>
      </c>
      <c r="BF34" s="996">
        <f t="shared" si="66"/>
        <v>0</v>
      </c>
      <c r="BG34" s="996">
        <f t="shared" si="66"/>
        <v>0</v>
      </c>
      <c r="BH34" s="996">
        <f t="shared" si="66"/>
        <v>0</v>
      </c>
      <c r="BI34" s="996">
        <f t="shared" si="66"/>
        <v>0</v>
      </c>
      <c r="BJ34" s="996">
        <f t="shared" si="66"/>
        <v>0</v>
      </c>
      <c r="BK34" s="996"/>
      <c r="BL34" s="996"/>
      <c r="BM34" s="996"/>
      <c r="BN34" s="996"/>
      <c r="BO34" s="996"/>
      <c r="BP34" s="996"/>
      <c r="BQ34" s="996"/>
      <c r="BR34" s="996"/>
      <c r="BS34" s="996"/>
      <c r="BT34" s="996"/>
      <c r="BU34" s="996"/>
    </row>
    <row r="35" spans="3:73" ht="15.75" customHeight="1" x14ac:dyDescent="0.2">
      <c r="J35" s="235"/>
      <c r="K35" s="116"/>
    </row>
    <row r="36" spans="3:73" ht="15.75" customHeight="1" x14ac:dyDescent="0.2">
      <c r="J36" s="235"/>
      <c r="K36" s="116"/>
    </row>
    <row r="37" spans="3:73" ht="15.75" customHeight="1" x14ac:dyDescent="0.2"/>
    <row r="38" spans="3:73" ht="15.75" customHeight="1" x14ac:dyDescent="0.2"/>
    <row r="39" spans="3:73" ht="15.75" customHeight="1" x14ac:dyDescent="0.2"/>
    <row r="40" spans="3:73" ht="15.75" customHeight="1" x14ac:dyDescent="0.2"/>
    <row r="41" spans="3:73" ht="15.75" customHeight="1" x14ac:dyDescent="0.2"/>
    <row r="42" spans="3:73" ht="15.75" customHeight="1" x14ac:dyDescent="0.2"/>
    <row r="43" spans="3:73" ht="15.75" customHeight="1" x14ac:dyDescent="0.2"/>
    <row r="44" spans="3:73" ht="15.75" customHeight="1" x14ac:dyDescent="0.2"/>
    <row r="45" spans="3:73" ht="15.75" customHeight="1" x14ac:dyDescent="0.2"/>
    <row r="46" spans="3:73" ht="15.75" customHeight="1" x14ac:dyDescent="0.2"/>
    <row r="47" spans="3:73" ht="15.75" customHeight="1" x14ac:dyDescent="0.2"/>
    <row r="48" spans="3:7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AU3:AX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J1000"/>
  <sheetViews>
    <sheetView workbookViewId="0">
      <pane xSplit="2" ySplit="4" topLeftCell="O12" activePane="bottomRight" state="frozen"/>
      <selection pane="topRight" activeCell="C1" sqref="C1"/>
      <selection pane="bottomLeft" activeCell="A5" sqref="A5"/>
      <selection pane="bottomRight" activeCell="AA33" sqref="AA33"/>
    </sheetView>
  </sheetViews>
  <sheetFormatPr defaultColWidth="12.5703125" defaultRowHeight="15" customHeight="1" x14ac:dyDescent="0.2"/>
  <cols>
    <col min="1" max="1" width="3" customWidth="1"/>
    <col min="2" max="2" width="22.42578125" customWidth="1"/>
    <col min="3" max="6" width="12.5703125" customWidth="1"/>
    <col min="7" max="7" width="13.5703125" bestFit="1" customWidth="1"/>
  </cols>
  <sheetData>
    <row r="1" spans="1:62" ht="15.75" customHeight="1" x14ac:dyDescent="0.2">
      <c r="A1" s="171" t="s">
        <v>0</v>
      </c>
      <c r="O1" s="117"/>
      <c r="S1" s="117"/>
      <c r="W1" s="117">
        <f>W12/$K$12</f>
        <v>0.17642995900951888</v>
      </c>
      <c r="AA1" s="117">
        <f>AA12/$K$12</f>
        <v>0.12037016600318542</v>
      </c>
      <c r="AE1" s="117">
        <f>AE12/$K$12</f>
        <v>0.20166679522320721</v>
      </c>
      <c r="BC1" s="200" t="s">
        <v>161</v>
      </c>
      <c r="BG1" s="200" t="s">
        <v>161</v>
      </c>
    </row>
    <row r="2" spans="1:62" ht="15.75" customHeight="1" x14ac:dyDescent="0.2">
      <c r="A2" s="117" t="s">
        <v>162</v>
      </c>
    </row>
    <row r="3" spans="1:62" ht="15.75" customHeight="1" x14ac:dyDescent="0.2">
      <c r="B3" s="175"/>
      <c r="C3" s="944" t="s">
        <v>47</v>
      </c>
      <c r="D3" s="945"/>
      <c r="E3" s="945"/>
      <c r="F3" s="946"/>
      <c r="G3" s="944" t="s">
        <v>48</v>
      </c>
      <c r="H3" s="945"/>
      <c r="I3" s="945"/>
      <c r="J3" s="946"/>
      <c r="K3" s="944" t="s">
        <v>4</v>
      </c>
      <c r="L3" s="945"/>
      <c r="M3" s="945"/>
      <c r="N3" s="946"/>
      <c r="O3" s="944" t="s">
        <v>5</v>
      </c>
      <c r="P3" s="945"/>
      <c r="Q3" s="945"/>
      <c r="R3" s="946"/>
      <c r="S3" s="944" t="s">
        <v>6</v>
      </c>
      <c r="T3" s="945"/>
      <c r="U3" s="945"/>
      <c r="V3" s="946"/>
      <c r="W3" s="944" t="s">
        <v>7</v>
      </c>
      <c r="X3" s="945"/>
      <c r="Y3" s="945"/>
      <c r="Z3" s="946"/>
      <c r="AA3" s="944" t="s">
        <v>8</v>
      </c>
      <c r="AB3" s="945"/>
      <c r="AC3" s="945"/>
      <c r="AD3" s="946"/>
      <c r="AE3" s="944" t="s">
        <v>9</v>
      </c>
      <c r="AF3" s="945"/>
      <c r="AG3" s="945"/>
      <c r="AH3" s="946"/>
      <c r="AI3" s="944" t="s">
        <v>10</v>
      </c>
      <c r="AJ3" s="945"/>
      <c r="AK3" s="945"/>
      <c r="AL3" s="946"/>
      <c r="AM3" s="944" t="s">
        <v>11</v>
      </c>
      <c r="AN3" s="945"/>
      <c r="AO3" s="945"/>
      <c r="AP3" s="946"/>
      <c r="AQ3" s="944" t="s">
        <v>12</v>
      </c>
      <c r="AR3" s="945"/>
      <c r="AS3" s="945"/>
      <c r="AT3" s="946"/>
      <c r="AU3" s="944" t="s">
        <v>13</v>
      </c>
      <c r="AV3" s="945"/>
      <c r="AW3" s="945"/>
      <c r="AX3" s="946"/>
      <c r="AY3" s="944" t="s">
        <v>14</v>
      </c>
      <c r="AZ3" s="945"/>
      <c r="BA3" s="945"/>
      <c r="BB3" s="946"/>
      <c r="BC3" s="944" t="s">
        <v>163</v>
      </c>
      <c r="BD3" s="945"/>
      <c r="BE3" s="945"/>
      <c r="BF3" s="946"/>
      <c r="BG3" s="944" t="s">
        <v>49</v>
      </c>
      <c r="BH3" s="945"/>
      <c r="BI3" s="945"/>
      <c r="BJ3" s="946"/>
    </row>
    <row r="4" spans="1:62" ht="15.75" customHeight="1" x14ac:dyDescent="0.2">
      <c r="B4" s="175"/>
      <c r="C4" s="175" t="s">
        <v>20</v>
      </c>
      <c r="D4" s="175" t="s">
        <v>18</v>
      </c>
      <c r="E4" s="175" t="s">
        <v>19</v>
      </c>
      <c r="F4" s="175" t="s">
        <v>18</v>
      </c>
      <c r="G4" s="175" t="s">
        <v>20</v>
      </c>
      <c r="H4" s="175" t="s">
        <v>18</v>
      </c>
      <c r="I4" s="175" t="s">
        <v>19</v>
      </c>
      <c r="J4" s="175" t="s">
        <v>18</v>
      </c>
      <c r="K4" s="175" t="s">
        <v>20</v>
      </c>
      <c r="L4" s="175" t="s">
        <v>18</v>
      </c>
      <c r="M4" s="175" t="s">
        <v>19</v>
      </c>
      <c r="N4" s="175" t="s">
        <v>18</v>
      </c>
      <c r="O4" s="175" t="s">
        <v>20</v>
      </c>
      <c r="P4" s="175" t="s">
        <v>18</v>
      </c>
      <c r="Q4" s="175" t="s">
        <v>19</v>
      </c>
      <c r="R4" s="175" t="s">
        <v>18</v>
      </c>
      <c r="S4" s="175" t="s">
        <v>20</v>
      </c>
      <c r="T4" s="175" t="s">
        <v>18</v>
      </c>
      <c r="U4" s="175" t="s">
        <v>19</v>
      </c>
      <c r="V4" s="175" t="s">
        <v>18</v>
      </c>
      <c r="W4" s="175" t="s">
        <v>20</v>
      </c>
      <c r="X4" s="175" t="s">
        <v>18</v>
      </c>
      <c r="Y4" s="175" t="s">
        <v>19</v>
      </c>
      <c r="Z4" s="175" t="s">
        <v>18</v>
      </c>
      <c r="AA4" s="175" t="s">
        <v>20</v>
      </c>
      <c r="AB4" s="175" t="s">
        <v>18</v>
      </c>
      <c r="AC4" s="175" t="s">
        <v>19</v>
      </c>
      <c r="AD4" s="175" t="s">
        <v>18</v>
      </c>
      <c r="AE4" s="175" t="s">
        <v>20</v>
      </c>
      <c r="AF4" s="175" t="s">
        <v>18</v>
      </c>
      <c r="AG4" s="175" t="s">
        <v>19</v>
      </c>
      <c r="AH4" s="175" t="s">
        <v>18</v>
      </c>
      <c r="AI4" s="175" t="s">
        <v>20</v>
      </c>
      <c r="AJ4" s="175" t="s">
        <v>18</v>
      </c>
      <c r="AK4" s="175" t="s">
        <v>19</v>
      </c>
      <c r="AL4" s="175" t="s">
        <v>18</v>
      </c>
      <c r="AM4" s="175" t="s">
        <v>20</v>
      </c>
      <c r="AN4" s="175" t="s">
        <v>18</v>
      </c>
      <c r="AO4" s="175" t="s">
        <v>19</v>
      </c>
      <c r="AP4" s="175" t="s">
        <v>18</v>
      </c>
      <c r="AQ4" s="175" t="s">
        <v>20</v>
      </c>
      <c r="AR4" s="175" t="s">
        <v>18</v>
      </c>
      <c r="AS4" s="175" t="s">
        <v>19</v>
      </c>
      <c r="AT4" s="175" t="s">
        <v>18</v>
      </c>
      <c r="AU4" s="175" t="s">
        <v>17</v>
      </c>
      <c r="AV4" s="175" t="s">
        <v>18</v>
      </c>
      <c r="AW4" s="175" t="s">
        <v>19</v>
      </c>
      <c r="AX4" s="175" t="s">
        <v>18</v>
      </c>
      <c r="AY4" s="175" t="s">
        <v>17</v>
      </c>
      <c r="AZ4" s="175" t="s">
        <v>18</v>
      </c>
      <c r="BA4" s="175" t="s">
        <v>19</v>
      </c>
      <c r="BB4" s="175" t="s">
        <v>18</v>
      </c>
      <c r="BC4" s="175" t="s">
        <v>17</v>
      </c>
      <c r="BD4" s="175" t="s">
        <v>18</v>
      </c>
      <c r="BE4" s="175" t="s">
        <v>19</v>
      </c>
      <c r="BF4" s="175" t="s">
        <v>18</v>
      </c>
      <c r="BG4" s="175" t="s">
        <v>17</v>
      </c>
      <c r="BH4" s="175" t="s">
        <v>18</v>
      </c>
      <c r="BI4" s="175" t="s">
        <v>19</v>
      </c>
      <c r="BJ4" s="175" t="s">
        <v>18</v>
      </c>
    </row>
    <row r="5" spans="1:62" ht="15.75" customHeight="1" x14ac:dyDescent="0.2">
      <c r="B5" s="175" t="s">
        <v>21</v>
      </c>
      <c r="C5" s="201">
        <f t="shared" ref="C5:C9" si="0">G5+K5</f>
        <v>5710543.75</v>
      </c>
      <c r="D5" s="202">
        <f t="shared" ref="D5:D10" si="1">C5/C$10</f>
        <v>7.5936841911011022E-2</v>
      </c>
      <c r="E5" s="201">
        <f t="shared" ref="E5:E9" si="2">I5+M5</f>
        <v>0</v>
      </c>
      <c r="F5" s="202" t="e">
        <f t="shared" ref="F5:F10" si="3">E5/E$10</f>
        <v>#DIV/0!</v>
      </c>
      <c r="G5" s="203">
        <f>HO!D14</f>
        <v>0</v>
      </c>
      <c r="H5" s="173"/>
      <c r="I5" s="203">
        <f>HO!F14</f>
        <v>0</v>
      </c>
      <c r="J5" s="173"/>
      <c r="K5" s="201">
        <f t="shared" ref="K5:K9" si="4">O5+S5+W5+AA5+AE5+AI5+AM5+AQ5+AU5+AY5+BC5+BG5</f>
        <v>5710543.75</v>
      </c>
      <c r="L5" s="202">
        <f t="shared" ref="L5:L10" si="5">K5/K$10</f>
        <v>7.5936841911011022E-2</v>
      </c>
      <c r="M5" s="201">
        <f t="shared" ref="M5:M9" si="6">Q5+U5+Y5+AC5+AG5+AK5+AO5+AS5+AW5+BA5+BE5+BI5</f>
        <v>0</v>
      </c>
      <c r="N5" s="202" t="e">
        <f t="shared" ref="N5:N10" si="7">M5/M$10</f>
        <v>#DIV/0!</v>
      </c>
      <c r="O5" s="176">
        <f>'The Table'!D24</f>
        <v>1172105</v>
      </c>
      <c r="P5" s="204">
        <f t="shared" ref="P5:P8" si="8">O5/O$10</f>
        <v>5.7101446657493983E-2</v>
      </c>
      <c r="Q5" s="176">
        <f>'The Table'!F24</f>
        <v>0</v>
      </c>
      <c r="R5" s="204" t="e">
        <f t="shared" ref="R5:R8" si="9">Q5/Q$10</f>
        <v>#DIV/0!</v>
      </c>
      <c r="S5" s="176">
        <f>Iktara!D24</f>
        <v>0</v>
      </c>
      <c r="T5" s="204">
        <f t="shared" ref="T5:T8" si="10">S5/S$10</f>
        <v>0</v>
      </c>
      <c r="U5" s="176">
        <f>Iktara!F24</f>
        <v>0</v>
      </c>
      <c r="V5" s="204" t="e">
        <f t="shared" ref="V5:V8" si="11">U5/U$10</f>
        <v>#DIV/0!</v>
      </c>
      <c r="W5" s="176">
        <f>'Mg St Colaba'!D24</f>
        <v>1181100</v>
      </c>
      <c r="X5" s="204">
        <f t="shared" ref="X5:X8" si="12">W5/W$10</f>
        <v>9.191296283035659E-2</v>
      </c>
      <c r="Y5" s="176">
        <f>'Mg St Colaba'!F24</f>
        <v>0</v>
      </c>
      <c r="Z5" s="204" t="e">
        <f t="shared" ref="Z5:Z8" si="13">Y5/Y$10</f>
        <v>#DIV/0!</v>
      </c>
      <c r="AA5" s="176">
        <f>'Mg St LP'!D24</f>
        <v>1273758.75</v>
      </c>
      <c r="AB5" s="204">
        <f t="shared" ref="AB5:AB8" si="14">AA5/AA$10</f>
        <v>0.12954836282785609</v>
      </c>
      <c r="AC5" s="176">
        <f>'Mg St LP'!F24</f>
        <v>0</v>
      </c>
      <c r="AD5" s="204" t="e">
        <f t="shared" ref="AD5:AD8" si="15">AC5/AC$10</f>
        <v>#DIV/0!</v>
      </c>
      <c r="AE5" s="176">
        <f>'Mg St Bandra'!D24</f>
        <v>1555917.5</v>
      </c>
      <c r="AF5" s="204">
        <f t="shared" ref="AF5:AF8" si="16">AE5/AE$10</f>
        <v>8.9698088100039999E-2</v>
      </c>
      <c r="AG5" s="176">
        <f>'Mg St Bandra'!F24</f>
        <v>0</v>
      </c>
      <c r="AH5" s="204" t="e">
        <f t="shared" ref="AH5:AH8" si="17">AG5/AG$10</f>
        <v>#DIV/0!</v>
      </c>
      <c r="AI5" s="176">
        <f>'MSK Events'!D23</f>
        <v>0</v>
      </c>
      <c r="AJ5" s="204" t="e">
        <f t="shared" ref="AJ5:AJ8" si="18">AI5/AI$10</f>
        <v>#DIV/0!</v>
      </c>
      <c r="AK5" s="176">
        <f>'MSK Events'!F23</f>
        <v>0</v>
      </c>
      <c r="AL5" s="173"/>
      <c r="AM5" s="176">
        <f>MSBC!D24</f>
        <v>0</v>
      </c>
      <c r="AN5" s="204">
        <f t="shared" ref="AN5:AN8" si="19">AM5/AM$10</f>
        <v>0</v>
      </c>
      <c r="AO5" s="176">
        <f>MSBC!F24</f>
        <v>0</v>
      </c>
      <c r="AP5" s="204" t="e">
        <f t="shared" ref="AP5:AP8" si="20">AO5/AO$10</f>
        <v>#DIV/0!</v>
      </c>
      <c r="AQ5" s="176">
        <f>Kaspers!D24</f>
        <v>527662.5</v>
      </c>
      <c r="AR5" s="204"/>
      <c r="AS5" s="176">
        <f>Kaspers!F24</f>
        <v>0</v>
      </c>
      <c r="AT5" s="173"/>
      <c r="AU5" s="176">
        <f>'MSBC Andheri'!D24</f>
        <v>0</v>
      </c>
      <c r="AV5" s="173"/>
      <c r="AW5" s="176">
        <v>0</v>
      </c>
      <c r="AX5" s="173"/>
      <c r="AY5" s="176">
        <f>'MSBC Dahisar'!D22</f>
        <v>0</v>
      </c>
      <c r="AZ5" s="173"/>
      <c r="BA5" s="176">
        <v>0</v>
      </c>
      <c r="BB5" s="173"/>
      <c r="BC5" s="176">
        <f>'MSBC Juhu  Goregoan'!D21</f>
        <v>0</v>
      </c>
      <c r="BD5" s="173"/>
      <c r="BE5" s="176">
        <v>0</v>
      </c>
      <c r="BF5" s="173"/>
      <c r="BG5" s="176">
        <f>'LOUD MOUTH'!D24</f>
        <v>0</v>
      </c>
      <c r="BH5" s="173"/>
      <c r="BI5" s="176">
        <v>0</v>
      </c>
      <c r="BJ5" s="173"/>
    </row>
    <row r="6" spans="1:62" ht="15.75" customHeight="1" x14ac:dyDescent="0.2">
      <c r="B6" s="175" t="s">
        <v>22</v>
      </c>
      <c r="C6" s="201">
        <f t="shared" si="0"/>
        <v>12228470</v>
      </c>
      <c r="D6" s="202">
        <f t="shared" si="1"/>
        <v>0.16260997793836024</v>
      </c>
      <c r="E6" s="201">
        <f t="shared" si="2"/>
        <v>0</v>
      </c>
      <c r="F6" s="202" t="e">
        <f t="shared" si="3"/>
        <v>#DIV/0!</v>
      </c>
      <c r="G6" s="203">
        <f>HO!D15</f>
        <v>0</v>
      </c>
      <c r="H6" s="173"/>
      <c r="I6" s="203">
        <f>HO!F15</f>
        <v>0</v>
      </c>
      <c r="J6" s="173"/>
      <c r="K6" s="201">
        <f t="shared" si="4"/>
        <v>12228470</v>
      </c>
      <c r="L6" s="202">
        <f t="shared" si="5"/>
        <v>0.16260997793836024</v>
      </c>
      <c r="M6" s="201">
        <f t="shared" si="6"/>
        <v>0</v>
      </c>
      <c r="N6" s="202" t="e">
        <f t="shared" si="7"/>
        <v>#DIV/0!</v>
      </c>
      <c r="O6" s="176">
        <f>'The Table'!D25</f>
        <v>4966546</v>
      </c>
      <c r="P6" s="204">
        <f t="shared" si="8"/>
        <v>0.24195525272137744</v>
      </c>
      <c r="Q6" s="176">
        <f>'The Table'!F25</f>
        <v>0</v>
      </c>
      <c r="R6" s="204" t="e">
        <f t="shared" si="9"/>
        <v>#DIV/0!</v>
      </c>
      <c r="S6" s="176">
        <f>Iktara!D25</f>
        <v>0</v>
      </c>
      <c r="T6" s="204">
        <f t="shared" si="10"/>
        <v>0</v>
      </c>
      <c r="U6" s="176">
        <f>Iktara!F25</f>
        <v>0</v>
      </c>
      <c r="V6" s="204" t="e">
        <f t="shared" si="11"/>
        <v>#DIV/0!</v>
      </c>
      <c r="W6" s="176">
        <f>'Mg St Colaba'!D25</f>
        <v>769660</v>
      </c>
      <c r="X6" s="204">
        <f t="shared" si="12"/>
        <v>5.9894785345874398E-2</v>
      </c>
      <c r="Y6" s="176">
        <f>'Mg St Colaba'!F25</f>
        <v>0</v>
      </c>
      <c r="Z6" s="204" t="e">
        <f t="shared" si="13"/>
        <v>#DIV/0!</v>
      </c>
      <c r="AA6" s="176">
        <f>'Mg St LP'!D25</f>
        <v>0</v>
      </c>
      <c r="AB6" s="204">
        <f t="shared" si="14"/>
        <v>0</v>
      </c>
      <c r="AC6" s="176">
        <f>'Mg St LP'!F25</f>
        <v>0</v>
      </c>
      <c r="AD6" s="204" t="e">
        <f t="shared" si="15"/>
        <v>#DIV/0!</v>
      </c>
      <c r="AE6" s="176">
        <f>'Mg St Bandra'!D25</f>
        <v>2119471.5</v>
      </c>
      <c r="AF6" s="204">
        <f t="shared" si="16"/>
        <v>0.12218677489810606</v>
      </c>
      <c r="AG6" s="176">
        <f>'Mg St Bandra'!F25</f>
        <v>0</v>
      </c>
      <c r="AH6" s="204" t="e">
        <f t="shared" si="17"/>
        <v>#DIV/0!</v>
      </c>
      <c r="AI6" s="176">
        <f>'MSK Events'!D24</f>
        <v>0</v>
      </c>
      <c r="AJ6" s="204" t="e">
        <f t="shared" si="18"/>
        <v>#DIV/0!</v>
      </c>
      <c r="AK6" s="176">
        <f>'MSK Events'!F24</f>
        <v>0</v>
      </c>
      <c r="AL6" s="173"/>
      <c r="AM6" s="176">
        <f>MSBC!D25</f>
        <v>0</v>
      </c>
      <c r="AN6" s="204">
        <f t="shared" si="19"/>
        <v>0</v>
      </c>
      <c r="AO6" s="176">
        <f>MSBC!F25</f>
        <v>0</v>
      </c>
      <c r="AP6" s="204" t="e">
        <f t="shared" si="20"/>
        <v>#DIV/0!</v>
      </c>
      <c r="AQ6" s="176">
        <f>Kaspers!D25</f>
        <v>4372792.5</v>
      </c>
      <c r="AR6" s="204"/>
      <c r="AS6" s="176">
        <f>Kaspers!F25</f>
        <v>0</v>
      </c>
      <c r="AT6" s="173"/>
      <c r="AU6" s="176">
        <f>'MSBC Andheri'!D25</f>
        <v>0</v>
      </c>
      <c r="AV6" s="173"/>
      <c r="AW6" s="176">
        <v>0</v>
      </c>
      <c r="AX6" s="173"/>
      <c r="AY6" s="176">
        <f>'MSBC Dahisar'!D23</f>
        <v>0</v>
      </c>
      <c r="AZ6" s="173"/>
      <c r="BA6" s="176">
        <v>0</v>
      </c>
      <c r="BB6" s="173"/>
      <c r="BC6" s="176">
        <f>'MSBC Juhu  Goregoan'!D22</f>
        <v>0</v>
      </c>
      <c r="BD6" s="173"/>
      <c r="BE6" s="176">
        <v>0</v>
      </c>
      <c r="BF6" s="173"/>
      <c r="BG6" s="176">
        <f>'LOUD MOUTH'!D25</f>
        <v>0</v>
      </c>
      <c r="BH6" s="173"/>
      <c r="BI6" s="176">
        <v>0</v>
      </c>
      <c r="BJ6" s="173"/>
    </row>
    <row r="7" spans="1:62" ht="15.75" customHeight="1" x14ac:dyDescent="0.2">
      <c r="B7" s="175" t="s">
        <v>23</v>
      </c>
      <c r="C7" s="201">
        <f t="shared" si="0"/>
        <v>52367609.039999999</v>
      </c>
      <c r="D7" s="202">
        <f t="shared" si="1"/>
        <v>0.69636640975355657</v>
      </c>
      <c r="E7" s="201">
        <f t="shared" si="2"/>
        <v>0</v>
      </c>
      <c r="F7" s="202" t="e">
        <f t="shared" si="3"/>
        <v>#DIV/0!</v>
      </c>
      <c r="G7" s="203">
        <f>HO!D16</f>
        <v>0</v>
      </c>
      <c r="H7" s="173"/>
      <c r="I7" s="203">
        <f>HO!F16</f>
        <v>0</v>
      </c>
      <c r="J7" s="173"/>
      <c r="K7" s="201">
        <f t="shared" si="4"/>
        <v>52367609.039999999</v>
      </c>
      <c r="L7" s="202">
        <f t="shared" si="5"/>
        <v>0.69636640975355657</v>
      </c>
      <c r="M7" s="201">
        <f t="shared" si="6"/>
        <v>0</v>
      </c>
      <c r="N7" s="202" t="e">
        <f t="shared" si="7"/>
        <v>#DIV/0!</v>
      </c>
      <c r="O7" s="176">
        <f>'The Table'!D26</f>
        <v>12668923.869999999</v>
      </c>
      <c r="P7" s="204">
        <f t="shared" si="8"/>
        <v>0.61719204386181881</v>
      </c>
      <c r="Q7" s="176">
        <f>'The Table'!F26</f>
        <v>0</v>
      </c>
      <c r="R7" s="204" t="e">
        <f t="shared" si="9"/>
        <v>#DIV/0!</v>
      </c>
      <c r="S7" s="176">
        <f>Iktara!D26</f>
        <v>859748</v>
      </c>
      <c r="T7" s="204">
        <f t="shared" si="10"/>
        <v>1</v>
      </c>
      <c r="U7" s="176">
        <f>Iktara!F26</f>
        <v>0</v>
      </c>
      <c r="V7" s="204" t="e">
        <f t="shared" si="11"/>
        <v>#DIV/0!</v>
      </c>
      <c r="W7" s="176">
        <f>'Mg St Colaba'!D26</f>
        <v>10177814.49</v>
      </c>
      <c r="X7" s="204">
        <f t="shared" si="12"/>
        <v>0.792035462631136</v>
      </c>
      <c r="Y7" s="176">
        <f>'Mg St Colaba'!F26</f>
        <v>0</v>
      </c>
      <c r="Z7" s="204" t="e">
        <f t="shared" si="13"/>
        <v>#DIV/0!</v>
      </c>
      <c r="AA7" s="176">
        <f>'Mg St LP'!D26</f>
        <v>8201572.1500000004</v>
      </c>
      <c r="AB7" s="204">
        <f t="shared" si="14"/>
        <v>0.83414559047939008</v>
      </c>
      <c r="AC7" s="176">
        <f>'Mg St LP'!F26</f>
        <v>0</v>
      </c>
      <c r="AD7" s="204" t="e">
        <f t="shared" si="15"/>
        <v>#DIV/0!</v>
      </c>
      <c r="AE7" s="176">
        <f>'Mg St Bandra'!D26</f>
        <v>12642063.25</v>
      </c>
      <c r="AF7" s="204">
        <f t="shared" si="16"/>
        <v>0.72881043060752126</v>
      </c>
      <c r="AG7" s="176">
        <f>'Mg St Bandra'!F26</f>
        <v>0</v>
      </c>
      <c r="AH7" s="204" t="e">
        <f t="shared" si="17"/>
        <v>#DIV/0!</v>
      </c>
      <c r="AI7" s="176">
        <f>'MSK Events'!D25</f>
        <v>0</v>
      </c>
      <c r="AJ7" s="204" t="e">
        <f t="shared" si="18"/>
        <v>#DIV/0!</v>
      </c>
      <c r="AK7" s="176">
        <f>'MSK Events'!F25</f>
        <v>0</v>
      </c>
      <c r="AL7" s="173"/>
      <c r="AM7" s="176">
        <f>MSBC!D26</f>
        <v>510529.82</v>
      </c>
      <c r="AN7" s="204">
        <f t="shared" si="19"/>
        <v>1</v>
      </c>
      <c r="AO7" s="176">
        <f>MSBC!F26</f>
        <v>0</v>
      </c>
      <c r="AP7" s="204" t="e">
        <f t="shared" si="20"/>
        <v>#DIV/0!</v>
      </c>
      <c r="AQ7" s="176">
        <f>Kaspers!D26</f>
        <v>6037327.5</v>
      </c>
      <c r="AR7" s="204"/>
      <c r="AS7" s="176">
        <f>Kaspers!F26</f>
        <v>0</v>
      </c>
      <c r="AT7" s="173"/>
      <c r="AU7" s="176">
        <f>'MSBC Andheri'!D26</f>
        <v>334509.99</v>
      </c>
      <c r="AV7" s="173"/>
      <c r="AW7" s="176">
        <v>0</v>
      </c>
      <c r="AX7" s="173"/>
      <c r="AY7" s="176">
        <f>'MSBC Dahisar'!D24</f>
        <v>124708.89</v>
      </c>
      <c r="AZ7" s="173"/>
      <c r="BA7" s="176">
        <v>0</v>
      </c>
      <c r="BB7" s="173"/>
      <c r="BC7" s="176">
        <f>'MSBC Juhu  Goregoan'!D23</f>
        <v>174122.08000000002</v>
      </c>
      <c r="BD7" s="173"/>
      <c r="BE7" s="176">
        <v>0</v>
      </c>
      <c r="BF7" s="173"/>
      <c r="BG7" s="176">
        <f>'LOUD MOUTH'!D26</f>
        <v>636289</v>
      </c>
      <c r="BH7" s="173"/>
      <c r="BI7" s="176">
        <v>0</v>
      </c>
      <c r="BJ7" s="173"/>
    </row>
    <row r="8" spans="1:62" ht="15.75" customHeight="1" x14ac:dyDescent="0.2">
      <c r="B8" s="175" t="s">
        <v>24</v>
      </c>
      <c r="C8" s="201">
        <f t="shared" si="0"/>
        <v>4894605.05</v>
      </c>
      <c r="D8" s="202">
        <f t="shared" si="1"/>
        <v>6.5086770397072294E-2</v>
      </c>
      <c r="E8" s="201">
        <f t="shared" si="2"/>
        <v>0</v>
      </c>
      <c r="F8" s="202" t="e">
        <f t="shared" si="3"/>
        <v>#DIV/0!</v>
      </c>
      <c r="G8" s="203">
        <f>HO!D18</f>
        <v>0</v>
      </c>
      <c r="H8" s="173"/>
      <c r="I8" s="203">
        <f>HO!F18</f>
        <v>0</v>
      </c>
      <c r="J8" s="173"/>
      <c r="K8" s="201">
        <f t="shared" si="4"/>
        <v>4894605.05</v>
      </c>
      <c r="L8" s="202">
        <f t="shared" si="5"/>
        <v>6.5086770397072294E-2</v>
      </c>
      <c r="M8" s="201">
        <f t="shared" si="6"/>
        <v>0</v>
      </c>
      <c r="N8" s="202" t="e">
        <f t="shared" si="7"/>
        <v>#DIV/0!</v>
      </c>
      <c r="O8" s="176">
        <f>'The Table'!D28</f>
        <v>1719138</v>
      </c>
      <c r="P8" s="204">
        <f t="shared" si="8"/>
        <v>8.3751256759309861E-2</v>
      </c>
      <c r="Q8" s="176">
        <f>'The Table'!F28</f>
        <v>0</v>
      </c>
      <c r="R8" s="204" t="e">
        <f t="shared" si="9"/>
        <v>#DIV/0!</v>
      </c>
      <c r="S8" s="203">
        <f>Iktara!D28</f>
        <v>0</v>
      </c>
      <c r="T8" s="204">
        <f t="shared" si="10"/>
        <v>0</v>
      </c>
      <c r="U8" s="203">
        <f>Iktara!F28</f>
        <v>0</v>
      </c>
      <c r="V8" s="204" t="e">
        <f t="shared" si="11"/>
        <v>#DIV/0!</v>
      </c>
      <c r="W8" s="176">
        <f>'Mg St Colaba'!D28</f>
        <v>721626</v>
      </c>
      <c r="X8" s="204">
        <f t="shared" si="12"/>
        <v>5.6156789192633054E-2</v>
      </c>
      <c r="Y8" s="176">
        <f>'Mg St Colaba'!F28</f>
        <v>0</v>
      </c>
      <c r="Z8" s="204" t="e">
        <f t="shared" si="13"/>
        <v>#DIV/0!</v>
      </c>
      <c r="AA8" s="176">
        <f>'Mg St LP'!D28</f>
        <v>356972.05</v>
      </c>
      <c r="AB8" s="204">
        <f t="shared" si="14"/>
        <v>3.6306046692753703E-2</v>
      </c>
      <c r="AC8" s="176">
        <f>'Mg St LP'!F28</f>
        <v>0</v>
      </c>
      <c r="AD8" s="204" t="e">
        <f t="shared" si="15"/>
        <v>#DIV/0!</v>
      </c>
      <c r="AE8" s="176">
        <f>'Mg St Bandra'!D28</f>
        <v>1028709</v>
      </c>
      <c r="AF8" s="204">
        <f t="shared" si="16"/>
        <v>5.9304706394332635E-2</v>
      </c>
      <c r="AG8" s="176">
        <f>'Mg St Bandra'!F28</f>
        <v>0</v>
      </c>
      <c r="AH8" s="204" t="e">
        <f t="shared" si="17"/>
        <v>#DIV/0!</v>
      </c>
      <c r="AI8" s="203">
        <f>'MSK Events'!D27</f>
        <v>0</v>
      </c>
      <c r="AJ8" s="204" t="e">
        <f t="shared" si="18"/>
        <v>#DIV/0!</v>
      </c>
      <c r="AK8" s="203">
        <f>'MSK Events'!F27</f>
        <v>0</v>
      </c>
      <c r="AL8" s="173"/>
      <c r="AM8" s="176">
        <f>MSBC!D28</f>
        <v>0</v>
      </c>
      <c r="AN8" s="204">
        <f t="shared" si="19"/>
        <v>0</v>
      </c>
      <c r="AO8" s="203">
        <f>MSBC!F28</f>
        <v>0</v>
      </c>
      <c r="AP8" s="204" t="e">
        <f t="shared" si="20"/>
        <v>#DIV/0!</v>
      </c>
      <c r="AQ8" s="176">
        <f>Kaspers!D28</f>
        <v>1068160</v>
      </c>
      <c r="AR8" s="204"/>
      <c r="AS8" s="176">
        <f>Kaspers!F28</f>
        <v>0</v>
      </c>
      <c r="AT8" s="173"/>
      <c r="AU8" s="176">
        <v>0</v>
      </c>
      <c r="AV8" s="173"/>
      <c r="AW8" s="176">
        <v>0</v>
      </c>
      <c r="AX8" s="173"/>
      <c r="AY8" s="176">
        <v>0</v>
      </c>
      <c r="AZ8" s="173"/>
      <c r="BA8" s="176">
        <v>0</v>
      </c>
      <c r="BB8" s="173"/>
      <c r="BC8" s="176">
        <v>0</v>
      </c>
      <c r="BD8" s="173"/>
      <c r="BE8" s="176">
        <v>0</v>
      </c>
      <c r="BF8" s="173"/>
      <c r="BG8" s="176">
        <f>'LOUD MOUTH'!D28</f>
        <v>0</v>
      </c>
      <c r="BH8" s="173"/>
      <c r="BI8" s="176">
        <v>0</v>
      </c>
      <c r="BJ8" s="173"/>
    </row>
    <row r="9" spans="1:62" ht="15.75" customHeight="1" x14ac:dyDescent="0.2">
      <c r="B9" s="205" t="s">
        <v>164</v>
      </c>
      <c r="C9" s="206">
        <f t="shared" si="0"/>
        <v>0</v>
      </c>
      <c r="D9" s="207">
        <f t="shared" si="1"/>
        <v>0</v>
      </c>
      <c r="E9" s="206">
        <f t="shared" si="2"/>
        <v>0</v>
      </c>
      <c r="F9" s="207" t="e">
        <f t="shared" si="3"/>
        <v>#DIV/0!</v>
      </c>
      <c r="G9" s="208"/>
      <c r="H9" s="205"/>
      <c r="I9" s="208"/>
      <c r="J9" s="205"/>
      <c r="K9" s="206">
        <f t="shared" si="4"/>
        <v>0</v>
      </c>
      <c r="L9" s="207">
        <f t="shared" si="5"/>
        <v>0</v>
      </c>
      <c r="M9" s="201">
        <f t="shared" si="6"/>
        <v>0</v>
      </c>
      <c r="N9" s="207" t="e">
        <f t="shared" si="7"/>
        <v>#DIV/0!</v>
      </c>
      <c r="O9" s="209">
        <f>'The Table'!D22</f>
        <v>0</v>
      </c>
      <c r="P9" s="209"/>
      <c r="Q9" s="209">
        <f>'The Table'!F22</f>
        <v>0</v>
      </c>
      <c r="R9" s="209"/>
      <c r="S9" s="209">
        <v>0</v>
      </c>
      <c r="T9" s="209"/>
      <c r="U9" s="209">
        <v>0</v>
      </c>
      <c r="V9" s="209"/>
      <c r="W9" s="209">
        <f>'Mg St Colaba'!D22</f>
        <v>0</v>
      </c>
      <c r="X9" s="209"/>
      <c r="Y9" s="209">
        <f>'Mg St Colaba'!F22</f>
        <v>0</v>
      </c>
      <c r="Z9" s="209"/>
      <c r="AA9" s="209">
        <f>'Mg St LP'!D22</f>
        <v>0</v>
      </c>
      <c r="AB9" s="209"/>
      <c r="AC9" s="209">
        <f>'Mg St LP'!F22</f>
        <v>0</v>
      </c>
      <c r="AD9" s="209"/>
      <c r="AE9" s="209">
        <f>'Mg St Bandra'!D22</f>
        <v>0</v>
      </c>
      <c r="AF9" s="209"/>
      <c r="AG9" s="209">
        <f>'Mg St Bandra'!F22</f>
        <v>0</v>
      </c>
      <c r="AH9" s="209"/>
      <c r="AI9" s="209">
        <v>0</v>
      </c>
      <c r="AJ9" s="209"/>
      <c r="AK9" s="209">
        <v>0</v>
      </c>
      <c r="AL9" s="209"/>
      <c r="AM9" s="209">
        <v>0</v>
      </c>
      <c r="AN9" s="209"/>
      <c r="AO9" s="209">
        <v>0</v>
      </c>
      <c r="AP9" s="209"/>
      <c r="AQ9" s="209">
        <f>Kaspers!D22</f>
        <v>0</v>
      </c>
      <c r="AR9" s="209"/>
      <c r="AS9" s="209">
        <f>Kaspers!F22</f>
        <v>0</v>
      </c>
      <c r="AT9" s="209"/>
      <c r="AU9" s="209">
        <v>0</v>
      </c>
      <c r="AV9" s="209"/>
      <c r="AW9" s="209">
        <v>0</v>
      </c>
      <c r="AX9" s="209"/>
      <c r="AY9" s="209">
        <v>0</v>
      </c>
      <c r="AZ9" s="209"/>
      <c r="BA9" s="209">
        <v>0</v>
      </c>
      <c r="BB9" s="209"/>
      <c r="BC9" s="209">
        <v>0</v>
      </c>
      <c r="BD9" s="209"/>
      <c r="BE9" s="209">
        <v>0</v>
      </c>
      <c r="BF9" s="209"/>
      <c r="BG9" s="209"/>
      <c r="BH9" s="209"/>
      <c r="BI9" s="209">
        <v>0</v>
      </c>
      <c r="BJ9" s="209"/>
    </row>
    <row r="10" spans="1:62" ht="15.75" customHeight="1" x14ac:dyDescent="0.2">
      <c r="B10" s="211" t="s">
        <v>26</v>
      </c>
      <c r="C10" s="212">
        <f>SUM(C5:C9)</f>
        <v>75201227.839999989</v>
      </c>
      <c r="D10" s="213">
        <f t="shared" si="1"/>
        <v>1</v>
      </c>
      <c r="E10" s="212">
        <f>SUM(E5:E9)</f>
        <v>0</v>
      </c>
      <c r="F10" s="213" t="e">
        <f t="shared" si="3"/>
        <v>#DIV/0!</v>
      </c>
      <c r="G10" s="212">
        <f>SUM(G5:G9)</f>
        <v>0</v>
      </c>
      <c r="H10" s="211"/>
      <c r="I10" s="212">
        <f>SUM(I5:I9)</f>
        <v>0</v>
      </c>
      <c r="J10" s="211"/>
      <c r="K10" s="212">
        <f>SUM(K5:K9)</f>
        <v>75201227.839999989</v>
      </c>
      <c r="L10" s="213">
        <f t="shared" si="5"/>
        <v>1</v>
      </c>
      <c r="M10" s="212">
        <f>SUM(M5:M9)</f>
        <v>0</v>
      </c>
      <c r="N10" s="213" t="e">
        <f t="shared" si="7"/>
        <v>#DIV/0!</v>
      </c>
      <c r="O10" s="212">
        <f>SUM(O5:O9)</f>
        <v>20526712.869999997</v>
      </c>
      <c r="P10" s="211"/>
      <c r="Q10" s="212">
        <f>SUM(Q5:Q9)</f>
        <v>0</v>
      </c>
      <c r="R10" s="211"/>
      <c r="S10" s="212">
        <f>SUM(S5:S9)</f>
        <v>859748</v>
      </c>
      <c r="T10" s="211"/>
      <c r="U10" s="212">
        <f>SUM(U5:U9)</f>
        <v>0</v>
      </c>
      <c r="V10" s="211"/>
      <c r="W10" s="212">
        <f>SUM(W5:W9)</f>
        <v>12850200.49</v>
      </c>
      <c r="X10" s="211"/>
      <c r="Y10" s="212">
        <f>SUM(Y5:Y9)</f>
        <v>0</v>
      </c>
      <c r="Z10" s="211"/>
      <c r="AA10" s="212">
        <f>SUM(AA5:AA9)</f>
        <v>9832302.9500000011</v>
      </c>
      <c r="AB10" s="211"/>
      <c r="AC10" s="212">
        <f>SUM(AC5:AC9)</f>
        <v>0</v>
      </c>
      <c r="AD10" s="211"/>
      <c r="AE10" s="212">
        <f>SUM(AE5:AE9)</f>
        <v>17346161.25</v>
      </c>
      <c r="AF10" s="211"/>
      <c r="AG10" s="212">
        <f>SUM(AG5:AG9)</f>
        <v>0</v>
      </c>
      <c r="AH10" s="211"/>
      <c r="AI10" s="212">
        <f>SUM(AI5:AI9)</f>
        <v>0</v>
      </c>
      <c r="AJ10" s="211"/>
      <c r="AK10" s="212">
        <f>SUM(AK5:AK9)</f>
        <v>0</v>
      </c>
      <c r="AL10" s="211"/>
      <c r="AM10" s="212">
        <f>SUM(AM5:AM9)</f>
        <v>510529.82</v>
      </c>
      <c r="AN10" s="211"/>
      <c r="AO10" s="212">
        <f>SUM(AO5:AO9)</f>
        <v>0</v>
      </c>
      <c r="AP10" s="211"/>
      <c r="AQ10" s="212">
        <f>SUM(AQ5:AQ9)</f>
        <v>12005942.5</v>
      </c>
      <c r="AR10" s="211"/>
      <c r="AS10" s="212">
        <f>SUM(AS5:AS9)</f>
        <v>0</v>
      </c>
      <c r="AT10" s="211"/>
      <c r="AU10" s="212">
        <f>SUM(AU5:AU9)</f>
        <v>334509.99</v>
      </c>
      <c r="AV10" s="211"/>
      <c r="AW10" s="212">
        <f>SUM(AW5:AW9)</f>
        <v>0</v>
      </c>
      <c r="AX10" s="211"/>
      <c r="AY10" s="212">
        <f>SUM(AY5:AY9)</f>
        <v>124708.89</v>
      </c>
      <c r="AZ10" s="211"/>
      <c r="BA10" s="212">
        <f>SUM(BA5:BA9)</f>
        <v>0</v>
      </c>
      <c r="BB10" s="211"/>
      <c r="BC10" s="212">
        <f>SUM(BC5:BC9)</f>
        <v>174122.08000000002</v>
      </c>
      <c r="BD10" s="211"/>
      <c r="BE10" s="212">
        <f>SUM(BE5:BE9)</f>
        <v>0</v>
      </c>
      <c r="BF10" s="211"/>
      <c r="BG10" s="212">
        <f>SUM(BG5:BG9)</f>
        <v>636289</v>
      </c>
      <c r="BH10" s="211"/>
      <c r="BI10" s="212">
        <f>SUM(BI5:BI9)</f>
        <v>0</v>
      </c>
      <c r="BJ10" s="211"/>
    </row>
    <row r="11" spans="1:62" ht="15.75" customHeight="1" x14ac:dyDescent="0.2">
      <c r="B11" s="226"/>
      <c r="C11" s="227"/>
      <c r="D11" s="227"/>
      <c r="E11" s="227"/>
      <c r="F11" s="227"/>
      <c r="G11" s="228"/>
      <c r="H11" s="228"/>
      <c r="I11" s="229"/>
      <c r="J11" s="228"/>
      <c r="K11" s="226"/>
      <c r="L11" s="227"/>
      <c r="M11" s="230"/>
      <c r="N11" s="227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8"/>
      <c r="AG11" s="228"/>
      <c r="AH11" s="228"/>
      <c r="AI11" s="228"/>
      <c r="AJ11" s="228"/>
      <c r="AK11" s="228"/>
      <c r="AL11" s="228"/>
      <c r="AM11" s="228"/>
      <c r="AN11" s="228"/>
      <c r="AO11" s="228"/>
      <c r="AP11" s="228"/>
      <c r="AQ11" s="228"/>
      <c r="AR11" s="228"/>
      <c r="AS11" s="228"/>
      <c r="AT11" s="228"/>
      <c r="AU11" s="228">
        <v>0</v>
      </c>
      <c r="AV11" s="228"/>
      <c r="AW11" s="228">
        <v>0</v>
      </c>
      <c r="AX11" s="228"/>
      <c r="AY11" s="228">
        <v>0</v>
      </c>
      <c r="AZ11" s="228"/>
      <c r="BA11" s="228"/>
      <c r="BB11" s="228"/>
      <c r="BC11" s="228"/>
      <c r="BD11" s="228"/>
      <c r="BE11" s="228">
        <v>0</v>
      </c>
      <c r="BF11" s="228"/>
      <c r="BG11" s="228"/>
      <c r="BH11" s="228"/>
      <c r="BI11" s="228">
        <v>0</v>
      </c>
      <c r="BJ11" s="228"/>
    </row>
    <row r="12" spans="1:62" ht="15.75" customHeight="1" x14ac:dyDescent="0.2">
      <c r="B12" s="211" t="s">
        <v>28</v>
      </c>
      <c r="C12" s="231">
        <f t="shared" ref="C12:C14" si="21">G12+K12</f>
        <v>27530552.351275325</v>
      </c>
      <c r="D12" s="213">
        <f t="shared" ref="D12:D14" si="22">C12/C$10</f>
        <v>0.36609179320648882</v>
      </c>
      <c r="E12" s="231">
        <f t="shared" ref="E12:E13" si="23">I12+M12</f>
        <v>0</v>
      </c>
      <c r="F12" s="213" t="e">
        <f t="shared" ref="F12:F13" si="24">E12/E$10</f>
        <v>#DIV/0!</v>
      </c>
      <c r="G12" s="236">
        <f>HO!D32</f>
        <v>0</v>
      </c>
      <c r="H12" s="237"/>
      <c r="I12" s="238">
        <f>HO!F32</f>
        <v>0</v>
      </c>
      <c r="J12" s="237"/>
      <c r="K12" s="231">
        <f t="shared" ref="K12:K13" si="25">O12+S12+W12+AA12+AE12+AI12+AM12+AQ12+AU12+AY12+BC12+BG12</f>
        <v>27530552.351275325</v>
      </c>
      <c r="L12" s="213">
        <f t="shared" ref="L12:L13" si="26">K12/K$10</f>
        <v>0.36609179320648882</v>
      </c>
      <c r="M12" s="231">
        <f t="shared" ref="M12:M13" si="27">Q12+U12+Y12+AC12+AG12+AK12+AO12+AS12+AW12+BA12+BE12+BI12</f>
        <v>0</v>
      </c>
      <c r="N12" s="213" t="e">
        <f t="shared" ref="N12:N13" si="28">M12/M$10</f>
        <v>#DIV/0!</v>
      </c>
      <c r="O12" s="239">
        <f>'The Table'!D39</f>
        <v>7063497.6277529541</v>
      </c>
      <c r="P12" s="240">
        <f t="shared" ref="P12:P13" si="29">O12/O$10</f>
        <v>0.3441124583603607</v>
      </c>
      <c r="Q12" s="239">
        <f>'The Table'!F39</f>
        <v>0</v>
      </c>
      <c r="R12" s="240" t="e">
        <f t="shared" ref="R12:R13" si="30">Q12/Q$10</f>
        <v>#DIV/0!</v>
      </c>
      <c r="S12" s="239">
        <f>Iktara!D40</f>
        <v>286256.43043056026</v>
      </c>
      <c r="T12" s="240">
        <f t="shared" ref="T12:T13" si="31">S12/S$10</f>
        <v>0.3329538776834145</v>
      </c>
      <c r="U12" s="239">
        <f>Iktara!F40</f>
        <v>0</v>
      </c>
      <c r="V12" s="240" t="e">
        <f t="shared" ref="V12:V13" si="32">U12/U$10</f>
        <v>#DIV/0!</v>
      </c>
      <c r="W12" s="239">
        <f>'Mg St Colaba'!D47</f>
        <v>4857214.2228449192</v>
      </c>
      <c r="X12" s="240">
        <f t="shared" ref="X12:X13" si="33">W12/W$10</f>
        <v>0.37798742724868717</v>
      </c>
      <c r="Y12" s="239">
        <f>'Mg St Colaba'!F47</f>
        <v>0</v>
      </c>
      <c r="Z12" s="240" t="e">
        <f t="shared" ref="Z12:Z13" si="34">Y12/Y$10</f>
        <v>#DIV/0!</v>
      </c>
      <c r="AA12" s="239">
        <f>'Mg St LP'!D49</f>
        <v>3313857.1566823977</v>
      </c>
      <c r="AB12" s="240">
        <f t="shared" ref="AB12:AB13" si="35">AA12/AA$10</f>
        <v>0.33703773912727103</v>
      </c>
      <c r="AC12" s="239">
        <f>'Mg St LP'!F49</f>
        <v>0</v>
      </c>
      <c r="AD12" s="240" t="e">
        <f t="shared" ref="AD12:AD13" si="36">AC12/AC$10</f>
        <v>#DIV/0!</v>
      </c>
      <c r="AE12" s="239">
        <f>'Mg St Bandra'!D47</f>
        <v>5551998.2634064266</v>
      </c>
      <c r="AF12" s="240">
        <f t="shared" ref="AF12:AF13" si="37">AE12/AE$10</f>
        <v>0.32007071670721537</v>
      </c>
      <c r="AG12" s="239">
        <f>'Mg St Bandra'!F47</f>
        <v>0</v>
      </c>
      <c r="AH12" s="240" t="e">
        <f t="shared" ref="AH12:AH13" si="38">AG12/AG$10</f>
        <v>#DIV/0!</v>
      </c>
      <c r="AI12" s="236">
        <f>'MSK Events'!D46</f>
        <v>0</v>
      </c>
      <c r="AJ12" s="240" t="e">
        <f>AI12/AI$10</f>
        <v>#DIV/0!</v>
      </c>
      <c r="AK12" s="236">
        <f>'MSK Events'!F46</f>
        <v>0</v>
      </c>
      <c r="AL12" s="237"/>
      <c r="AM12" s="239">
        <f>MSBC!D47</f>
        <v>820110.34789473191</v>
      </c>
      <c r="AN12" s="237"/>
      <c r="AO12" s="236">
        <f>MSBC!F47</f>
        <v>0</v>
      </c>
      <c r="AP12" s="237"/>
      <c r="AQ12" s="239">
        <f>Kaspers!D47</f>
        <v>4723937.5923206592</v>
      </c>
      <c r="AR12" s="237"/>
      <c r="AS12" s="239">
        <f>Kaspers!F47</f>
        <v>0</v>
      </c>
      <c r="AT12" s="237"/>
      <c r="AU12" s="239">
        <f>'MSBC Andheri'!D46</f>
        <v>339659.3517784524</v>
      </c>
      <c r="AV12" s="237"/>
      <c r="AW12" s="239">
        <v>0</v>
      </c>
      <c r="AX12" s="237"/>
      <c r="AY12" s="239">
        <f>'MSBC Dahisar'!D44</f>
        <v>156893.61852827974</v>
      </c>
      <c r="AZ12" s="237"/>
      <c r="BA12" s="239">
        <v>0</v>
      </c>
      <c r="BB12" s="237"/>
      <c r="BC12" s="239">
        <f>'MSBC Juhu  Goregoan'!D36</f>
        <v>273784.0787537446</v>
      </c>
      <c r="BD12" s="237"/>
      <c r="BE12" s="239">
        <v>0</v>
      </c>
      <c r="BF12" s="237"/>
      <c r="BG12" s="239">
        <f>'LOUD MOUTH'!D39</f>
        <v>143343.66088220209</v>
      </c>
      <c r="BH12" s="237"/>
      <c r="BI12" s="239">
        <v>0</v>
      </c>
      <c r="BJ12" s="237"/>
    </row>
    <row r="13" spans="1:62" ht="15.75" customHeight="1" x14ac:dyDescent="0.2">
      <c r="B13" s="211" t="s">
        <v>29</v>
      </c>
      <c r="C13" s="231">
        <f t="shared" si="21"/>
        <v>903723.95000000007</v>
      </c>
      <c r="D13" s="213">
        <f t="shared" si="22"/>
        <v>1.2017409501913795E-2</v>
      </c>
      <c r="E13" s="231">
        <f t="shared" si="23"/>
        <v>0</v>
      </c>
      <c r="F13" s="213" t="e">
        <f t="shared" si="24"/>
        <v>#DIV/0!</v>
      </c>
      <c r="G13" s="236">
        <f>HO!D33</f>
        <v>0</v>
      </c>
      <c r="H13" s="237"/>
      <c r="I13" s="238">
        <f>HO!F33</f>
        <v>0</v>
      </c>
      <c r="J13" s="237"/>
      <c r="K13" s="231">
        <f t="shared" si="25"/>
        <v>903723.95000000007</v>
      </c>
      <c r="L13" s="213">
        <f t="shared" si="26"/>
        <v>1.2017409501913795E-2</v>
      </c>
      <c r="M13" s="231">
        <f t="shared" si="27"/>
        <v>0</v>
      </c>
      <c r="N13" s="213" t="e">
        <f t="shared" si="28"/>
        <v>#DIV/0!</v>
      </c>
      <c r="O13" s="239">
        <f>'The Table'!D40</f>
        <v>47598.75</v>
      </c>
      <c r="P13" s="240">
        <f t="shared" si="29"/>
        <v>2.3188686031442502E-3</v>
      </c>
      <c r="Q13" s="239">
        <f>'The Table'!F40</f>
        <v>0</v>
      </c>
      <c r="R13" s="240" t="e">
        <f t="shared" si="30"/>
        <v>#DIV/0!</v>
      </c>
      <c r="S13" s="239">
        <f>Iktara!D41</f>
        <v>43654</v>
      </c>
      <c r="T13" s="240">
        <f t="shared" si="31"/>
        <v>5.0775343472738522E-2</v>
      </c>
      <c r="U13" s="239">
        <f>Iktara!F41</f>
        <v>0</v>
      </c>
      <c r="V13" s="240" t="e">
        <f t="shared" si="32"/>
        <v>#DIV/0!</v>
      </c>
      <c r="W13" s="239">
        <f>'Mg St Colaba'!D48</f>
        <v>187031.4</v>
      </c>
      <c r="X13" s="240">
        <f t="shared" si="33"/>
        <v>1.4554745674633439E-2</v>
      </c>
      <c r="Y13" s="239">
        <f>'Mg St Colaba'!F48</f>
        <v>0</v>
      </c>
      <c r="Z13" s="240" t="e">
        <f t="shared" si="34"/>
        <v>#DIV/0!</v>
      </c>
      <c r="AA13" s="239">
        <f>'Mg St LP'!D50</f>
        <v>213063</v>
      </c>
      <c r="AB13" s="240">
        <f t="shared" si="35"/>
        <v>2.1669694382230154E-2</v>
      </c>
      <c r="AC13" s="239">
        <f>'Mg St LP'!F50</f>
        <v>0</v>
      </c>
      <c r="AD13" s="240" t="e">
        <f t="shared" si="36"/>
        <v>#DIV/0!</v>
      </c>
      <c r="AE13" s="239">
        <f>'Mg St Bandra'!D48</f>
        <v>202872.5</v>
      </c>
      <c r="AF13" s="240">
        <f t="shared" si="37"/>
        <v>1.1695527158782753E-2</v>
      </c>
      <c r="AG13" s="239">
        <f>'Mg St Bandra'!F48</f>
        <v>0</v>
      </c>
      <c r="AH13" s="240" t="e">
        <f t="shared" si="38"/>
        <v>#DIV/0!</v>
      </c>
      <c r="AI13" s="236">
        <f>'MSK Events'!D47</f>
        <v>0</v>
      </c>
      <c r="AJ13" s="237"/>
      <c r="AK13" s="236">
        <f>'MSK Events'!F47</f>
        <v>0</v>
      </c>
      <c r="AL13" s="237"/>
      <c r="AM13" s="239">
        <f>MSBC!D48</f>
        <v>93423.5</v>
      </c>
      <c r="AN13" s="237"/>
      <c r="AO13" s="236">
        <f>MSBC!F48</f>
        <v>0</v>
      </c>
      <c r="AP13" s="237"/>
      <c r="AQ13" s="239">
        <f>Kaspers!D48</f>
        <v>57613.8</v>
      </c>
      <c r="AR13" s="237"/>
      <c r="AS13" s="239">
        <f>Kaspers!F48</f>
        <v>0</v>
      </c>
      <c r="AT13" s="237"/>
      <c r="AU13" s="239">
        <f>'MSBC Andheri'!D47</f>
        <v>2004</v>
      </c>
      <c r="AV13" s="237"/>
      <c r="AW13" s="239">
        <v>0</v>
      </c>
      <c r="AX13" s="237"/>
      <c r="AY13" s="239">
        <f>'MSBC Dahisar'!D45</f>
        <v>8754</v>
      </c>
      <c r="AZ13" s="237"/>
      <c r="BA13" s="239">
        <v>0</v>
      </c>
      <c r="BB13" s="237"/>
      <c r="BC13" s="239">
        <f>'MSBC Juhu  Goregoan'!D37</f>
        <v>2354</v>
      </c>
      <c r="BD13" s="237"/>
      <c r="BE13" s="239">
        <v>0</v>
      </c>
      <c r="BF13" s="237"/>
      <c r="BG13" s="239">
        <f>'LOUD MOUTH'!D40</f>
        <v>45355</v>
      </c>
      <c r="BH13" s="237"/>
      <c r="BI13" s="239">
        <v>0</v>
      </c>
      <c r="BJ13" s="237"/>
    </row>
    <row r="14" spans="1:62" ht="15.75" customHeight="1" x14ac:dyDescent="0.2">
      <c r="B14" s="211" t="s">
        <v>165</v>
      </c>
      <c r="C14" s="241">
        <f t="shared" si="21"/>
        <v>0</v>
      </c>
      <c r="D14" s="242">
        <f t="shared" si="22"/>
        <v>0</v>
      </c>
      <c r="E14" s="241"/>
      <c r="F14" s="242"/>
      <c r="G14" s="211"/>
      <c r="H14" s="211"/>
      <c r="I14" s="211"/>
      <c r="J14" s="211"/>
      <c r="K14" s="241"/>
      <c r="L14" s="242"/>
      <c r="M14" s="231"/>
      <c r="N14" s="242"/>
      <c r="O14" s="239"/>
      <c r="P14" s="240"/>
      <c r="Q14" s="239"/>
      <c r="R14" s="240"/>
      <c r="S14" s="239"/>
      <c r="T14" s="240"/>
      <c r="U14" s="237"/>
      <c r="V14" s="240"/>
      <c r="W14" s="239"/>
      <c r="X14" s="240"/>
      <c r="Y14" s="237"/>
      <c r="Z14" s="240"/>
      <c r="AA14" s="239"/>
      <c r="AB14" s="240"/>
      <c r="AC14" s="239"/>
      <c r="AD14" s="240"/>
      <c r="AE14" s="239"/>
      <c r="AF14" s="240"/>
      <c r="AG14" s="237"/>
      <c r="AH14" s="240"/>
      <c r="AI14" s="237"/>
      <c r="AJ14" s="237"/>
      <c r="AK14" s="237"/>
      <c r="AL14" s="237"/>
      <c r="AM14" s="239"/>
      <c r="AN14" s="237"/>
      <c r="AO14" s="237"/>
      <c r="AP14" s="237"/>
      <c r="AQ14" s="243"/>
      <c r="AR14" s="237"/>
      <c r="AS14" s="239"/>
      <c r="AT14" s="237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</row>
    <row r="15" spans="1:62" ht="15.75" customHeight="1" x14ac:dyDescent="0.2">
      <c r="B15" s="211" t="s">
        <v>30</v>
      </c>
      <c r="C15" s="212">
        <f t="shared" ref="C15:AM15" si="39">SUM(C12:C14)</f>
        <v>28434276.301275324</v>
      </c>
      <c r="D15" s="224">
        <f t="shared" si="39"/>
        <v>0.37810920270840265</v>
      </c>
      <c r="E15" s="212">
        <f t="shared" si="39"/>
        <v>0</v>
      </c>
      <c r="F15" s="224" t="e">
        <f t="shared" si="39"/>
        <v>#DIV/0!</v>
      </c>
      <c r="G15" s="225">
        <f t="shared" si="39"/>
        <v>0</v>
      </c>
      <c r="H15" s="211">
        <f t="shared" si="39"/>
        <v>0</v>
      </c>
      <c r="I15" s="212">
        <f t="shared" si="39"/>
        <v>0</v>
      </c>
      <c r="J15" s="211">
        <f t="shared" si="39"/>
        <v>0</v>
      </c>
      <c r="K15" s="212">
        <f t="shared" si="39"/>
        <v>28434276.301275324</v>
      </c>
      <c r="L15" s="224">
        <f t="shared" si="39"/>
        <v>0.37810920270840265</v>
      </c>
      <c r="M15" s="212">
        <f t="shared" si="39"/>
        <v>0</v>
      </c>
      <c r="N15" s="224" t="e">
        <f t="shared" si="39"/>
        <v>#DIV/0!</v>
      </c>
      <c r="O15" s="212">
        <f t="shared" si="39"/>
        <v>7111096.3777529541</v>
      </c>
      <c r="P15" s="224">
        <f t="shared" si="39"/>
        <v>0.34643132696350493</v>
      </c>
      <c r="Q15" s="212">
        <f t="shared" si="39"/>
        <v>0</v>
      </c>
      <c r="R15" s="224" t="e">
        <f t="shared" si="39"/>
        <v>#DIV/0!</v>
      </c>
      <c r="S15" s="212">
        <f t="shared" si="39"/>
        <v>329910.43043056026</v>
      </c>
      <c r="T15" s="224">
        <f t="shared" si="39"/>
        <v>0.38372922115615304</v>
      </c>
      <c r="U15" s="212">
        <f t="shared" si="39"/>
        <v>0</v>
      </c>
      <c r="V15" s="224" t="e">
        <f t="shared" si="39"/>
        <v>#DIV/0!</v>
      </c>
      <c r="W15" s="212">
        <f t="shared" si="39"/>
        <v>5044245.6228449196</v>
      </c>
      <c r="X15" s="224">
        <f t="shared" si="39"/>
        <v>0.39254217292332061</v>
      </c>
      <c r="Y15" s="212">
        <f t="shared" si="39"/>
        <v>0</v>
      </c>
      <c r="Z15" s="224" t="e">
        <f t="shared" si="39"/>
        <v>#DIV/0!</v>
      </c>
      <c r="AA15" s="212">
        <f t="shared" si="39"/>
        <v>3526920.1566823977</v>
      </c>
      <c r="AB15" s="224">
        <f t="shared" si="39"/>
        <v>0.35870743350950118</v>
      </c>
      <c r="AC15" s="212">
        <f t="shared" si="39"/>
        <v>0</v>
      </c>
      <c r="AD15" s="224" t="e">
        <f t="shared" si="39"/>
        <v>#DIV/0!</v>
      </c>
      <c r="AE15" s="212">
        <f t="shared" si="39"/>
        <v>5754870.7634064266</v>
      </c>
      <c r="AF15" s="224">
        <f t="shared" si="39"/>
        <v>0.33176624386599812</v>
      </c>
      <c r="AG15" s="212">
        <f t="shared" si="39"/>
        <v>0</v>
      </c>
      <c r="AH15" s="224" t="e">
        <f t="shared" si="39"/>
        <v>#DIV/0!</v>
      </c>
      <c r="AI15" s="225">
        <f t="shared" si="39"/>
        <v>0</v>
      </c>
      <c r="AJ15" s="224" t="e">
        <f t="shared" si="39"/>
        <v>#DIV/0!</v>
      </c>
      <c r="AK15" s="225">
        <f t="shared" si="39"/>
        <v>0</v>
      </c>
      <c r="AL15" s="211">
        <f t="shared" si="39"/>
        <v>0</v>
      </c>
      <c r="AM15" s="212">
        <f t="shared" si="39"/>
        <v>913533.84789473191</v>
      </c>
      <c r="AN15" s="211"/>
      <c r="AO15" s="225">
        <f>SUM(AO12:AO14)</f>
        <v>0</v>
      </c>
      <c r="AP15" s="211"/>
      <c r="AQ15" s="212">
        <f>SUM(AQ12:AQ13)</f>
        <v>4781551.392320659</v>
      </c>
      <c r="AR15" s="211"/>
      <c r="AS15" s="212">
        <f>SUM(AS12:AS14)</f>
        <v>0</v>
      </c>
      <c r="AT15" s="211"/>
      <c r="AU15" s="212">
        <f t="shared" ref="AU15:BJ15" si="40">SUM(AU12:AU14)</f>
        <v>341663.3517784524</v>
      </c>
      <c r="AV15" s="212">
        <f t="shared" si="40"/>
        <v>0</v>
      </c>
      <c r="AW15" s="212">
        <f t="shared" si="40"/>
        <v>0</v>
      </c>
      <c r="AX15" s="212">
        <f t="shared" si="40"/>
        <v>0</v>
      </c>
      <c r="AY15" s="212">
        <f t="shared" si="40"/>
        <v>165647.61852827974</v>
      </c>
      <c r="AZ15" s="212">
        <f t="shared" si="40"/>
        <v>0</v>
      </c>
      <c r="BA15" s="212">
        <f t="shared" si="40"/>
        <v>0</v>
      </c>
      <c r="BB15" s="212">
        <f t="shared" si="40"/>
        <v>0</v>
      </c>
      <c r="BC15" s="212">
        <f t="shared" si="40"/>
        <v>276138.0787537446</v>
      </c>
      <c r="BD15" s="212">
        <f t="shared" si="40"/>
        <v>0</v>
      </c>
      <c r="BE15" s="212">
        <f t="shared" si="40"/>
        <v>0</v>
      </c>
      <c r="BF15" s="212">
        <f t="shared" si="40"/>
        <v>0</v>
      </c>
      <c r="BG15" s="212">
        <f t="shared" si="40"/>
        <v>188698.66088220209</v>
      </c>
      <c r="BH15" s="212">
        <f t="shared" si="40"/>
        <v>0</v>
      </c>
      <c r="BI15" s="212">
        <f t="shared" si="40"/>
        <v>0</v>
      </c>
      <c r="BJ15" s="212">
        <f t="shared" si="40"/>
        <v>0</v>
      </c>
    </row>
    <row r="16" spans="1:62" ht="15.75" customHeight="1" x14ac:dyDescent="0.2">
      <c r="B16" s="226"/>
      <c r="C16" s="227"/>
      <c r="D16" s="227"/>
      <c r="E16" s="227"/>
      <c r="F16" s="227"/>
      <c r="G16" s="228"/>
      <c r="H16" s="228"/>
      <c r="I16" s="229"/>
      <c r="J16" s="228"/>
      <c r="K16" s="227"/>
      <c r="L16" s="227"/>
      <c r="M16" s="230"/>
      <c r="N16" s="227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/>
      <c r="AR16" s="228"/>
      <c r="AS16" s="228"/>
      <c r="AT16" s="228"/>
      <c r="AU16" s="228">
        <v>0</v>
      </c>
      <c r="AV16" s="228"/>
      <c r="AW16" s="228">
        <v>0</v>
      </c>
      <c r="AX16" s="228"/>
      <c r="AY16" s="228">
        <v>0</v>
      </c>
      <c r="AZ16" s="228"/>
      <c r="BA16" s="228">
        <v>0</v>
      </c>
      <c r="BB16" s="228"/>
      <c r="BC16" s="228">
        <v>0</v>
      </c>
      <c r="BD16" s="228"/>
      <c r="BE16" s="228">
        <v>0</v>
      </c>
      <c r="BF16" s="228"/>
      <c r="BG16" s="228">
        <v>0</v>
      </c>
      <c r="BH16" s="228"/>
      <c r="BI16" s="228">
        <v>0</v>
      </c>
      <c r="BJ16" s="228"/>
    </row>
    <row r="17" spans="2:62" ht="15.75" customHeight="1" x14ac:dyDescent="0.2">
      <c r="B17" s="211" t="s">
        <v>32</v>
      </c>
      <c r="C17" s="212">
        <f>C10-C15</f>
        <v>46766951.538724661</v>
      </c>
      <c r="D17" s="213">
        <f>C17/C$10</f>
        <v>0.62189079729159735</v>
      </c>
      <c r="E17" s="231">
        <f>E10-E15</f>
        <v>0</v>
      </c>
      <c r="F17" s="213" t="e">
        <f>E17/E$10</f>
        <v>#DIV/0!</v>
      </c>
      <c r="G17" s="231">
        <f>G10-G15</f>
        <v>0</v>
      </c>
      <c r="H17" s="232"/>
      <c r="I17" s="231">
        <f>I10-I15</f>
        <v>0</v>
      </c>
      <c r="J17" s="232"/>
      <c r="K17" s="212">
        <f>K10-K15</f>
        <v>46766951.538724661</v>
      </c>
      <c r="L17" s="213">
        <f>K17/K$10</f>
        <v>0.62189079729159735</v>
      </c>
      <c r="M17" s="231">
        <f>Q17+U17+Y17+AC17+AG17+AK17+AO17+AS17+AW17+BA17+BE17+BI17</f>
        <v>0</v>
      </c>
      <c r="N17" s="213" t="e">
        <f>M17/M$10</f>
        <v>#DIV/0!</v>
      </c>
      <c r="O17" s="231">
        <f>O10-O15</f>
        <v>13415616.492247043</v>
      </c>
      <c r="P17" s="213">
        <f>O17/O$10</f>
        <v>0.65356867303649502</v>
      </c>
      <c r="Q17" s="231">
        <f>Q10-Q15</f>
        <v>0</v>
      </c>
      <c r="R17" s="213" t="e">
        <f>Q17/Q$10</f>
        <v>#DIV/0!</v>
      </c>
      <c r="S17" s="231">
        <f>S10-S15</f>
        <v>529837.56956943974</v>
      </c>
      <c r="T17" s="213">
        <f>S17/S$10</f>
        <v>0.61627077884384696</v>
      </c>
      <c r="U17" s="231">
        <f>U10-U15</f>
        <v>0</v>
      </c>
      <c r="V17" s="213" t="e">
        <f>U17/U$10</f>
        <v>#DIV/0!</v>
      </c>
      <c r="W17" s="231">
        <f>W10-W15</f>
        <v>7805954.8671550807</v>
      </c>
      <c r="X17" s="213">
        <f>W17/W$10</f>
        <v>0.60745782707667939</v>
      </c>
      <c r="Y17" s="231">
        <f>Y10-Y15</f>
        <v>0</v>
      </c>
      <c r="Z17" s="213" t="e">
        <f>Y17/Y$10</f>
        <v>#DIV/0!</v>
      </c>
      <c r="AA17" s="231">
        <f>AA10-AA15</f>
        <v>6305382.7933176029</v>
      </c>
      <c r="AB17" s="213">
        <f>AA17/AA$10</f>
        <v>0.64129256649049882</v>
      </c>
      <c r="AC17" s="231">
        <f>AC10-AC15</f>
        <v>0</v>
      </c>
      <c r="AD17" s="213" t="e">
        <f>AC17/AC$10</f>
        <v>#DIV/0!</v>
      </c>
      <c r="AE17" s="231">
        <f>AE10-AE15</f>
        <v>11591290.486593574</v>
      </c>
      <c r="AF17" s="213">
        <f>AE17/AE$10</f>
        <v>0.66823375613400193</v>
      </c>
      <c r="AG17" s="231">
        <f>AG10-AG15</f>
        <v>0</v>
      </c>
      <c r="AH17" s="213" t="e">
        <f>AG17/AG$10</f>
        <v>#DIV/0!</v>
      </c>
      <c r="AI17" s="231">
        <f>AI10-AI15</f>
        <v>0</v>
      </c>
      <c r="AJ17" s="213" t="e">
        <f>AI17/AI$10</f>
        <v>#DIV/0!</v>
      </c>
      <c r="AK17" s="231">
        <f>AK10-AK15</f>
        <v>0</v>
      </c>
      <c r="AL17" s="232"/>
      <c r="AM17" s="231">
        <f>AM10-AM15</f>
        <v>-403004.0278947319</v>
      </c>
      <c r="AN17" s="232"/>
      <c r="AO17" s="231">
        <f>AO10-AO15</f>
        <v>0</v>
      </c>
      <c r="AP17" s="232"/>
      <c r="AQ17" s="231">
        <f>AQ10-AQ15</f>
        <v>7224391.107679341</v>
      </c>
      <c r="AR17" s="232"/>
      <c r="AS17" s="231">
        <f>AS10-AS15</f>
        <v>0</v>
      </c>
      <c r="AT17" s="232"/>
      <c r="AU17" s="231">
        <f t="shared" ref="AU17:BJ17" si="41">AU10-AU15</f>
        <v>-7153.3617784524104</v>
      </c>
      <c r="AV17" s="231">
        <f t="shared" si="41"/>
        <v>0</v>
      </c>
      <c r="AW17" s="231">
        <f t="shared" si="41"/>
        <v>0</v>
      </c>
      <c r="AX17" s="231">
        <f t="shared" si="41"/>
        <v>0</v>
      </c>
      <c r="AY17" s="231">
        <f t="shared" si="41"/>
        <v>-40938.728528279738</v>
      </c>
      <c r="AZ17" s="231">
        <f t="shared" si="41"/>
        <v>0</v>
      </c>
      <c r="BA17" s="231">
        <f t="shared" si="41"/>
        <v>0</v>
      </c>
      <c r="BB17" s="231">
        <f t="shared" si="41"/>
        <v>0</v>
      </c>
      <c r="BC17" s="231">
        <f t="shared" si="41"/>
        <v>-102015.99875374458</v>
      </c>
      <c r="BD17" s="231">
        <f t="shared" si="41"/>
        <v>0</v>
      </c>
      <c r="BE17" s="231">
        <f t="shared" si="41"/>
        <v>0</v>
      </c>
      <c r="BF17" s="231">
        <f t="shared" si="41"/>
        <v>0</v>
      </c>
      <c r="BG17" s="231">
        <f t="shared" si="41"/>
        <v>447590.33911779791</v>
      </c>
      <c r="BH17" s="231">
        <f t="shared" si="41"/>
        <v>0</v>
      </c>
      <c r="BI17" s="231">
        <f t="shared" si="41"/>
        <v>0</v>
      </c>
      <c r="BJ17" s="231">
        <f t="shared" si="41"/>
        <v>0</v>
      </c>
    </row>
    <row r="18" spans="2:62" ht="15.75" customHeight="1" x14ac:dyDescent="0.2">
      <c r="B18" s="214"/>
      <c r="C18" s="215"/>
      <c r="D18" s="215"/>
      <c r="E18" s="215"/>
      <c r="F18" s="215"/>
      <c r="G18" s="216"/>
      <c r="H18" s="216"/>
      <c r="I18" s="217"/>
      <c r="J18" s="216"/>
      <c r="K18" s="215"/>
      <c r="L18" s="215"/>
      <c r="M18" s="218"/>
      <c r="N18" s="215"/>
      <c r="O18" s="217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7"/>
      <c r="AN18" s="216"/>
      <c r="AO18" s="216"/>
      <c r="AP18" s="216"/>
      <c r="AQ18" s="216"/>
      <c r="AR18" s="216"/>
      <c r="AS18" s="216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6"/>
      <c r="BH18" s="216"/>
      <c r="BI18" s="216"/>
      <c r="BJ18" s="216"/>
    </row>
    <row r="19" spans="2:62" ht="15.75" customHeight="1" x14ac:dyDescent="0.2">
      <c r="B19" s="175" t="s">
        <v>33</v>
      </c>
      <c r="C19" s="201">
        <f t="shared" ref="C19:C28" si="42">G19+K19</f>
        <v>2063958.5700000005</v>
      </c>
      <c r="D19" s="202">
        <f t="shared" ref="D19:D29" si="43">C19/C$10</f>
        <v>2.7445809453953734E-2</v>
      </c>
      <c r="E19" s="201">
        <f t="shared" ref="E19:E29" si="44">I19+M19</f>
        <v>0</v>
      </c>
      <c r="F19" s="202" t="e">
        <f t="shared" ref="F19:F29" si="45">E19/E$10</f>
        <v>#DIV/0!</v>
      </c>
      <c r="G19" s="176">
        <f>HO!D43</f>
        <v>106727.51333333332</v>
      </c>
      <c r="H19" s="173"/>
      <c r="I19" s="176">
        <f>HO!F43</f>
        <v>0</v>
      </c>
      <c r="J19" s="173"/>
      <c r="K19" s="201">
        <f t="shared" ref="K19:K28" si="46">O19+S19+W19+AA19+AE19+AI19+AM19+AQ19+AU19+AY19+BC19+BG19</f>
        <v>1957231.0566666671</v>
      </c>
      <c r="L19" s="202">
        <f t="shared" ref="L19:L29" si="47">K19/K$10</f>
        <v>2.6026583779069683E-2</v>
      </c>
      <c r="M19" s="201">
        <f t="shared" ref="M19:M28" si="48">Q19+U19+Y19+AC19+AG19+AK19+AO19+AS19+AW19+BA19+BE19+BI19</f>
        <v>0</v>
      </c>
      <c r="N19" s="202" t="e">
        <f t="shared" ref="N19:N29" si="49">M19/M$10</f>
        <v>#DIV/0!</v>
      </c>
      <c r="O19" s="176">
        <f>'The Table'!D51</f>
        <v>528195.62333333341</v>
      </c>
      <c r="P19" s="204">
        <f t="shared" ref="P19:P29" si="50">O19/O$10</f>
        <v>2.5732109504259533E-2</v>
      </c>
      <c r="Q19" s="176">
        <f>'The Table'!F51</f>
        <v>0</v>
      </c>
      <c r="R19" s="204" t="e">
        <f t="shared" ref="R19:R29" si="51">Q19/Q$10</f>
        <v>#DIV/0!</v>
      </c>
      <c r="S19" s="176">
        <f>Iktara!D52</f>
        <v>47889.289999999994</v>
      </c>
      <c r="T19" s="204">
        <f t="shared" ref="T19:T29" si="52">S19/S$10</f>
        <v>5.5701542777651117E-2</v>
      </c>
      <c r="U19" s="176">
        <f>Iktara!F52</f>
        <v>0</v>
      </c>
      <c r="V19" s="204" t="e">
        <f t="shared" ref="V19:V29" si="53">U19/U$10</f>
        <v>#DIV/0!</v>
      </c>
      <c r="W19" s="176">
        <f>'Mg St Colaba'!D60</f>
        <v>393268.87333333335</v>
      </c>
      <c r="X19" s="204">
        <f t="shared" ref="X19:X29" si="54">W19/W$10</f>
        <v>3.0604104086887546E-2</v>
      </c>
      <c r="Y19" s="176">
        <f>'Mg St Colaba'!F60</f>
        <v>0</v>
      </c>
      <c r="Z19" s="204" t="e">
        <f t="shared" ref="Z19:Z29" si="55">Y19/Y$10</f>
        <v>#DIV/0!</v>
      </c>
      <c r="AA19" s="176">
        <f>'Mg St LP'!D61</f>
        <v>229487.82333333336</v>
      </c>
      <c r="AB19" s="204">
        <f t="shared" ref="AB19:AB29" si="56">AA19/AA$10</f>
        <v>2.3340190441684196E-2</v>
      </c>
      <c r="AC19" s="176">
        <f>'Mg St LP'!F61</f>
        <v>0</v>
      </c>
      <c r="AD19" s="204" t="e">
        <f t="shared" ref="AD19:AD29" si="57">AC19/AC$10</f>
        <v>#DIV/0!</v>
      </c>
      <c r="AE19" s="176">
        <f>'Mg St Bandra'!D58</f>
        <v>439199.45333333331</v>
      </c>
      <c r="AF19" s="204">
        <f t="shared" ref="AF19:AF29" si="58">AE19/AE$10</f>
        <v>2.5319691602275016E-2</v>
      </c>
      <c r="AG19" s="176">
        <f>'Mg St Bandra'!F58</f>
        <v>0</v>
      </c>
      <c r="AH19" s="204" t="e">
        <f t="shared" ref="AH19:AH29" si="59">AG19/AG$10</f>
        <v>#DIV/0!</v>
      </c>
      <c r="AI19" s="176">
        <f>'MSK Events'!D58</f>
        <v>11280</v>
      </c>
      <c r="AJ19" s="204" t="e">
        <f t="shared" ref="AJ19:AJ28" si="60">AI19/AI$10</f>
        <v>#DIV/0!</v>
      </c>
      <c r="AK19" s="176">
        <f>'MSK Events'!F58</f>
        <v>0</v>
      </c>
      <c r="AL19" s="204" t="e">
        <f t="shared" ref="AL19:AL28" si="61">AK19/AK$10</f>
        <v>#DIV/0!</v>
      </c>
      <c r="AM19" s="176">
        <f>MSBC!D59</f>
        <v>28683.86</v>
      </c>
      <c r="AN19" s="204">
        <f t="shared" ref="AN19:AN29" si="62">AM19/AM$10</f>
        <v>5.6184494766632828E-2</v>
      </c>
      <c r="AO19" s="176">
        <f>MSBC!F59</f>
        <v>0</v>
      </c>
      <c r="AP19" s="204" t="e">
        <f t="shared" ref="AP19:AP29" si="63">AO19/AO$10</f>
        <v>#DIV/0!</v>
      </c>
      <c r="AQ19" s="176">
        <f>Kaspers!D62</f>
        <v>277726.1333333333</v>
      </c>
      <c r="AR19" s="173"/>
      <c r="AS19" s="176">
        <f>Kaspers!F62</f>
        <v>0</v>
      </c>
      <c r="AT19" s="173"/>
      <c r="AU19" s="176">
        <f>'MSBC Andheri'!D58</f>
        <v>0</v>
      </c>
      <c r="AV19" s="173"/>
      <c r="AW19" s="176">
        <f>'MSBC Andheri'!F58</f>
        <v>0</v>
      </c>
      <c r="AX19" s="173"/>
      <c r="AY19" s="176">
        <f>'MSBC Dahisar'!D55</f>
        <v>0</v>
      </c>
      <c r="AZ19" s="173"/>
      <c r="BA19" s="176">
        <f>'MSBC Dahisar'!F55</f>
        <v>0</v>
      </c>
      <c r="BB19" s="173"/>
      <c r="BC19" s="176">
        <f>'MSBC Juhu  Goregoan'!D62</f>
        <v>0</v>
      </c>
      <c r="BD19" s="173"/>
      <c r="BE19" s="176">
        <f>'MSBC Juhu  Goregoan'!F62</f>
        <v>0</v>
      </c>
      <c r="BF19" s="173"/>
      <c r="BG19" s="176">
        <f>'LOUD MOUTH'!D51</f>
        <v>1500</v>
      </c>
      <c r="BH19" s="173"/>
      <c r="BI19" s="176">
        <f>'LOUD MOUTH'!F51</f>
        <v>0</v>
      </c>
      <c r="BJ19" s="173"/>
    </row>
    <row r="20" spans="2:62" ht="15.75" customHeight="1" x14ac:dyDescent="0.2">
      <c r="B20" s="175" t="s">
        <v>34</v>
      </c>
      <c r="C20" s="201">
        <f t="shared" si="42"/>
        <v>842478.4</v>
      </c>
      <c r="D20" s="202">
        <f t="shared" si="43"/>
        <v>1.1202987294203203E-2</v>
      </c>
      <c r="E20" s="201">
        <f t="shared" si="44"/>
        <v>88100</v>
      </c>
      <c r="F20" s="202" t="e">
        <f t="shared" si="45"/>
        <v>#DIV/0!</v>
      </c>
      <c r="G20" s="176">
        <f>HO!D52</f>
        <v>53100</v>
      </c>
      <c r="H20" s="173"/>
      <c r="I20" s="176">
        <f>HO!F52</f>
        <v>53100</v>
      </c>
      <c r="J20" s="173"/>
      <c r="K20" s="201">
        <f t="shared" si="46"/>
        <v>789378.4</v>
      </c>
      <c r="L20" s="202">
        <f t="shared" si="47"/>
        <v>1.0496881801976707E-2</v>
      </c>
      <c r="M20" s="201">
        <f t="shared" si="48"/>
        <v>35000</v>
      </c>
      <c r="N20" s="202" t="e">
        <f t="shared" si="49"/>
        <v>#DIV/0!</v>
      </c>
      <c r="O20" s="176">
        <f>'The Table'!D60</f>
        <v>72049</v>
      </c>
      <c r="P20" s="204">
        <f t="shared" si="50"/>
        <v>3.5100115861853537E-3</v>
      </c>
      <c r="Q20" s="176">
        <f>'The Table'!F60</f>
        <v>0</v>
      </c>
      <c r="R20" s="204" t="e">
        <f t="shared" si="51"/>
        <v>#DIV/0!</v>
      </c>
      <c r="S20" s="176">
        <f>Iktara!D64</f>
        <v>89556.69</v>
      </c>
      <c r="T20" s="204">
        <f t="shared" si="52"/>
        <v>0.10416620916826791</v>
      </c>
      <c r="U20" s="176">
        <f>Iktara!F64</f>
        <v>0</v>
      </c>
      <c r="V20" s="204" t="e">
        <f t="shared" si="53"/>
        <v>#DIV/0!</v>
      </c>
      <c r="W20" s="176">
        <f>'Mg St Colaba'!D72</f>
        <v>196105.44</v>
      </c>
      <c r="X20" s="204">
        <f t="shared" si="54"/>
        <v>1.5260885629964206E-2</v>
      </c>
      <c r="Y20" s="176">
        <f>'Mg St Colaba'!F72</f>
        <v>0</v>
      </c>
      <c r="Z20" s="204" t="e">
        <f t="shared" si="55"/>
        <v>#DIV/0!</v>
      </c>
      <c r="AA20" s="176">
        <f>'Mg St LP'!D72</f>
        <v>98796.500000000015</v>
      </c>
      <c r="AB20" s="204">
        <f t="shared" si="56"/>
        <v>1.0048154588239168E-2</v>
      </c>
      <c r="AC20" s="176">
        <f>'Mg St LP'!F72</f>
        <v>0</v>
      </c>
      <c r="AD20" s="204" t="e">
        <f t="shared" si="57"/>
        <v>#DIV/0!</v>
      </c>
      <c r="AE20" s="176">
        <f>'Mg St Bandra'!D70</f>
        <v>86882</v>
      </c>
      <c r="AF20" s="204">
        <f t="shared" si="58"/>
        <v>5.0087162656809727E-3</v>
      </c>
      <c r="AG20" s="176">
        <f>'Mg St Bandra'!F70</f>
        <v>0</v>
      </c>
      <c r="AH20" s="204" t="e">
        <f t="shared" si="59"/>
        <v>#DIV/0!</v>
      </c>
      <c r="AI20" s="176">
        <f>'MSK Events'!D69</f>
        <v>0</v>
      </c>
      <c r="AJ20" s="204" t="e">
        <f t="shared" si="60"/>
        <v>#DIV/0!</v>
      </c>
      <c r="AK20" s="176">
        <f>'MSK Events'!F69</f>
        <v>0</v>
      </c>
      <c r="AL20" s="204" t="e">
        <f t="shared" si="61"/>
        <v>#DIV/0!</v>
      </c>
      <c r="AM20" s="176">
        <f>MSBC!D61</f>
        <v>77809.78</v>
      </c>
      <c r="AN20" s="204">
        <f t="shared" si="62"/>
        <v>0.15240986314961974</v>
      </c>
      <c r="AO20" s="176">
        <f>MSBC!F61</f>
        <v>0</v>
      </c>
      <c r="AP20" s="204" t="e">
        <f t="shared" si="63"/>
        <v>#DIV/0!</v>
      </c>
      <c r="AQ20" s="176">
        <f>Kaspers!D65</f>
        <v>17063.98</v>
      </c>
      <c r="AR20" s="173"/>
      <c r="AS20" s="176">
        <f>Kaspers!F65</f>
        <v>35000</v>
      </c>
      <c r="AT20" s="173"/>
      <c r="AU20" s="176">
        <f>'MSBC Andheri'!D70</f>
        <v>57894.520000000004</v>
      </c>
      <c r="AV20" s="173"/>
      <c r="AW20" s="176">
        <f>'MSBC Andheri'!F70</f>
        <v>0</v>
      </c>
      <c r="AX20" s="173"/>
      <c r="AY20" s="176">
        <f>'MSBC Dahisar'!D57</f>
        <v>38620.46</v>
      </c>
      <c r="AZ20" s="173"/>
      <c r="BA20" s="176">
        <f>'MSBC Dahisar'!F57</f>
        <v>0</v>
      </c>
      <c r="BB20" s="173"/>
      <c r="BC20" s="176">
        <f>'MSBC Juhu  Goregoan'!D74</f>
        <v>39752.03</v>
      </c>
      <c r="BD20" s="173"/>
      <c r="BE20" s="176">
        <f>'MSBC Juhu  Goregoan'!F74</f>
        <v>0</v>
      </c>
      <c r="BF20" s="173"/>
      <c r="BG20" s="176">
        <f>'LOUD MOUTH'!D54</f>
        <v>14848</v>
      </c>
      <c r="BH20" s="173"/>
      <c r="BI20" s="176">
        <f>'LOUD MOUTH'!F54</f>
        <v>0</v>
      </c>
      <c r="BJ20" s="173"/>
    </row>
    <row r="21" spans="2:62" ht="15.75" customHeight="1" x14ac:dyDescent="0.2">
      <c r="B21" s="175" t="s">
        <v>35</v>
      </c>
      <c r="C21" s="201">
        <f t="shared" si="42"/>
        <v>2313629.91</v>
      </c>
      <c r="D21" s="202">
        <f t="shared" si="43"/>
        <v>3.0765852851798337E-2</v>
      </c>
      <c r="E21" s="201">
        <f t="shared" si="44"/>
        <v>0</v>
      </c>
      <c r="F21" s="202" t="e">
        <f t="shared" si="45"/>
        <v>#DIV/0!</v>
      </c>
      <c r="G21" s="176">
        <f>HO!D63</f>
        <v>0</v>
      </c>
      <c r="H21" s="173"/>
      <c r="I21" s="176">
        <f>HO!F63</f>
        <v>0</v>
      </c>
      <c r="J21" s="173"/>
      <c r="K21" s="201">
        <f t="shared" si="46"/>
        <v>2313629.91</v>
      </c>
      <c r="L21" s="202">
        <f t="shared" si="47"/>
        <v>3.0765852851798337E-2</v>
      </c>
      <c r="M21" s="201">
        <f t="shared" si="48"/>
        <v>0</v>
      </c>
      <c r="N21" s="202" t="e">
        <f t="shared" si="49"/>
        <v>#DIV/0!</v>
      </c>
      <c r="O21" s="176">
        <f>'The Table'!D69</f>
        <v>89699.51</v>
      </c>
      <c r="P21" s="204">
        <f t="shared" si="50"/>
        <v>4.3698915928763616E-3</v>
      </c>
      <c r="Q21" s="176">
        <f>'The Table'!F69</f>
        <v>0</v>
      </c>
      <c r="R21" s="204" t="e">
        <f t="shared" si="51"/>
        <v>#DIV/0!</v>
      </c>
      <c r="S21" s="176">
        <f>Iktara!D74</f>
        <v>112186.48000000001</v>
      </c>
      <c r="T21" s="204">
        <f t="shared" si="52"/>
        <v>0.13048763125939231</v>
      </c>
      <c r="U21" s="176">
        <f>Iktara!F74</f>
        <v>0</v>
      </c>
      <c r="V21" s="204" t="e">
        <f t="shared" si="53"/>
        <v>#DIV/0!</v>
      </c>
      <c r="W21" s="176">
        <f>'Mg St Colaba'!D84</f>
        <v>480580.78999999992</v>
      </c>
      <c r="X21" s="204">
        <f t="shared" si="54"/>
        <v>3.7398699761454067E-2</v>
      </c>
      <c r="Y21" s="176"/>
      <c r="Z21" s="204" t="e">
        <f t="shared" si="55"/>
        <v>#DIV/0!</v>
      </c>
      <c r="AA21" s="176">
        <f>'Mg St LP'!D85</f>
        <v>674779.24</v>
      </c>
      <c r="AB21" s="204">
        <f t="shared" si="56"/>
        <v>6.8628808879409059E-2</v>
      </c>
      <c r="AC21" s="176">
        <f>'Mg St LP'!F85</f>
        <v>0</v>
      </c>
      <c r="AD21" s="204" t="e">
        <f t="shared" si="57"/>
        <v>#DIV/0!</v>
      </c>
      <c r="AE21" s="176">
        <f>'Mg St Bandra'!D81</f>
        <v>628442</v>
      </c>
      <c r="AF21" s="204">
        <f t="shared" si="58"/>
        <v>3.6229456820021204E-2</v>
      </c>
      <c r="AG21" s="176">
        <f>'Mg St Bandra'!F81</f>
        <v>0</v>
      </c>
      <c r="AH21" s="204" t="e">
        <f t="shared" si="59"/>
        <v>#DIV/0!</v>
      </c>
      <c r="AI21" s="176">
        <f>'MSK Events'!D76</f>
        <v>0</v>
      </c>
      <c r="AJ21" s="204" t="e">
        <f t="shared" si="60"/>
        <v>#DIV/0!</v>
      </c>
      <c r="AK21" s="176">
        <f>'MSK Events'!F76</f>
        <v>0</v>
      </c>
      <c r="AL21" s="204" t="e">
        <f t="shared" si="61"/>
        <v>#DIV/0!</v>
      </c>
      <c r="AM21" s="176">
        <f>MSBC!D69</f>
        <v>39923.369999999995</v>
      </c>
      <c r="AN21" s="204">
        <f t="shared" si="62"/>
        <v>7.819987870639955E-2</v>
      </c>
      <c r="AO21" s="176">
        <f>MSBC!F69</f>
        <v>0</v>
      </c>
      <c r="AP21" s="204" t="e">
        <f t="shared" si="63"/>
        <v>#DIV/0!</v>
      </c>
      <c r="AQ21" s="176">
        <f>Kaspers!D73</f>
        <v>0</v>
      </c>
      <c r="AR21" s="173"/>
      <c r="AS21" s="176">
        <f>Kaspers!F73</f>
        <v>0</v>
      </c>
      <c r="AT21" s="173"/>
      <c r="AU21" s="176">
        <f>'MSBC Andheri'!D78</f>
        <v>96492.09</v>
      </c>
      <c r="AV21" s="173"/>
      <c r="AW21" s="176">
        <f>'MSBC Andheri'!F78</f>
        <v>0</v>
      </c>
      <c r="AX21" s="173"/>
      <c r="AY21" s="176">
        <f>'MSBC Dahisar'!D65</f>
        <v>53013.93</v>
      </c>
      <c r="AZ21" s="173"/>
      <c r="BA21" s="176">
        <f>'MSBC Dahisar'!F65</f>
        <v>0</v>
      </c>
      <c r="BB21" s="173"/>
      <c r="BC21" s="176">
        <f>'MSBC Juhu  Goregoan'!D82</f>
        <v>65245.94</v>
      </c>
      <c r="BD21" s="173"/>
      <c r="BE21" s="176">
        <f>'MSBC Juhu  Goregoan'!F82</f>
        <v>0</v>
      </c>
      <c r="BF21" s="173"/>
      <c r="BG21" s="176">
        <f>'LOUD MOUTH'!D63</f>
        <v>73266.559999999998</v>
      </c>
      <c r="BH21" s="173"/>
      <c r="BI21" s="176">
        <f>'LOUD MOUTH'!F63</f>
        <v>0</v>
      </c>
      <c r="BJ21" s="173"/>
    </row>
    <row r="22" spans="2:62" ht="15.75" customHeight="1" x14ac:dyDescent="0.2">
      <c r="B22" s="175" t="s">
        <v>36</v>
      </c>
      <c r="C22" s="201">
        <f t="shared" si="42"/>
        <v>8395259.8999999985</v>
      </c>
      <c r="D22" s="202">
        <f t="shared" si="43"/>
        <v>0.11163727163952646</v>
      </c>
      <c r="E22" s="201">
        <f t="shared" si="44"/>
        <v>3059965</v>
      </c>
      <c r="F22" s="202" t="e">
        <f t="shared" si="45"/>
        <v>#DIV/0!</v>
      </c>
      <c r="G22" s="176">
        <f>HO!D70</f>
        <v>813461.73333333328</v>
      </c>
      <c r="H22" s="173"/>
      <c r="I22" s="176">
        <f>HO!F70</f>
        <v>0</v>
      </c>
      <c r="J22" s="173"/>
      <c r="K22" s="201">
        <f t="shared" si="46"/>
        <v>7581798.166666666</v>
      </c>
      <c r="L22" s="202">
        <f t="shared" si="47"/>
        <v>0.10082013797431459</v>
      </c>
      <c r="M22" s="201">
        <f t="shared" si="48"/>
        <v>3059965</v>
      </c>
      <c r="N22" s="202" t="e">
        <f t="shared" si="49"/>
        <v>#DIV/0!</v>
      </c>
      <c r="O22" s="176">
        <f>'The Table'!D75</f>
        <v>1817305.8333333333</v>
      </c>
      <c r="P22" s="204">
        <f t="shared" si="50"/>
        <v>8.8533699713281636E-2</v>
      </c>
      <c r="Q22" s="176">
        <f>'The Table'!F75</f>
        <v>1419717</v>
      </c>
      <c r="R22" s="204" t="e">
        <f t="shared" si="51"/>
        <v>#DIV/0!</v>
      </c>
      <c r="S22" s="176">
        <f>Iktara!D80</f>
        <v>103623</v>
      </c>
      <c r="T22" s="204">
        <f t="shared" si="52"/>
        <v>0.12052717773114913</v>
      </c>
      <c r="U22" s="176">
        <f>Iktara!F80</f>
        <v>76212</v>
      </c>
      <c r="V22" s="204" t="e">
        <f t="shared" si="53"/>
        <v>#DIV/0!</v>
      </c>
      <c r="W22" s="176">
        <f>'Mg St Colaba'!D91</f>
        <v>1695349.3333333333</v>
      </c>
      <c r="X22" s="204">
        <f t="shared" si="54"/>
        <v>0.13193174181621919</v>
      </c>
      <c r="Y22" s="176">
        <f>'Mg St Colaba'!F91</f>
        <v>1314963</v>
      </c>
      <c r="Z22" s="204" t="e">
        <f t="shared" si="55"/>
        <v>#DIV/0!</v>
      </c>
      <c r="AA22" s="176">
        <f>'Mg St LP'!D92</f>
        <v>1093486</v>
      </c>
      <c r="AB22" s="204">
        <f t="shared" si="56"/>
        <v>0.11121361959254926</v>
      </c>
      <c r="AC22" s="176">
        <f>'Mg St LP'!F92</f>
        <v>0</v>
      </c>
      <c r="AD22" s="204" t="e">
        <f t="shared" si="57"/>
        <v>#DIV/0!</v>
      </c>
      <c r="AE22" s="176">
        <f>'Mg St Bandra'!D88</f>
        <v>1542823</v>
      </c>
      <c r="AF22" s="204">
        <f t="shared" si="58"/>
        <v>8.8943194852405746E-2</v>
      </c>
      <c r="AG22" s="176">
        <f>'Mg St Bandra'!F88</f>
        <v>0</v>
      </c>
      <c r="AH22" s="204" t="e">
        <f t="shared" si="59"/>
        <v>#DIV/0!</v>
      </c>
      <c r="AI22" s="176">
        <f>'MSK Events'!D83</f>
        <v>92581</v>
      </c>
      <c r="AJ22" s="204" t="e">
        <f t="shared" si="60"/>
        <v>#DIV/0!</v>
      </c>
      <c r="AK22" s="176">
        <f>'MSK Events'!F83</f>
        <v>90931</v>
      </c>
      <c r="AL22" s="204" t="e">
        <f t="shared" si="61"/>
        <v>#DIV/0!</v>
      </c>
      <c r="AM22" s="176">
        <f>MSBC!D75</f>
        <v>253151</v>
      </c>
      <c r="AN22" s="204">
        <f t="shared" si="62"/>
        <v>0.49585937996726615</v>
      </c>
      <c r="AO22" s="176">
        <f>MSBC!F75</f>
        <v>155723</v>
      </c>
      <c r="AP22" s="204" t="e">
        <f t="shared" si="63"/>
        <v>#DIV/0!</v>
      </c>
      <c r="AQ22" s="176">
        <f>Kaspers!D80</f>
        <v>983479</v>
      </c>
      <c r="AR22" s="173"/>
      <c r="AS22" s="176">
        <f>Kaspers!F80</f>
        <v>2419</v>
      </c>
      <c r="AT22" s="173"/>
      <c r="AU22" s="176">
        <f>'MSBC Andheri'!D87</f>
        <v>0</v>
      </c>
      <c r="AV22" s="173"/>
      <c r="AW22" s="176">
        <f>'MSBC Andheri'!F87</f>
        <v>0</v>
      </c>
      <c r="AX22" s="173"/>
      <c r="AY22" s="176">
        <f>'MSBC Dahisar'!D74</f>
        <v>0</v>
      </c>
      <c r="AZ22" s="173"/>
      <c r="BA22" s="176">
        <f>'MSBC Dahisar'!F74</f>
        <v>0</v>
      </c>
      <c r="BB22" s="173"/>
      <c r="BC22" s="176">
        <v>0</v>
      </c>
      <c r="BD22" s="173"/>
      <c r="BE22" s="176">
        <v>0</v>
      </c>
      <c r="BF22" s="173"/>
      <c r="BG22" s="176">
        <f>'LOUD MOUTH'!D70</f>
        <v>0</v>
      </c>
      <c r="BH22" s="173"/>
      <c r="BI22" s="176">
        <f>'LOUD MOUTH'!F70</f>
        <v>0</v>
      </c>
      <c r="BJ22" s="173"/>
    </row>
    <row r="23" spans="2:62" ht="15.75" customHeight="1" x14ac:dyDescent="0.2">
      <c r="B23" s="175" t="s">
        <v>37</v>
      </c>
      <c r="C23" s="201">
        <f t="shared" si="42"/>
        <v>24339367.57</v>
      </c>
      <c r="D23" s="202">
        <f t="shared" si="43"/>
        <v>0.32365651823910435</v>
      </c>
      <c r="E23" s="201">
        <f t="shared" si="44"/>
        <v>758150</v>
      </c>
      <c r="F23" s="202" t="e">
        <f t="shared" si="45"/>
        <v>#DIV/0!</v>
      </c>
      <c r="G23" s="176">
        <f>HO!D76</f>
        <v>3772299.27</v>
      </c>
      <c r="H23" s="173"/>
      <c r="I23" s="176">
        <f>HO!F76</f>
        <v>0</v>
      </c>
      <c r="J23" s="173"/>
      <c r="K23" s="201">
        <f t="shared" si="46"/>
        <v>20567068.300000001</v>
      </c>
      <c r="L23" s="202">
        <f t="shared" si="47"/>
        <v>0.27349378315682571</v>
      </c>
      <c r="M23" s="201">
        <f t="shared" si="48"/>
        <v>758150</v>
      </c>
      <c r="N23" s="202" t="e">
        <f t="shared" si="49"/>
        <v>#DIV/0!</v>
      </c>
      <c r="O23" s="176">
        <f>'The Table'!D81</f>
        <v>5546943.6600000001</v>
      </c>
      <c r="P23" s="204">
        <f t="shared" si="50"/>
        <v>0.27023048917427572</v>
      </c>
      <c r="Q23" s="176">
        <f>'The Table'!F81</f>
        <v>663750</v>
      </c>
      <c r="R23" s="204" t="e">
        <f t="shared" si="51"/>
        <v>#DIV/0!</v>
      </c>
      <c r="S23" s="176">
        <f>Iktara!D86</f>
        <v>343104.24</v>
      </c>
      <c r="T23" s="204">
        <f t="shared" si="52"/>
        <v>0.39907535696506419</v>
      </c>
      <c r="U23" s="176">
        <f>Iktara!F86</f>
        <v>0</v>
      </c>
      <c r="V23" s="204" t="e">
        <f t="shared" si="53"/>
        <v>#DIV/0!</v>
      </c>
      <c r="W23" s="176">
        <f>'Mg St Colaba'!D97</f>
        <v>3187826.7666666666</v>
      </c>
      <c r="X23" s="204">
        <f t="shared" si="54"/>
        <v>0.24807603345546453</v>
      </c>
      <c r="Y23" s="176">
        <f>'Mg St Colaba'!F97</f>
        <v>0</v>
      </c>
      <c r="Z23" s="204" t="e">
        <f t="shared" si="55"/>
        <v>#DIV/0!</v>
      </c>
      <c r="AA23" s="176">
        <f>'Mg St LP'!D99</f>
        <v>1746002.6866666668</v>
      </c>
      <c r="AB23" s="204">
        <f t="shared" si="56"/>
        <v>0.17757820274106451</v>
      </c>
      <c r="AC23" s="176">
        <f>'Mg St LP'!F99</f>
        <v>0</v>
      </c>
      <c r="AD23" s="204" t="e">
        <f t="shared" si="57"/>
        <v>#DIV/0!</v>
      </c>
      <c r="AE23" s="176">
        <f>'Mg St Bandra'!D96</f>
        <v>3711761.0866666664</v>
      </c>
      <c r="AF23" s="204">
        <f t="shared" si="58"/>
        <v>0.2139817008023413</v>
      </c>
      <c r="AG23" s="176">
        <f>'Mg St Bandra'!F96</f>
        <v>0</v>
      </c>
      <c r="AH23" s="204" t="e">
        <f t="shared" si="59"/>
        <v>#DIV/0!</v>
      </c>
      <c r="AI23" s="176">
        <f>'MSK Events'!D89</f>
        <v>271146</v>
      </c>
      <c r="AJ23" s="204" t="e">
        <f t="shared" si="60"/>
        <v>#DIV/0!</v>
      </c>
      <c r="AK23" s="176">
        <f>'MSK Events'!F89</f>
        <v>0</v>
      </c>
      <c r="AL23" s="204" t="e">
        <f t="shared" si="61"/>
        <v>#DIV/0!</v>
      </c>
      <c r="AM23" s="176">
        <f>MSBC!D81</f>
        <v>1480962.86</v>
      </c>
      <c r="AN23" s="204">
        <f t="shared" si="62"/>
        <v>2.9008351755045378</v>
      </c>
      <c r="AO23" s="176">
        <f>MSBC!F81</f>
        <v>94400</v>
      </c>
      <c r="AP23" s="204" t="e">
        <f t="shared" si="63"/>
        <v>#DIV/0!</v>
      </c>
      <c r="AQ23" s="176">
        <f>Kaspers!D86</f>
        <v>3781770.5</v>
      </c>
      <c r="AR23" s="173"/>
      <c r="AS23" s="176">
        <f>Kaspers!F86</f>
        <v>0</v>
      </c>
      <c r="AT23" s="173"/>
      <c r="AU23" s="176">
        <f>'MSBC Andheri'!D93</f>
        <v>0</v>
      </c>
      <c r="AV23" s="173"/>
      <c r="AW23" s="176">
        <f>'MSBC Andheri'!F93</f>
        <v>0</v>
      </c>
      <c r="AX23" s="173"/>
      <c r="AY23" s="176">
        <f>'MSBC Dahisar'!D80</f>
        <v>0</v>
      </c>
      <c r="AZ23" s="173"/>
      <c r="BA23" s="176">
        <f>'MSBC Dahisar'!F80</f>
        <v>0</v>
      </c>
      <c r="BB23" s="173"/>
      <c r="BC23" s="176">
        <v>0</v>
      </c>
      <c r="BD23" s="173"/>
      <c r="BE23" s="176">
        <v>0</v>
      </c>
      <c r="BF23" s="173"/>
      <c r="BG23" s="176">
        <f>'LOUD MOUTH'!D77</f>
        <v>497550.5</v>
      </c>
      <c r="BH23" s="173"/>
      <c r="BI23" s="176">
        <f>'LOUD MOUTH'!F77</f>
        <v>0</v>
      </c>
      <c r="BJ23" s="173"/>
    </row>
    <row r="24" spans="2:62" ht="15.75" customHeight="1" x14ac:dyDescent="0.2">
      <c r="B24" s="175" t="s">
        <v>38</v>
      </c>
      <c r="C24" s="201">
        <f t="shared" si="42"/>
        <v>955289.82000000007</v>
      </c>
      <c r="D24" s="202">
        <f t="shared" si="43"/>
        <v>1.2703114662336345E-2</v>
      </c>
      <c r="E24" s="201">
        <f t="shared" si="44"/>
        <v>0</v>
      </c>
      <c r="F24" s="202" t="e">
        <f t="shared" si="45"/>
        <v>#DIV/0!</v>
      </c>
      <c r="G24" s="176">
        <f>HO!D87</f>
        <v>412150</v>
      </c>
      <c r="H24" s="173"/>
      <c r="I24" s="176">
        <f>HO!F87</f>
        <v>0</v>
      </c>
      <c r="J24" s="173"/>
      <c r="K24" s="201">
        <f t="shared" si="46"/>
        <v>543139.82000000007</v>
      </c>
      <c r="L24" s="202">
        <f t="shared" si="47"/>
        <v>7.222486063067985E-3</v>
      </c>
      <c r="M24" s="201">
        <f t="shared" si="48"/>
        <v>0</v>
      </c>
      <c r="N24" s="202" t="e">
        <f t="shared" si="49"/>
        <v>#DIV/0!</v>
      </c>
      <c r="O24" s="176">
        <f>'The Table'!D92</f>
        <v>425771.88</v>
      </c>
      <c r="P24" s="204">
        <f t="shared" si="50"/>
        <v>2.0742331356048246E-2</v>
      </c>
      <c r="Q24" s="176">
        <f>'The Table'!F92</f>
        <v>0</v>
      </c>
      <c r="R24" s="204" t="e">
        <f t="shared" si="51"/>
        <v>#DIV/0!</v>
      </c>
      <c r="S24" s="176">
        <f>Iktara!D96</f>
        <v>0</v>
      </c>
      <c r="T24" s="204">
        <f t="shared" si="52"/>
        <v>0</v>
      </c>
      <c r="U24" s="203">
        <f>Iktara!F96</f>
        <v>0</v>
      </c>
      <c r="V24" s="204" t="e">
        <f t="shared" si="53"/>
        <v>#DIV/0!</v>
      </c>
      <c r="W24" s="176">
        <f>'Mg St Colaba'!D107</f>
        <v>24118.899999999998</v>
      </c>
      <c r="X24" s="204">
        <f t="shared" si="54"/>
        <v>1.8769279139861884E-3</v>
      </c>
      <c r="Y24" s="176">
        <f>'Mg St Colaba'!F107</f>
        <v>0</v>
      </c>
      <c r="Z24" s="204" t="e">
        <f t="shared" si="55"/>
        <v>#DIV/0!</v>
      </c>
      <c r="AA24" s="176">
        <f>'Mg St LP'!D109</f>
        <v>25508</v>
      </c>
      <c r="AB24" s="204">
        <f t="shared" si="56"/>
        <v>2.5943057419726876E-3</v>
      </c>
      <c r="AC24" s="176">
        <f>'Mg St LP'!F109</f>
        <v>0</v>
      </c>
      <c r="AD24" s="204" t="e">
        <f t="shared" si="57"/>
        <v>#DIV/0!</v>
      </c>
      <c r="AE24" s="176">
        <f>'Mg St Bandra'!D107</f>
        <v>27152</v>
      </c>
      <c r="AF24" s="204">
        <f t="shared" si="58"/>
        <v>1.565303101284153E-3</v>
      </c>
      <c r="AG24" s="176">
        <f>'Mg St Bandra'!F107</f>
        <v>0</v>
      </c>
      <c r="AH24" s="204" t="e">
        <f t="shared" si="59"/>
        <v>#DIV/0!</v>
      </c>
      <c r="AI24" s="176">
        <f>'MSK Events'!D99</f>
        <v>0</v>
      </c>
      <c r="AJ24" s="204" t="e">
        <f t="shared" si="60"/>
        <v>#DIV/0!</v>
      </c>
      <c r="AK24" s="176">
        <f>'MSK Events'!F99</f>
        <v>0</v>
      </c>
      <c r="AL24" s="204" t="e">
        <f t="shared" si="61"/>
        <v>#DIV/0!</v>
      </c>
      <c r="AM24" s="176">
        <f>MSBC!D92</f>
        <v>5730.42</v>
      </c>
      <c r="AN24" s="204">
        <f t="shared" si="62"/>
        <v>1.1224456976871596E-2</v>
      </c>
      <c r="AO24" s="176">
        <f>MSBC!F92</f>
        <v>0</v>
      </c>
      <c r="AP24" s="204" t="e">
        <f t="shared" si="63"/>
        <v>#DIV/0!</v>
      </c>
      <c r="AQ24" s="176">
        <f>Kaspers!D97</f>
        <v>34858.620000000003</v>
      </c>
      <c r="AR24" s="173"/>
      <c r="AS24" s="176">
        <f>Kaspers!F97</f>
        <v>0</v>
      </c>
      <c r="AT24" s="173"/>
      <c r="AU24" s="176">
        <f>'MSBC Andheri'!D103</f>
        <v>0</v>
      </c>
      <c r="AV24" s="173"/>
      <c r="AW24" s="176">
        <f>'MSBC Andheri'!F103</f>
        <v>0</v>
      </c>
      <c r="AX24" s="173"/>
      <c r="AY24" s="176">
        <f>'MSBC Dahisar'!D90</f>
        <v>0</v>
      </c>
      <c r="AZ24" s="173"/>
      <c r="BA24" s="176">
        <f>'MSBC Dahisar'!F90</f>
        <v>0</v>
      </c>
      <c r="BB24" s="173"/>
      <c r="BC24" s="176">
        <f>'MSBC Juhu  Goregoan'!D105</f>
        <v>0</v>
      </c>
      <c r="BD24" s="173"/>
      <c r="BE24" s="176">
        <f>'MSBC Juhu  Goregoan'!F105</f>
        <v>0</v>
      </c>
      <c r="BF24" s="173"/>
      <c r="BG24" s="176">
        <f>'LOUD MOUTH'!D89</f>
        <v>0</v>
      </c>
      <c r="BH24" s="173"/>
      <c r="BI24" s="176">
        <f>'LOUD MOUTH'!F89</f>
        <v>0</v>
      </c>
      <c r="BJ24" s="173"/>
    </row>
    <row r="25" spans="2:62" ht="15.75" customHeight="1" x14ac:dyDescent="0.2">
      <c r="B25" s="175" t="s">
        <v>39</v>
      </c>
      <c r="C25" s="201">
        <f t="shared" si="42"/>
        <v>495926.65333333338</v>
      </c>
      <c r="D25" s="202">
        <f t="shared" si="43"/>
        <v>6.5946616508506927E-3</v>
      </c>
      <c r="E25" s="201">
        <f t="shared" si="44"/>
        <v>137618.58333333334</v>
      </c>
      <c r="F25" s="202" t="e">
        <f t="shared" si="45"/>
        <v>#DIV/0!</v>
      </c>
      <c r="G25" s="176">
        <f>HO!D94</f>
        <v>127944.07</v>
      </c>
      <c r="H25" s="173"/>
      <c r="I25" s="176">
        <f>HO!F94</f>
        <v>0</v>
      </c>
      <c r="J25" s="173"/>
      <c r="K25" s="201">
        <f t="shared" si="46"/>
        <v>367982.58333333337</v>
      </c>
      <c r="L25" s="202">
        <f t="shared" si="47"/>
        <v>4.8933055204399365E-3</v>
      </c>
      <c r="M25" s="201">
        <f t="shared" si="48"/>
        <v>137618.58333333334</v>
      </c>
      <c r="N25" s="202" t="e">
        <f t="shared" si="49"/>
        <v>#DIV/0!</v>
      </c>
      <c r="O25" s="176">
        <f>'The Table'!D95</f>
        <v>23403.333333333332</v>
      </c>
      <c r="P25" s="204">
        <f t="shared" si="50"/>
        <v>1.1401403372060387E-3</v>
      </c>
      <c r="Q25" s="176">
        <f>'The Table'!F95</f>
        <v>0</v>
      </c>
      <c r="R25" s="204" t="e">
        <f t="shared" si="51"/>
        <v>#DIV/0!</v>
      </c>
      <c r="S25" s="176">
        <f>Iktara!D99</f>
        <v>23091</v>
      </c>
      <c r="T25" s="204">
        <f t="shared" si="52"/>
        <v>2.6857869980505916E-2</v>
      </c>
      <c r="U25" s="203">
        <f>Iktara!F99</f>
        <v>0</v>
      </c>
      <c r="V25" s="204" t="e">
        <f t="shared" si="53"/>
        <v>#DIV/0!</v>
      </c>
      <c r="W25" s="176">
        <f>'Mg St Colaba'!D110</f>
        <v>63685.333333333336</v>
      </c>
      <c r="X25" s="204">
        <f t="shared" si="54"/>
        <v>4.9559797438875081E-3</v>
      </c>
      <c r="Y25" s="176">
        <f>'Mg St Colaba'!F110</f>
        <v>0</v>
      </c>
      <c r="Z25" s="204" t="e">
        <f t="shared" si="55"/>
        <v>#DIV/0!</v>
      </c>
      <c r="AA25" s="176">
        <f>'Mg St LP'!D112</f>
        <v>49820.333333333336</v>
      </c>
      <c r="AB25" s="204">
        <f t="shared" si="56"/>
        <v>5.0670055211564985E-3</v>
      </c>
      <c r="AC25" s="176">
        <f>'Mg St LP'!F112</f>
        <v>49820.333333333336</v>
      </c>
      <c r="AD25" s="204" t="e">
        <f t="shared" si="57"/>
        <v>#DIV/0!</v>
      </c>
      <c r="AE25" s="176">
        <f>'Mg St Bandra'!D110</f>
        <v>77845.333333333343</v>
      </c>
      <c r="AF25" s="204">
        <f t="shared" si="58"/>
        <v>4.4877556602521112E-3</v>
      </c>
      <c r="AG25" s="176">
        <f>'Mg St Bandra'!F110</f>
        <v>77845.333333333343</v>
      </c>
      <c r="AH25" s="204" t="e">
        <f t="shared" si="59"/>
        <v>#DIV/0!</v>
      </c>
      <c r="AI25" s="176">
        <f>'MSK Events'!D102</f>
        <v>6806.25</v>
      </c>
      <c r="AJ25" s="204" t="e">
        <f t="shared" si="60"/>
        <v>#DIV/0!</v>
      </c>
      <c r="AK25" s="176">
        <f>'MSK Events'!F102</f>
        <v>6806.25</v>
      </c>
      <c r="AL25" s="204" t="e">
        <f t="shared" si="61"/>
        <v>#DIV/0!</v>
      </c>
      <c r="AM25" s="176">
        <f>MSBC!D95</f>
        <v>36280.333333333336</v>
      </c>
      <c r="AN25" s="204">
        <f t="shared" si="62"/>
        <v>7.1064082668732917E-2</v>
      </c>
      <c r="AO25" s="176">
        <f>MSBC!F95</f>
        <v>0</v>
      </c>
      <c r="AP25" s="204" t="e">
        <f t="shared" si="63"/>
        <v>#DIV/0!</v>
      </c>
      <c r="AQ25" s="176">
        <f>Kaspers!D100</f>
        <v>3146.6666666666665</v>
      </c>
      <c r="AR25" s="173"/>
      <c r="AS25" s="176">
        <f>Kaspers!F100</f>
        <v>3146.6666666666665</v>
      </c>
      <c r="AT25" s="173"/>
      <c r="AU25" s="176">
        <f>'MSBC Andheri'!D106</f>
        <v>35728</v>
      </c>
      <c r="AV25" s="173"/>
      <c r="AW25" s="176">
        <f>'MSBC Andheri'!F106</f>
        <v>0</v>
      </c>
      <c r="AX25" s="173"/>
      <c r="AY25" s="176">
        <f>'MSBC Dahisar'!D93</f>
        <v>23091</v>
      </c>
      <c r="AZ25" s="173"/>
      <c r="BA25" s="176">
        <f>'MSBC Dahisar'!F93</f>
        <v>0</v>
      </c>
      <c r="BB25" s="173"/>
      <c r="BC25" s="176">
        <f>'MSBC Juhu  Goregoan'!D108</f>
        <v>23091</v>
      </c>
      <c r="BD25" s="173"/>
      <c r="BE25" s="176">
        <f>'MSBC Juhu  Goregoan'!F108</f>
        <v>0</v>
      </c>
      <c r="BF25" s="173"/>
      <c r="BG25" s="176">
        <f>'LOUD MOUTH'!D92</f>
        <v>1994</v>
      </c>
      <c r="BH25" s="173"/>
      <c r="BI25" s="176">
        <f>'LOUD MOUTH'!F92</f>
        <v>0</v>
      </c>
      <c r="BJ25" s="173"/>
    </row>
    <row r="26" spans="2:62" ht="15.75" customHeight="1" x14ac:dyDescent="0.2">
      <c r="B26" s="175" t="s">
        <v>40</v>
      </c>
      <c r="C26" s="201">
        <f t="shared" si="42"/>
        <v>4876547.99</v>
      </c>
      <c r="D26" s="202">
        <f t="shared" si="43"/>
        <v>6.4846653838890309E-2</v>
      </c>
      <c r="E26" s="201">
        <f t="shared" si="44"/>
        <v>569187.66666666663</v>
      </c>
      <c r="F26" s="202" t="e">
        <f t="shared" si="45"/>
        <v>#DIV/0!</v>
      </c>
      <c r="G26" s="176">
        <f>HO!D98</f>
        <v>312971.5</v>
      </c>
      <c r="H26" s="173"/>
      <c r="I26" s="176">
        <f>HO!F98</f>
        <v>737.5</v>
      </c>
      <c r="J26" s="173"/>
      <c r="K26" s="201">
        <f t="shared" si="46"/>
        <v>4563576.49</v>
      </c>
      <c r="L26" s="202">
        <f t="shared" si="47"/>
        <v>6.068486673794183E-2</v>
      </c>
      <c r="M26" s="201">
        <f t="shared" si="48"/>
        <v>568450.16666666663</v>
      </c>
      <c r="N26" s="202" t="e">
        <f t="shared" si="49"/>
        <v>#DIV/0!</v>
      </c>
      <c r="O26" s="176">
        <f>'The Table'!D99+'The Table'!D106+'The Table'!D112+'The Table'!D114+'The Table'!D116+'The Table'!D118+'The Table'!D120</f>
        <v>1163565.5966666667</v>
      </c>
      <c r="P26" s="204">
        <f t="shared" si="50"/>
        <v>5.668543249159147E-2</v>
      </c>
      <c r="Q26" s="176">
        <f>'The Table'!F99</f>
        <v>184154.58333333331</v>
      </c>
      <c r="R26" s="204" t="e">
        <f t="shared" si="51"/>
        <v>#DIV/0!</v>
      </c>
      <c r="S26" s="176">
        <f>Iktara!D103</f>
        <v>125277</v>
      </c>
      <c r="T26" s="204">
        <f t="shared" si="52"/>
        <v>0.1457136277141674</v>
      </c>
      <c r="U26" s="203">
        <f>Iktara!F103</f>
        <v>0</v>
      </c>
      <c r="V26" s="204" t="e">
        <f t="shared" si="53"/>
        <v>#DIV/0!</v>
      </c>
      <c r="W26" s="176">
        <f>'Mg St Colaba'!D114</f>
        <v>667797.91666666663</v>
      </c>
      <c r="X26" s="204">
        <f t="shared" si="54"/>
        <v>5.1967898647678347E-2</v>
      </c>
      <c r="Y26" s="176">
        <f>'Mg St Colaba'!F114</f>
        <v>0</v>
      </c>
      <c r="Z26" s="204" t="e">
        <f t="shared" si="55"/>
        <v>#DIV/0!</v>
      </c>
      <c r="AA26" s="176">
        <f>'Mg St LP'!D116</f>
        <v>327269.25</v>
      </c>
      <c r="AB26" s="204">
        <f t="shared" si="56"/>
        <v>3.3285106415481221E-2</v>
      </c>
      <c r="AC26" s="176">
        <f>'Mg St LP'!F116</f>
        <v>15522.25</v>
      </c>
      <c r="AD26" s="204" t="e">
        <f t="shared" si="57"/>
        <v>#DIV/0!</v>
      </c>
      <c r="AE26" s="176">
        <f>'Mg St Bandra'!D114</f>
        <v>633437.09333333327</v>
      </c>
      <c r="AF26" s="204">
        <f t="shared" si="58"/>
        <v>3.6517422166436581E-2</v>
      </c>
      <c r="AG26" s="176">
        <f>'Mg St Bandra'!F114</f>
        <v>133043</v>
      </c>
      <c r="AH26" s="204" t="e">
        <f t="shared" si="59"/>
        <v>#DIV/0!</v>
      </c>
      <c r="AI26" s="176">
        <f>'MSK Events'!D106</f>
        <v>862863.00666666671</v>
      </c>
      <c r="AJ26" s="204" t="e">
        <f t="shared" si="60"/>
        <v>#DIV/0!</v>
      </c>
      <c r="AK26" s="176">
        <f>'MSK Events'!F106</f>
        <v>5934.916666666667</v>
      </c>
      <c r="AL26" s="204" t="e">
        <f t="shared" si="61"/>
        <v>#DIV/0!</v>
      </c>
      <c r="AM26" s="176">
        <f>MSBC!D99</f>
        <v>60617.263333333336</v>
      </c>
      <c r="AN26" s="204">
        <f t="shared" si="62"/>
        <v>0.11873403072387297</v>
      </c>
      <c r="AO26" s="176">
        <f>MSBC!F99</f>
        <v>17163.333333333332</v>
      </c>
      <c r="AP26" s="204" t="e">
        <f t="shared" si="63"/>
        <v>#DIV/0!</v>
      </c>
      <c r="AQ26" s="176">
        <f>Kaspers!D104</f>
        <v>630713.36333333328</v>
      </c>
      <c r="AR26" s="173"/>
      <c r="AS26" s="176">
        <f>Kaspers!F104</f>
        <v>212632.08333333334</v>
      </c>
      <c r="AT26" s="173"/>
      <c r="AU26" s="176">
        <f>'MSBC Andheri'!D110</f>
        <v>8100</v>
      </c>
      <c r="AV26" s="173"/>
      <c r="AW26" s="176">
        <f>'MSBC Andheri'!F110</f>
        <v>0</v>
      </c>
      <c r="AX26" s="173"/>
      <c r="AY26" s="176">
        <f>'MSBC Dahisar'!D97</f>
        <v>8100</v>
      </c>
      <c r="AZ26" s="173"/>
      <c r="BA26" s="176">
        <f>'MSBC Dahisar'!F97</f>
        <v>0</v>
      </c>
      <c r="BB26" s="173"/>
      <c r="BC26" s="176">
        <f>'MSBC Juhu  Goregoan'!D112</f>
        <v>0</v>
      </c>
      <c r="BD26" s="173"/>
      <c r="BE26" s="176">
        <f>'MSBC Juhu  Goregoan'!F112</f>
        <v>0</v>
      </c>
      <c r="BF26" s="173"/>
      <c r="BG26" s="176">
        <f>'LOUD MOUTH'!D96</f>
        <v>75836</v>
      </c>
      <c r="BH26" s="173"/>
      <c r="BI26" s="176">
        <f>'LOUD MOUTH'!F96</f>
        <v>0</v>
      </c>
      <c r="BJ26" s="173"/>
    </row>
    <row r="27" spans="2:62" ht="15.75" customHeight="1" x14ac:dyDescent="0.2">
      <c r="B27" s="175" t="s">
        <v>41</v>
      </c>
      <c r="C27" s="201">
        <f t="shared" si="42"/>
        <v>177204</v>
      </c>
      <c r="D27" s="202">
        <f t="shared" si="43"/>
        <v>2.3563976957533682E-3</v>
      </c>
      <c r="E27" s="201">
        <f t="shared" si="44"/>
        <v>18270</v>
      </c>
      <c r="F27" s="202" t="e">
        <f t="shared" si="45"/>
        <v>#DIV/0!</v>
      </c>
      <c r="G27" s="176">
        <f>HO!D113</f>
        <v>140349</v>
      </c>
      <c r="H27" s="173"/>
      <c r="I27" s="176">
        <f>HO!F113</f>
        <v>0</v>
      </c>
      <c r="J27" s="173"/>
      <c r="K27" s="201">
        <f t="shared" si="46"/>
        <v>36855</v>
      </c>
      <c r="L27" s="202">
        <f t="shared" si="47"/>
        <v>4.9008508316398267E-4</v>
      </c>
      <c r="M27" s="201">
        <f t="shared" si="48"/>
        <v>18270</v>
      </c>
      <c r="N27" s="202" t="e">
        <f t="shared" si="49"/>
        <v>#DIV/0!</v>
      </c>
      <c r="O27" s="176">
        <f>'The Table'!D122</f>
        <v>8260</v>
      </c>
      <c r="P27" s="204">
        <f t="shared" si="50"/>
        <v>4.0240247195507252E-4</v>
      </c>
      <c r="Q27" s="176">
        <f>'The Table'!F122</f>
        <v>0</v>
      </c>
      <c r="R27" s="204" t="e">
        <f t="shared" si="51"/>
        <v>#DIV/0!</v>
      </c>
      <c r="S27" s="176">
        <f>Iktara!D116</f>
        <v>0</v>
      </c>
      <c r="T27" s="204">
        <f t="shared" si="52"/>
        <v>0</v>
      </c>
      <c r="U27" s="203">
        <f>Iktara!F116</f>
        <v>0</v>
      </c>
      <c r="V27" s="204" t="e">
        <f t="shared" si="53"/>
        <v>#DIV/0!</v>
      </c>
      <c r="W27" s="176">
        <f>'Mg St Colaba'!D130</f>
        <v>10325</v>
      </c>
      <c r="X27" s="204">
        <f t="shared" si="54"/>
        <v>8.0348940921465728E-4</v>
      </c>
      <c r="Y27" s="176">
        <f>'Mg St Colaba'!F130</f>
        <v>0</v>
      </c>
      <c r="Z27" s="204" t="e">
        <f t="shared" si="55"/>
        <v>#DIV/0!</v>
      </c>
      <c r="AA27" s="176">
        <f>'Mg St LP'!D132</f>
        <v>0</v>
      </c>
      <c r="AB27" s="204">
        <f t="shared" si="56"/>
        <v>0</v>
      </c>
      <c r="AC27" s="203">
        <f>'Mg St LP'!F132</f>
        <v>0</v>
      </c>
      <c r="AD27" s="204" t="e">
        <f t="shared" si="57"/>
        <v>#DIV/0!</v>
      </c>
      <c r="AE27" s="176">
        <f>'Mg St Bandra'!D131</f>
        <v>10010</v>
      </c>
      <c r="AF27" s="204">
        <f t="shared" si="58"/>
        <v>5.7707292442009319E-4</v>
      </c>
      <c r="AG27" s="176">
        <f>'Mg St Bandra'!F131</f>
        <v>10010</v>
      </c>
      <c r="AH27" s="204" t="e">
        <f t="shared" si="59"/>
        <v>#DIV/0!</v>
      </c>
      <c r="AI27" s="176">
        <f>'MSK Events'!D124</f>
        <v>0</v>
      </c>
      <c r="AJ27" s="204" t="e">
        <f t="shared" si="60"/>
        <v>#DIV/0!</v>
      </c>
      <c r="AK27" s="176">
        <f>'MSK Events'!F124</f>
        <v>0</v>
      </c>
      <c r="AL27" s="204" t="e">
        <f t="shared" si="61"/>
        <v>#DIV/0!</v>
      </c>
      <c r="AM27" s="176">
        <f>MSBC!D115</f>
        <v>0</v>
      </c>
      <c r="AN27" s="204">
        <f t="shared" si="62"/>
        <v>0</v>
      </c>
      <c r="AO27" s="176">
        <f>MSBC!F115</f>
        <v>0</v>
      </c>
      <c r="AP27" s="204" t="e">
        <f t="shared" si="63"/>
        <v>#DIV/0!</v>
      </c>
      <c r="AQ27" s="176">
        <f>Kaspers!D127</f>
        <v>8260</v>
      </c>
      <c r="AR27" s="173"/>
      <c r="AS27" s="176">
        <f>Kaspers!F127</f>
        <v>8260</v>
      </c>
      <c r="AT27" s="173"/>
      <c r="AU27" s="176">
        <f>'MSBC Andheri'!D125</f>
        <v>0</v>
      </c>
      <c r="AV27" s="173"/>
      <c r="AW27" s="176">
        <f>'MSBC Andheri'!F125</f>
        <v>0</v>
      </c>
      <c r="AX27" s="173"/>
      <c r="AY27" s="176">
        <f>'MSBC Dahisar'!D112</f>
        <v>0</v>
      </c>
      <c r="AZ27" s="173"/>
      <c r="BA27" s="176">
        <f>'MSBC Dahisar'!F112</f>
        <v>0</v>
      </c>
      <c r="BB27" s="173"/>
      <c r="BC27" s="176">
        <f>'MSBC Juhu  Goregoan'!D127</f>
        <v>0</v>
      </c>
      <c r="BD27" s="173"/>
      <c r="BE27" s="176">
        <f>'MSBC Juhu  Goregoan'!F127</f>
        <v>0</v>
      </c>
      <c r="BF27" s="173"/>
      <c r="BG27" s="176">
        <f>'LOUD MOUTH'!D112</f>
        <v>0</v>
      </c>
      <c r="BH27" s="173"/>
      <c r="BI27" s="176">
        <f>'LOUD MOUTH'!F112</f>
        <v>0</v>
      </c>
      <c r="BJ27" s="173"/>
    </row>
    <row r="28" spans="2:62" ht="15.75" customHeight="1" x14ac:dyDescent="0.2">
      <c r="B28" s="205" t="s">
        <v>42</v>
      </c>
      <c r="C28" s="206">
        <f t="shared" si="42"/>
        <v>-1645081.59</v>
      </c>
      <c r="D28" s="207">
        <f t="shared" si="43"/>
        <v>-2.1875727793967896E-2</v>
      </c>
      <c r="E28" s="206">
        <f t="shared" si="44"/>
        <v>0</v>
      </c>
      <c r="F28" s="207" t="e">
        <f t="shared" si="45"/>
        <v>#DIV/0!</v>
      </c>
      <c r="G28" s="209">
        <f>HO!D117</f>
        <v>327777.40999999997</v>
      </c>
      <c r="H28" s="223"/>
      <c r="I28" s="209">
        <f>HO!F117</f>
        <v>0</v>
      </c>
      <c r="J28" s="223"/>
      <c r="K28" s="206">
        <f t="shared" si="46"/>
        <v>-1972859</v>
      </c>
      <c r="L28" s="207">
        <f t="shared" si="47"/>
        <v>-2.6234398781327137E-2</v>
      </c>
      <c r="M28" s="201">
        <f t="shared" si="48"/>
        <v>0</v>
      </c>
      <c r="N28" s="207" t="e">
        <f t="shared" si="49"/>
        <v>#DIV/0!</v>
      </c>
      <c r="O28" s="209">
        <f>'The Table'!D126</f>
        <v>0</v>
      </c>
      <c r="P28" s="222">
        <f t="shared" si="50"/>
        <v>0</v>
      </c>
      <c r="Q28" s="209">
        <f>'The Table'!F126</f>
        <v>0</v>
      </c>
      <c r="R28" s="222" t="e">
        <f t="shared" si="51"/>
        <v>#DIV/0!</v>
      </c>
      <c r="S28" s="209">
        <f>Iktara!D120</f>
        <v>0</v>
      </c>
      <c r="T28" s="222">
        <f t="shared" si="52"/>
        <v>0</v>
      </c>
      <c r="U28" s="209">
        <f>Iktara!F120</f>
        <v>0</v>
      </c>
      <c r="V28" s="222" t="e">
        <f t="shared" si="53"/>
        <v>#DIV/0!</v>
      </c>
      <c r="W28" s="209">
        <f>'Mg St Colaba'!D134</f>
        <v>0</v>
      </c>
      <c r="X28" s="222">
        <f t="shared" si="54"/>
        <v>0</v>
      </c>
      <c r="Y28" s="209">
        <f>'Mg St Colaba'!F134</f>
        <v>0</v>
      </c>
      <c r="Z28" s="222" t="e">
        <f t="shared" si="55"/>
        <v>#DIV/0!</v>
      </c>
      <c r="AA28" s="209">
        <f>'Mg St LP'!D136</f>
        <v>0</v>
      </c>
      <c r="AB28" s="222">
        <f t="shared" si="56"/>
        <v>0</v>
      </c>
      <c r="AC28" s="209">
        <f>'Mg St LP'!F136</f>
        <v>0</v>
      </c>
      <c r="AD28" s="222" t="e">
        <f t="shared" si="57"/>
        <v>#DIV/0!</v>
      </c>
      <c r="AE28" s="209">
        <f>'Mg St Bandra'!D135</f>
        <v>0</v>
      </c>
      <c r="AF28" s="222">
        <f t="shared" si="58"/>
        <v>0</v>
      </c>
      <c r="AG28" s="209">
        <f>'Mg St Bandra'!F135</f>
        <v>0</v>
      </c>
      <c r="AH28" s="222" t="e">
        <f t="shared" si="59"/>
        <v>#DIV/0!</v>
      </c>
      <c r="AI28" s="209">
        <f>'MSK Events'!D128</f>
        <v>0</v>
      </c>
      <c r="AJ28" s="222" t="e">
        <f t="shared" si="60"/>
        <v>#DIV/0!</v>
      </c>
      <c r="AK28" s="209">
        <f>'MSK Events'!F128</f>
        <v>0</v>
      </c>
      <c r="AL28" s="222" t="e">
        <f t="shared" si="61"/>
        <v>#DIV/0!</v>
      </c>
      <c r="AM28" s="209">
        <f>MSBC!D119</f>
        <v>-1983159</v>
      </c>
      <c r="AN28" s="222">
        <f t="shared" si="62"/>
        <v>-3.8845115844555367</v>
      </c>
      <c r="AO28" s="209">
        <f>MSBC!F119</f>
        <v>0</v>
      </c>
      <c r="AP28" s="222" t="e">
        <f t="shared" si="63"/>
        <v>#DIV/0!</v>
      </c>
      <c r="AQ28" s="209">
        <f>Kaspers!D131</f>
        <v>0</v>
      </c>
      <c r="AR28" s="223"/>
      <c r="AS28" s="209">
        <f>Kaspers!F131</f>
        <v>0</v>
      </c>
      <c r="AT28" s="223"/>
      <c r="AU28" s="209">
        <f>'MSBC Andheri'!D129</f>
        <v>0</v>
      </c>
      <c r="AV28" s="223"/>
      <c r="AW28" s="209">
        <f>'MSBC Andheri'!F129</f>
        <v>0</v>
      </c>
      <c r="AX28" s="223"/>
      <c r="AY28" s="209">
        <f>'MSBC Dahisar'!D116</f>
        <v>0</v>
      </c>
      <c r="AZ28" s="223"/>
      <c r="BA28" s="209">
        <f>'MSBC Dahisar'!F116</f>
        <v>0</v>
      </c>
      <c r="BB28" s="223"/>
      <c r="BC28" s="209">
        <f>'MSBC Juhu  Goregoan'!D131</f>
        <v>0</v>
      </c>
      <c r="BD28" s="223"/>
      <c r="BE28" s="209">
        <f>'MSBC Juhu  Goregoan'!F131</f>
        <v>0</v>
      </c>
      <c r="BF28" s="223"/>
      <c r="BG28" s="209">
        <f>'LOUD MOUTH'!D117</f>
        <v>10300</v>
      </c>
      <c r="BH28" s="223"/>
      <c r="BI28" s="209">
        <f>'LOUD MOUTH'!F117</f>
        <v>0</v>
      </c>
      <c r="BJ28" s="223"/>
    </row>
    <row r="29" spans="2:62" ht="15.75" customHeight="1" x14ac:dyDescent="0.2">
      <c r="B29" s="211" t="s">
        <v>43</v>
      </c>
      <c r="C29" s="212">
        <f>SUM(C19:C28)</f>
        <v>42814581.223333336</v>
      </c>
      <c r="D29" s="213">
        <f t="shared" si="43"/>
        <v>0.56933353953244903</v>
      </c>
      <c r="E29" s="231">
        <f t="shared" si="44"/>
        <v>4631291.25</v>
      </c>
      <c r="F29" s="213" t="e">
        <f t="shared" si="45"/>
        <v>#DIV/0!</v>
      </c>
      <c r="G29" s="231">
        <f>SUM(G19:G28)</f>
        <v>6066780.4966666671</v>
      </c>
      <c r="H29" s="232"/>
      <c r="I29" s="231">
        <f>SUM(I19:I28)</f>
        <v>53837.5</v>
      </c>
      <c r="J29" s="232"/>
      <c r="K29" s="212">
        <f>SUM(K19:K28)</f>
        <v>36747800.726666674</v>
      </c>
      <c r="L29" s="213">
        <f t="shared" si="47"/>
        <v>0.48865958418727168</v>
      </c>
      <c r="M29" s="231">
        <f>SUM(M19:M28)</f>
        <v>4577453.75</v>
      </c>
      <c r="N29" s="213" t="e">
        <f t="shared" si="49"/>
        <v>#DIV/0!</v>
      </c>
      <c r="O29" s="231">
        <f>SUM(O19:O28)</f>
        <v>9675194.4366666675</v>
      </c>
      <c r="P29" s="213">
        <f t="shared" si="50"/>
        <v>0.47134650822767943</v>
      </c>
      <c r="Q29" s="231">
        <f>SUM(Q19:Q28)</f>
        <v>2267621.5833333335</v>
      </c>
      <c r="R29" s="213" t="e">
        <f t="shared" si="51"/>
        <v>#DIV/0!</v>
      </c>
      <c r="S29" s="231">
        <f>SUM(S19:S28)</f>
        <v>844727.7</v>
      </c>
      <c r="T29" s="213">
        <f t="shared" si="52"/>
        <v>0.98252941559619789</v>
      </c>
      <c r="U29" s="231">
        <f>SUM(U19:U28)</f>
        <v>76212</v>
      </c>
      <c r="V29" s="213" t="e">
        <f t="shared" si="53"/>
        <v>#DIV/0!</v>
      </c>
      <c r="W29" s="231">
        <f>SUM(W19:W28)</f>
        <v>6719058.3533333335</v>
      </c>
      <c r="X29" s="213">
        <f t="shared" si="54"/>
        <v>0.52287576046475626</v>
      </c>
      <c r="Y29" s="231">
        <f>SUM(Y19:Y28)</f>
        <v>1314963</v>
      </c>
      <c r="Z29" s="213" t="e">
        <f t="shared" si="55"/>
        <v>#DIV/0!</v>
      </c>
      <c r="AA29" s="231">
        <f>SUM(AA19:AA28)</f>
        <v>4245149.833333334</v>
      </c>
      <c r="AB29" s="213">
        <f t="shared" si="56"/>
        <v>0.43175539392155665</v>
      </c>
      <c r="AC29" s="231">
        <f>SUM(AC19:AC28)</f>
        <v>65342.583333333336</v>
      </c>
      <c r="AD29" s="213" t="e">
        <f t="shared" si="57"/>
        <v>#DIV/0!</v>
      </c>
      <c r="AE29" s="231">
        <f>SUM(AE19:AE28)</f>
        <v>7157551.9666666649</v>
      </c>
      <c r="AF29" s="213">
        <f t="shared" si="58"/>
        <v>0.41263031419511709</v>
      </c>
      <c r="AG29" s="231">
        <f>SUM(AG19:AG28)</f>
        <v>220898.33333333334</v>
      </c>
      <c r="AH29" s="213" t="e">
        <f t="shared" si="59"/>
        <v>#DIV/0!</v>
      </c>
      <c r="AI29" s="231">
        <f>SUM(AI19:AI28)</f>
        <v>1244676.2566666668</v>
      </c>
      <c r="AJ29" s="232"/>
      <c r="AK29" s="231">
        <f>SUM(AK19:AK28)</f>
        <v>103672.16666666667</v>
      </c>
      <c r="AL29" s="232"/>
      <c r="AM29" s="231">
        <f>SUM(AM19:AM28)</f>
        <v>-0.1133333332836628</v>
      </c>
      <c r="AN29" s="213">
        <f t="shared" si="62"/>
        <v>-2.2199160331841693E-7</v>
      </c>
      <c r="AO29" s="231">
        <f>SUM(AO19:AO28)</f>
        <v>267286.33333333331</v>
      </c>
      <c r="AP29" s="213" t="e">
        <f t="shared" si="63"/>
        <v>#DIV/0!</v>
      </c>
      <c r="AQ29" s="231">
        <f>SUM(AQ19:AQ28)</f>
        <v>5737018.2633333337</v>
      </c>
      <c r="AR29" s="232"/>
      <c r="AS29" s="231">
        <f>SUM(AS19:AS28)</f>
        <v>261457.75</v>
      </c>
      <c r="AT29" s="232"/>
      <c r="AU29" s="231">
        <f>SUM(AU19:AU28)</f>
        <v>198214.61</v>
      </c>
      <c r="AV29" s="232"/>
      <c r="AW29" s="231">
        <f>SUM(AW19:AW28)</f>
        <v>0</v>
      </c>
      <c r="AX29" s="232"/>
      <c r="AY29" s="231">
        <f>SUM(AY19:AY28)</f>
        <v>122825.39</v>
      </c>
      <c r="AZ29" s="232"/>
      <c r="BA29" s="231">
        <f>SUM(BA19:BA28)</f>
        <v>0</v>
      </c>
      <c r="BB29" s="232"/>
      <c r="BC29" s="231">
        <f>SUM(BC19:BC28)</f>
        <v>128088.97</v>
      </c>
      <c r="BD29" s="232"/>
      <c r="BE29" s="231">
        <f>SUM(BE19:BE28)</f>
        <v>0</v>
      </c>
      <c r="BF29" s="232"/>
      <c r="BG29" s="231">
        <f>SUM(BG19:BG28)</f>
        <v>675295.06</v>
      </c>
      <c r="BH29" s="232"/>
      <c r="BI29" s="231">
        <f>SUM(BI19:BI28)</f>
        <v>0</v>
      </c>
      <c r="BJ29" s="232"/>
    </row>
    <row r="30" spans="2:62" ht="15.75" customHeight="1" x14ac:dyDescent="0.2">
      <c r="B30" s="226"/>
      <c r="C30" s="227"/>
      <c r="D30" s="227"/>
      <c r="E30" s="227"/>
      <c r="F30" s="227"/>
      <c r="G30" s="228"/>
      <c r="H30" s="228"/>
      <c r="I30" s="229"/>
      <c r="J30" s="228"/>
      <c r="K30" s="227"/>
      <c r="L30" s="227"/>
      <c r="M30" s="230"/>
      <c r="N30" s="227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33"/>
      <c r="AV30" s="234"/>
      <c r="AW30" s="233">
        <f>AW17-AW29</f>
        <v>0</v>
      </c>
      <c r="AX30" s="234"/>
      <c r="AY30" s="233"/>
      <c r="AZ30" s="234"/>
      <c r="BA30" s="233">
        <f>BA17-BA29</f>
        <v>0</v>
      </c>
      <c r="BB30" s="234"/>
      <c r="BC30" s="233"/>
      <c r="BD30" s="234"/>
      <c r="BE30" s="233">
        <f>BE17-BE29</f>
        <v>0</v>
      </c>
      <c r="BF30" s="234"/>
      <c r="BG30" s="233"/>
      <c r="BH30" s="234"/>
      <c r="BI30" s="233">
        <f>BI17-BI29</f>
        <v>0</v>
      </c>
      <c r="BJ30" s="234"/>
    </row>
    <row r="31" spans="2:62" ht="15.75" customHeight="1" x14ac:dyDescent="0.2">
      <c r="B31" s="211" t="s">
        <v>44</v>
      </c>
      <c r="C31" s="212">
        <f>C17-C29</f>
        <v>3952370.3153913245</v>
      </c>
      <c r="D31" s="213">
        <f>C31/C$10</f>
        <v>5.2557257759148379E-2</v>
      </c>
      <c r="E31" s="231">
        <f>E17-E29</f>
        <v>-4631291.25</v>
      </c>
      <c r="F31" s="213" t="e">
        <f>E31/E$10</f>
        <v>#DIV/0!</v>
      </c>
      <c r="G31" s="231">
        <f>G17-G29</f>
        <v>-6066780.4966666671</v>
      </c>
      <c r="H31" s="232"/>
      <c r="I31" s="231">
        <f>I17-I29</f>
        <v>-53837.5</v>
      </c>
      <c r="J31" s="232"/>
      <c r="K31" s="231">
        <f>K17-K29</f>
        <v>10019150.812057987</v>
      </c>
      <c r="L31" s="213">
        <f>K31/K$10</f>
        <v>0.13323121310432567</v>
      </c>
      <c r="M31" s="231">
        <f>M17-M29</f>
        <v>-4577453.75</v>
      </c>
      <c r="N31" s="213" t="e">
        <f>M31/M$10</f>
        <v>#DIV/0!</v>
      </c>
      <c r="O31" s="231">
        <f>O17-O29</f>
        <v>3740422.0555803757</v>
      </c>
      <c r="P31" s="213">
        <f>O31/O$10</f>
        <v>0.18222216480881559</v>
      </c>
      <c r="Q31" s="231">
        <f>Q17-Q29</f>
        <v>-2267621.5833333335</v>
      </c>
      <c r="R31" s="213" t="e">
        <f>Q31/Q$10</f>
        <v>#DIV/0!</v>
      </c>
      <c r="S31" s="231">
        <f>S17-S29</f>
        <v>-314890.13043056021</v>
      </c>
      <c r="T31" s="213">
        <f>S31/S$10</f>
        <v>-0.36625863675235093</v>
      </c>
      <c r="U31" s="231">
        <f>U17-U29</f>
        <v>-76212</v>
      </c>
      <c r="V31" s="213" t="e">
        <f>U31/U$10</f>
        <v>#DIV/0!</v>
      </c>
      <c r="W31" s="231">
        <f>W17-W29</f>
        <v>1086896.5138217472</v>
      </c>
      <c r="X31" s="213">
        <f>W31/W$10</f>
        <v>8.4582066611923121E-2</v>
      </c>
      <c r="Y31" s="231">
        <f>Y17-Y29</f>
        <v>-1314963</v>
      </c>
      <c r="Z31" s="213" t="e">
        <f>Y31/Y$10</f>
        <v>#DIV/0!</v>
      </c>
      <c r="AA31" s="231">
        <f>AA17-AA29</f>
        <v>2060232.959984269</v>
      </c>
      <c r="AB31" s="213">
        <f>AA31/AA$10</f>
        <v>0.20953717256894214</v>
      </c>
      <c r="AC31" s="231">
        <f>AC17-AC29</f>
        <v>-65342.583333333336</v>
      </c>
      <c r="AD31" s="213" t="e">
        <f>AC31/AC$10</f>
        <v>#DIV/0!</v>
      </c>
      <c r="AE31" s="231">
        <f>AE17-AE29</f>
        <v>4433738.5199269094</v>
      </c>
      <c r="AF31" s="213">
        <f>AE31/AE$10</f>
        <v>0.25560344193888485</v>
      </c>
      <c r="AG31" s="231">
        <f>AG17-AG29</f>
        <v>-220898.33333333334</v>
      </c>
      <c r="AH31" s="213" t="e">
        <f>AG31/AG$10</f>
        <v>#DIV/0!</v>
      </c>
      <c r="AI31" s="231">
        <f>AI17-AI29</f>
        <v>-1244676.2566666668</v>
      </c>
      <c r="AJ31" s="232"/>
      <c r="AK31" s="231">
        <f>AK17-AK29</f>
        <v>-103672.16666666667</v>
      </c>
      <c r="AL31" s="232"/>
      <c r="AM31" s="231">
        <f>AM17-AM29</f>
        <v>-403003.91456139862</v>
      </c>
      <c r="AN31" s="213">
        <f>AM31/AM$10</f>
        <v>-0.78938369273199083</v>
      </c>
      <c r="AO31" s="231">
        <f>AO17-AO29</f>
        <v>-267286.33333333331</v>
      </c>
      <c r="AP31" s="213" t="e">
        <f>AO31/AO$10</f>
        <v>#DIV/0!</v>
      </c>
      <c r="AQ31" s="231">
        <f>AQ17-AQ29</f>
        <v>1487372.8443460073</v>
      </c>
      <c r="AR31" s="232"/>
      <c r="AS31" s="231">
        <f>AS17-AS29</f>
        <v>-261457.75</v>
      </c>
      <c r="AT31" s="232"/>
      <c r="AU31" s="231">
        <f t="shared" ref="AU31:BJ31" si="64">AU17-AU29</f>
        <v>-205367.9717784524</v>
      </c>
      <c r="AV31" s="231">
        <f t="shared" si="64"/>
        <v>0</v>
      </c>
      <c r="AW31" s="231">
        <f t="shared" si="64"/>
        <v>0</v>
      </c>
      <c r="AX31" s="231">
        <f t="shared" si="64"/>
        <v>0</v>
      </c>
      <c r="AY31" s="231">
        <f t="shared" si="64"/>
        <v>-163764.11852827974</v>
      </c>
      <c r="AZ31" s="231">
        <f t="shared" si="64"/>
        <v>0</v>
      </c>
      <c r="BA31" s="231">
        <f t="shared" si="64"/>
        <v>0</v>
      </c>
      <c r="BB31" s="231">
        <f t="shared" si="64"/>
        <v>0</v>
      </c>
      <c r="BC31" s="231">
        <f t="shared" si="64"/>
        <v>-230104.96875374459</v>
      </c>
      <c r="BD31" s="231">
        <f t="shared" si="64"/>
        <v>0</v>
      </c>
      <c r="BE31" s="231">
        <f t="shared" si="64"/>
        <v>0</v>
      </c>
      <c r="BF31" s="231">
        <f t="shared" si="64"/>
        <v>0</v>
      </c>
      <c r="BG31" s="231">
        <f t="shared" si="64"/>
        <v>-227704.72088220215</v>
      </c>
      <c r="BH31" s="231">
        <f t="shared" si="64"/>
        <v>0</v>
      </c>
      <c r="BI31" s="231">
        <f t="shared" si="64"/>
        <v>0</v>
      </c>
      <c r="BJ31" s="231">
        <f t="shared" si="64"/>
        <v>0</v>
      </c>
    </row>
    <row r="32" spans="2:62" ht="15.75" customHeight="1" x14ac:dyDescent="0.2"/>
    <row r="33" spans="3:62" ht="15.75" customHeight="1" x14ac:dyDescent="0.2">
      <c r="C33" s="998">
        <f>+K33+G33</f>
        <v>3952370.3153913347</v>
      </c>
      <c r="G33" s="996">
        <f>HO!D123</f>
        <v>-6066780.4966666671</v>
      </c>
      <c r="H33" s="996"/>
      <c r="I33" s="996"/>
      <c r="J33" s="997"/>
      <c r="K33" s="997">
        <f>SUM(O33:BJ33)</f>
        <v>10019150.812058002</v>
      </c>
      <c r="L33" s="996"/>
      <c r="M33" s="996"/>
      <c r="N33" s="996"/>
      <c r="O33" s="996">
        <f>'The Table'!D132</f>
        <v>3740422.0555803739</v>
      </c>
      <c r="P33" s="996"/>
      <c r="Q33" s="996"/>
      <c r="R33" s="996"/>
      <c r="S33" s="996">
        <f>Iktara!D127</f>
        <v>-314890.13043056021</v>
      </c>
      <c r="T33" s="996"/>
      <c r="U33" s="996"/>
      <c r="V33" s="996"/>
      <c r="W33" s="996">
        <f>'Mg St Colaba'!D140</f>
        <v>1086896.5138217472</v>
      </c>
      <c r="X33" s="996"/>
      <c r="Y33" s="996"/>
      <c r="Z33" s="996"/>
      <c r="AA33" s="996">
        <f>'Mg St LP'!D143</f>
        <v>2060232.959984269</v>
      </c>
      <c r="AB33" s="996"/>
      <c r="AC33" s="996"/>
      <c r="AD33" s="996"/>
      <c r="AE33" s="996">
        <f>'Mg St Bandra'!D142</f>
        <v>4433738.5199269094</v>
      </c>
      <c r="AF33" s="996"/>
      <c r="AG33" s="996"/>
      <c r="AH33" s="996"/>
      <c r="AI33" s="996">
        <f>'MSK Events'!D135</f>
        <v>-1244676.2566666668</v>
      </c>
      <c r="AJ33" s="996"/>
      <c r="AK33" s="996"/>
      <c r="AL33" s="996"/>
      <c r="AM33" s="996">
        <f>MSBC!D125</f>
        <v>-403003.91456139862</v>
      </c>
      <c r="AN33" s="996"/>
      <c r="AO33" s="996"/>
      <c r="AP33" s="996"/>
      <c r="AQ33" s="996">
        <f>Kaspers!D138</f>
        <v>1487372.8443460073</v>
      </c>
      <c r="AR33" s="996"/>
      <c r="AS33" s="996"/>
      <c r="AT33" s="996"/>
      <c r="AU33" s="996">
        <f>'MSBC Andheri'!D136</f>
        <v>-205367.9717784524</v>
      </c>
      <c r="AV33" s="996"/>
      <c r="AW33" s="996"/>
      <c r="AX33" s="996"/>
      <c r="AY33" s="996">
        <f>'MSBC Dahisar'!D123</f>
        <v>-163764.11852827971</v>
      </c>
      <c r="AZ33" s="996"/>
      <c r="BA33" s="996"/>
      <c r="BB33" s="996"/>
      <c r="BC33" s="996">
        <f>'MSBC Juhu  Goregoan'!D137</f>
        <v>-230104.96875374459</v>
      </c>
      <c r="BD33" s="996"/>
      <c r="BE33" s="996"/>
      <c r="BF33" s="996"/>
      <c r="BG33" s="996">
        <f>'LOUD MOUTH'!D123</f>
        <v>-227704.72088220215</v>
      </c>
      <c r="BH33" s="996"/>
      <c r="BI33" s="996"/>
      <c r="BJ33" s="996"/>
    </row>
    <row r="34" spans="3:62" ht="15.75" customHeight="1" x14ac:dyDescent="0.2">
      <c r="G34" s="996"/>
      <c r="H34" s="996"/>
      <c r="I34" s="996"/>
      <c r="J34" s="997"/>
      <c r="K34" s="997"/>
      <c r="L34" s="996"/>
      <c r="M34" s="996"/>
      <c r="N34" s="996"/>
      <c r="O34" s="996"/>
      <c r="P34" s="996"/>
      <c r="Q34" s="996"/>
      <c r="R34" s="996"/>
      <c r="S34" s="996"/>
      <c r="T34" s="996"/>
      <c r="U34" s="996"/>
      <c r="V34" s="996"/>
      <c r="W34" s="996"/>
      <c r="X34" s="996"/>
      <c r="Y34" s="996"/>
      <c r="Z34" s="996"/>
      <c r="AA34" s="996"/>
      <c r="AB34" s="996"/>
      <c r="AC34" s="996"/>
      <c r="AD34" s="996"/>
      <c r="AE34" s="996"/>
      <c r="AF34" s="996"/>
      <c r="AG34" s="996"/>
      <c r="AH34" s="996"/>
      <c r="AI34" s="996"/>
      <c r="AJ34" s="996"/>
      <c r="AK34" s="996"/>
      <c r="AL34" s="996"/>
      <c r="AM34" s="996"/>
      <c r="AN34" s="996"/>
      <c r="AO34" s="996"/>
      <c r="AP34" s="996"/>
      <c r="AQ34" s="996"/>
      <c r="AR34" s="996"/>
      <c r="AS34" s="996"/>
      <c r="AT34" s="996"/>
      <c r="AU34" s="996"/>
      <c r="AV34" s="996"/>
      <c r="AW34" s="996"/>
      <c r="AX34" s="996"/>
      <c r="AY34" s="996"/>
      <c r="AZ34" s="996"/>
      <c r="BA34" s="996"/>
      <c r="BB34" s="996"/>
      <c r="BC34" s="996"/>
      <c r="BD34" s="996"/>
      <c r="BE34" s="996"/>
      <c r="BF34" s="996"/>
      <c r="BG34" s="996"/>
      <c r="BH34" s="996"/>
      <c r="BI34" s="996"/>
      <c r="BJ34" s="996"/>
    </row>
    <row r="35" spans="3:62" ht="15.75" customHeight="1" x14ac:dyDescent="0.2">
      <c r="C35" s="996">
        <f>+C31-C33</f>
        <v>-1.0244548320770264E-8</v>
      </c>
      <c r="G35" s="996">
        <f>+G31-G33</f>
        <v>0</v>
      </c>
      <c r="H35" s="996"/>
      <c r="I35" s="996"/>
      <c r="J35" s="997"/>
      <c r="K35" s="996">
        <f>+K31-K33</f>
        <v>-1.4901161193847656E-8</v>
      </c>
      <c r="L35" s="996"/>
      <c r="M35" s="996"/>
      <c r="N35" s="996"/>
      <c r="O35" s="996">
        <f>+O31-O33</f>
        <v>0</v>
      </c>
      <c r="P35" s="996"/>
      <c r="Q35" s="996"/>
      <c r="R35" s="996"/>
      <c r="S35" s="996">
        <f>+S31-S33</f>
        <v>0</v>
      </c>
      <c r="T35" s="996"/>
      <c r="U35" s="996"/>
      <c r="V35" s="996"/>
      <c r="W35" s="996">
        <f>+W31-W33</f>
        <v>0</v>
      </c>
      <c r="X35" s="996"/>
      <c r="Y35" s="996"/>
      <c r="Z35" s="996"/>
      <c r="AA35" s="996">
        <f>+AA31-AA33</f>
        <v>0</v>
      </c>
      <c r="AB35" s="996"/>
      <c r="AC35" s="996"/>
      <c r="AD35" s="996"/>
      <c r="AE35" s="996">
        <f>+AE31-AE33</f>
        <v>0</v>
      </c>
      <c r="AF35" s="996"/>
      <c r="AG35" s="996"/>
      <c r="AH35" s="996"/>
      <c r="AI35" s="996">
        <f>+AI31-AI33</f>
        <v>0</v>
      </c>
      <c r="AJ35" s="996"/>
      <c r="AK35" s="996"/>
      <c r="AL35" s="996"/>
      <c r="AM35" s="996">
        <f>+AM31-AM33</f>
        <v>0</v>
      </c>
      <c r="AN35" s="996"/>
      <c r="AO35" s="996"/>
      <c r="AP35" s="996"/>
      <c r="AQ35" s="996">
        <f>+AQ31-AQ33</f>
        <v>0</v>
      </c>
      <c r="AR35" s="996"/>
      <c r="AS35" s="996"/>
      <c r="AT35" s="996"/>
      <c r="AU35" s="996">
        <f>+AU31-AU33</f>
        <v>0</v>
      </c>
      <c r="AV35" s="996"/>
      <c r="AW35" s="996"/>
      <c r="AX35" s="996"/>
      <c r="AY35" s="996">
        <f>+AY31-AY33</f>
        <v>0</v>
      </c>
      <c r="AZ35" s="996"/>
      <c r="BA35" s="996"/>
      <c r="BB35" s="996"/>
      <c r="BC35" s="996">
        <f>+BC31-BC33</f>
        <v>0</v>
      </c>
      <c r="BD35" s="996"/>
      <c r="BE35" s="996"/>
      <c r="BF35" s="996"/>
      <c r="BG35" s="996">
        <f>+BG31-BG33</f>
        <v>0</v>
      </c>
      <c r="BH35" s="996"/>
      <c r="BI35" s="996"/>
      <c r="BJ35" s="996"/>
    </row>
    <row r="36" spans="3:62" ht="15.75" customHeight="1" x14ac:dyDescent="0.2">
      <c r="J36" s="235"/>
      <c r="K36" s="116"/>
    </row>
    <row r="37" spans="3:62" ht="15.75" customHeight="1" x14ac:dyDescent="0.2"/>
    <row r="38" spans="3:62" ht="15.75" customHeight="1" x14ac:dyDescent="0.2"/>
    <row r="39" spans="3:62" ht="15.75" customHeight="1" x14ac:dyDescent="0.2"/>
    <row r="40" spans="3:62" ht="15.75" customHeight="1" x14ac:dyDescent="0.2"/>
    <row r="41" spans="3:62" ht="15.75" customHeight="1" x14ac:dyDescent="0.2"/>
    <row r="42" spans="3:62" ht="15.75" customHeight="1" x14ac:dyDescent="0.2"/>
    <row r="43" spans="3:62" ht="15.75" customHeight="1" x14ac:dyDescent="0.2"/>
    <row r="44" spans="3:62" ht="15.75" customHeight="1" x14ac:dyDescent="0.2"/>
    <row r="45" spans="3:62" ht="15.75" customHeight="1" x14ac:dyDescent="0.2"/>
    <row r="46" spans="3:62" ht="15.75" customHeight="1" x14ac:dyDescent="0.2"/>
    <row r="47" spans="3:62" ht="15.75" customHeight="1" x14ac:dyDescent="0.2"/>
    <row r="48" spans="3:6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AU3:AX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000"/>
  <sheetViews>
    <sheetView workbookViewId="0">
      <pane xSplit="3" ySplit="5" topLeftCell="D121" activePane="bottomRight" state="frozen"/>
      <selection pane="topRight" activeCell="D1" sqref="D1"/>
      <selection pane="bottomLeft" activeCell="A6" sqref="A6"/>
      <selection pane="bottomRight" activeCell="D148" sqref="D148"/>
    </sheetView>
  </sheetViews>
  <sheetFormatPr defaultColWidth="12.5703125" defaultRowHeight="15" customHeight="1" x14ac:dyDescent="0.2"/>
  <cols>
    <col min="1" max="1" width="5.5703125" customWidth="1"/>
    <col min="2" max="2" width="9.7109375" customWidth="1"/>
    <col min="3" max="3" width="46.42578125" customWidth="1"/>
    <col min="4" max="4" width="13.5703125" customWidth="1"/>
    <col min="5" max="5" width="12.5703125" hidden="1" customWidth="1"/>
    <col min="6" max="6" width="13.85546875" hidden="1" customWidth="1"/>
    <col min="7" max="7" width="5.5703125" hidden="1" customWidth="1"/>
    <col min="8" max="8" width="8.85546875" hidden="1" customWidth="1"/>
    <col min="9" max="9" width="5.85546875" hidden="1" customWidth="1"/>
    <col min="10" max="10" width="13.5703125" customWidth="1"/>
    <col min="11" max="11" width="12.5703125" hidden="1" customWidth="1"/>
    <col min="12" max="12" width="13.85546875" hidden="1" customWidth="1"/>
    <col min="13" max="13" width="5.5703125" hidden="1" customWidth="1"/>
    <col min="14" max="14" width="8.85546875" hidden="1" customWidth="1"/>
    <col min="15" max="15" width="5.85546875" hidden="1" customWidth="1"/>
  </cols>
  <sheetData>
    <row r="1" spans="1:15" ht="15.75" customHeight="1" x14ac:dyDescent="0.25">
      <c r="A1" s="244"/>
      <c r="B1" s="245" t="s">
        <v>0</v>
      </c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</row>
    <row r="2" spans="1:15" ht="15.75" customHeight="1" x14ac:dyDescent="0.25">
      <c r="A2" s="244"/>
      <c r="B2" s="246" t="s">
        <v>166</v>
      </c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</row>
    <row r="3" spans="1:15" ht="15.75" customHeight="1" x14ac:dyDescent="0.25">
      <c r="A3" s="244"/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</row>
    <row r="4" spans="1:15" ht="15.75" customHeight="1" x14ac:dyDescent="0.25">
      <c r="A4" s="244"/>
      <c r="B4" s="947" t="s">
        <v>167</v>
      </c>
      <c r="C4" s="947" t="s">
        <v>46</v>
      </c>
      <c r="D4" s="948" t="s">
        <v>168</v>
      </c>
      <c r="E4" s="933"/>
      <c r="F4" s="933"/>
      <c r="G4" s="933"/>
      <c r="H4" s="933"/>
      <c r="I4" s="949"/>
      <c r="J4" s="948" t="s">
        <v>169</v>
      </c>
      <c r="K4" s="933"/>
      <c r="L4" s="933"/>
      <c r="M4" s="933"/>
      <c r="N4" s="933"/>
      <c r="O4" s="949"/>
    </row>
    <row r="5" spans="1:15" ht="15.75" customHeight="1" x14ac:dyDescent="0.2">
      <c r="A5" s="247"/>
      <c r="B5" s="937"/>
      <c r="C5" s="937"/>
      <c r="D5" s="248" t="s">
        <v>170</v>
      </c>
      <c r="E5" s="249" t="s">
        <v>18</v>
      </c>
      <c r="F5" s="248" t="s">
        <v>171</v>
      </c>
      <c r="G5" s="249" t="s">
        <v>18</v>
      </c>
      <c r="H5" s="248" t="s">
        <v>172</v>
      </c>
      <c r="I5" s="249" t="s">
        <v>18</v>
      </c>
      <c r="J5" s="248" t="s">
        <v>170</v>
      </c>
      <c r="K5" s="249" t="s">
        <v>18</v>
      </c>
      <c r="L5" s="248" t="s">
        <v>171</v>
      </c>
      <c r="M5" s="249" t="s">
        <v>18</v>
      </c>
      <c r="N5" s="248" t="s">
        <v>172</v>
      </c>
      <c r="O5" s="249" t="s">
        <v>18</v>
      </c>
    </row>
    <row r="6" spans="1:15" ht="15.75" hidden="1" customHeight="1" x14ac:dyDescent="0.25">
      <c r="A6" s="244"/>
      <c r="B6" s="250" t="s">
        <v>173</v>
      </c>
      <c r="C6" s="251"/>
      <c r="D6" s="252"/>
      <c r="E6" s="253"/>
      <c r="F6" s="254"/>
      <c r="G6" s="253"/>
      <c r="H6" s="254"/>
      <c r="I6" s="253"/>
      <c r="J6" s="252"/>
      <c r="K6" s="253"/>
      <c r="L6" s="254"/>
      <c r="M6" s="253"/>
      <c r="N6" s="254"/>
      <c r="O6" s="253"/>
    </row>
    <row r="7" spans="1:15" ht="15.75" hidden="1" customHeight="1" x14ac:dyDescent="0.25">
      <c r="A7" s="244"/>
      <c r="B7" s="255"/>
      <c r="C7" s="256" t="s">
        <v>174</v>
      </c>
      <c r="D7" s="257">
        <f>SUM(D8:D12)</f>
        <v>0</v>
      </c>
      <c r="E7" s="258"/>
      <c r="F7" s="257"/>
      <c r="G7" s="258"/>
      <c r="H7" s="257"/>
      <c r="I7" s="258"/>
      <c r="J7" s="257">
        <f>SUM(J8:J12)</f>
        <v>0</v>
      </c>
      <c r="K7" s="258"/>
      <c r="L7" s="257"/>
      <c r="M7" s="258"/>
      <c r="N7" s="257"/>
      <c r="O7" s="258"/>
    </row>
    <row r="8" spans="1:15" ht="15.75" hidden="1" customHeight="1" x14ac:dyDescent="0.25">
      <c r="A8" s="244"/>
      <c r="B8" s="259" t="s">
        <v>23</v>
      </c>
      <c r="C8" s="260" t="s">
        <v>175</v>
      </c>
      <c r="D8" s="261">
        <v>0</v>
      </c>
      <c r="E8" s="262"/>
      <c r="F8" s="261"/>
      <c r="G8" s="262"/>
      <c r="H8" s="261"/>
      <c r="I8" s="262"/>
      <c r="J8" s="261">
        <v>0</v>
      </c>
      <c r="K8" s="262"/>
      <c r="L8" s="261"/>
      <c r="M8" s="262"/>
      <c r="N8" s="261"/>
      <c r="O8" s="262"/>
    </row>
    <row r="9" spans="1:15" ht="15.75" hidden="1" customHeight="1" x14ac:dyDescent="0.25">
      <c r="A9" s="244"/>
      <c r="B9" s="263"/>
      <c r="C9" s="264" t="s">
        <v>176</v>
      </c>
      <c r="D9" s="265">
        <v>0</v>
      </c>
      <c r="E9" s="266"/>
      <c r="F9" s="265"/>
      <c r="G9" s="266"/>
      <c r="H9" s="265"/>
      <c r="I9" s="266"/>
      <c r="J9" s="265">
        <v>0</v>
      </c>
      <c r="K9" s="266"/>
      <c r="L9" s="265"/>
      <c r="M9" s="266"/>
      <c r="N9" s="265"/>
      <c r="O9" s="266"/>
    </row>
    <row r="10" spans="1:15" ht="15.75" hidden="1" customHeight="1" x14ac:dyDescent="0.25">
      <c r="A10" s="244"/>
      <c r="B10" s="263"/>
      <c r="C10" s="264" t="s">
        <v>177</v>
      </c>
      <c r="D10" s="265">
        <v>0</v>
      </c>
      <c r="E10" s="266"/>
      <c r="F10" s="265"/>
      <c r="G10" s="266"/>
      <c r="H10" s="265"/>
      <c r="I10" s="266"/>
      <c r="J10" s="265">
        <v>0</v>
      </c>
      <c r="K10" s="266"/>
      <c r="L10" s="265"/>
      <c r="M10" s="266"/>
      <c r="N10" s="265"/>
      <c r="O10" s="266"/>
    </row>
    <row r="11" spans="1:15" ht="15.75" hidden="1" customHeight="1" x14ac:dyDescent="0.25">
      <c r="A11" s="244"/>
      <c r="B11" s="263"/>
      <c r="C11" s="264" t="s">
        <v>178</v>
      </c>
      <c r="D11" s="265">
        <v>0</v>
      </c>
      <c r="E11" s="266"/>
      <c r="F11" s="265"/>
      <c r="G11" s="266"/>
      <c r="H11" s="265"/>
      <c r="I11" s="266"/>
      <c r="J11" s="265">
        <v>0</v>
      </c>
      <c r="K11" s="266"/>
      <c r="L11" s="265"/>
      <c r="M11" s="266"/>
      <c r="N11" s="265"/>
      <c r="O11" s="266"/>
    </row>
    <row r="12" spans="1:15" ht="15.75" hidden="1" customHeight="1" x14ac:dyDescent="0.25">
      <c r="A12" s="244"/>
      <c r="B12" s="263"/>
      <c r="C12" s="264" t="s">
        <v>179</v>
      </c>
      <c r="D12" s="265">
        <v>0</v>
      </c>
      <c r="E12" s="266"/>
      <c r="F12" s="265"/>
      <c r="G12" s="266"/>
      <c r="H12" s="265"/>
      <c r="I12" s="266"/>
      <c r="J12" s="265">
        <v>0</v>
      </c>
      <c r="K12" s="266"/>
      <c r="L12" s="265"/>
      <c r="M12" s="266"/>
      <c r="N12" s="265"/>
      <c r="O12" s="266"/>
    </row>
    <row r="13" spans="1:15" ht="15.75" hidden="1" customHeight="1" x14ac:dyDescent="0.25">
      <c r="A13" s="244"/>
      <c r="B13" s="263"/>
      <c r="C13" s="264"/>
      <c r="D13" s="265"/>
      <c r="E13" s="266"/>
      <c r="F13" s="265"/>
      <c r="G13" s="266"/>
      <c r="H13" s="265"/>
      <c r="I13" s="266"/>
      <c r="J13" s="265"/>
      <c r="K13" s="266"/>
      <c r="L13" s="265"/>
      <c r="M13" s="266"/>
      <c r="N13" s="265"/>
      <c r="O13" s="266"/>
    </row>
    <row r="14" spans="1:15" ht="15.75" x14ac:dyDescent="0.25">
      <c r="A14" s="244"/>
      <c r="B14" s="267" t="s">
        <v>21</v>
      </c>
      <c r="C14" s="264" t="s">
        <v>21</v>
      </c>
      <c r="D14" s="265">
        <v>0</v>
      </c>
      <c r="E14" s="266"/>
      <c r="F14" s="265"/>
      <c r="G14" s="266"/>
      <c r="H14" s="265"/>
      <c r="I14" s="266"/>
      <c r="J14" s="265">
        <v>0</v>
      </c>
      <c r="K14" s="266"/>
      <c r="L14" s="265"/>
      <c r="M14" s="266"/>
      <c r="N14" s="265"/>
      <c r="O14" s="266"/>
    </row>
    <row r="15" spans="1:15" ht="15.75" x14ac:dyDescent="0.25">
      <c r="A15" s="244"/>
      <c r="B15" s="267" t="s">
        <v>22</v>
      </c>
      <c r="C15" s="264" t="s">
        <v>22</v>
      </c>
      <c r="D15" s="265">
        <v>0</v>
      </c>
      <c r="E15" s="266"/>
      <c r="F15" s="265"/>
      <c r="G15" s="266"/>
      <c r="H15" s="265"/>
      <c r="I15" s="266"/>
      <c r="J15" s="265">
        <v>0</v>
      </c>
      <c r="K15" s="266"/>
      <c r="L15" s="265"/>
      <c r="M15" s="266"/>
      <c r="N15" s="265"/>
      <c r="O15" s="266"/>
    </row>
    <row r="16" spans="1:15" ht="15.75" x14ac:dyDescent="0.25">
      <c r="A16" s="244"/>
      <c r="B16" s="267" t="s">
        <v>23</v>
      </c>
      <c r="C16" s="264" t="s">
        <v>180</v>
      </c>
      <c r="D16" s="268">
        <f>SUM(D8:D12)</f>
        <v>0</v>
      </c>
      <c r="E16" s="266"/>
      <c r="F16" s="265"/>
      <c r="G16" s="266"/>
      <c r="H16" s="265"/>
      <c r="I16" s="266"/>
      <c r="J16" s="268">
        <f>SUM(J8:J12)</f>
        <v>0</v>
      </c>
      <c r="K16" s="266"/>
      <c r="L16" s="265"/>
      <c r="M16" s="266"/>
      <c r="N16" s="265"/>
      <c r="O16" s="266"/>
    </row>
    <row r="17" spans="1:15" ht="15.75" x14ac:dyDescent="0.25">
      <c r="A17" s="244"/>
      <c r="B17" s="263"/>
      <c r="C17" s="264"/>
      <c r="D17" s="265"/>
      <c r="E17" s="266"/>
      <c r="F17" s="265"/>
      <c r="G17" s="266"/>
      <c r="H17" s="265"/>
      <c r="I17" s="266"/>
      <c r="J17" s="265"/>
      <c r="K17" s="266"/>
      <c r="L17" s="265"/>
      <c r="M17" s="266"/>
      <c r="N17" s="265"/>
      <c r="O17" s="266"/>
    </row>
    <row r="18" spans="1:15" ht="15.75" x14ac:dyDescent="0.25">
      <c r="A18" s="244"/>
      <c r="B18" s="263"/>
      <c r="C18" s="264" t="s">
        <v>181</v>
      </c>
      <c r="D18" s="265">
        <v>0</v>
      </c>
      <c r="E18" s="266"/>
      <c r="F18" s="265"/>
      <c r="G18" s="266"/>
      <c r="H18" s="265"/>
      <c r="I18" s="266"/>
      <c r="J18" s="265">
        <v>0</v>
      </c>
      <c r="K18" s="266"/>
      <c r="L18" s="265"/>
      <c r="M18" s="266"/>
      <c r="N18" s="265"/>
      <c r="O18" s="266"/>
    </row>
    <row r="19" spans="1:15" ht="15.75" x14ac:dyDescent="0.25">
      <c r="A19" s="244"/>
      <c r="B19" s="263"/>
      <c r="C19" s="264" t="s">
        <v>182</v>
      </c>
      <c r="D19" s="265">
        <f>D14+D15+D16</f>
        <v>0</v>
      </c>
      <c r="E19" s="266"/>
      <c r="F19" s="265"/>
      <c r="G19" s="266"/>
      <c r="H19" s="265"/>
      <c r="I19" s="266"/>
      <c r="J19" s="265">
        <f>J14+J15+J16</f>
        <v>0</v>
      </c>
      <c r="K19" s="266"/>
      <c r="L19" s="265"/>
      <c r="M19" s="266"/>
      <c r="N19" s="265"/>
      <c r="O19" s="266"/>
    </row>
    <row r="20" spans="1:15" ht="15.75" x14ac:dyDescent="0.25">
      <c r="A20" s="244"/>
      <c r="B20" s="267" t="s">
        <v>183</v>
      </c>
      <c r="C20" s="264"/>
      <c r="D20" s="265"/>
      <c r="E20" s="266"/>
      <c r="F20" s="265"/>
      <c r="G20" s="266"/>
      <c r="H20" s="265"/>
      <c r="I20" s="266"/>
      <c r="J20" s="265"/>
      <c r="K20" s="266"/>
      <c r="L20" s="265"/>
      <c r="M20" s="266"/>
      <c r="N20" s="265"/>
      <c r="O20" s="266"/>
    </row>
    <row r="21" spans="1:15" ht="15.75" customHeight="1" x14ac:dyDescent="0.25">
      <c r="A21" s="244"/>
      <c r="B21" s="263"/>
      <c r="C21" s="264" t="s">
        <v>184</v>
      </c>
      <c r="D21" s="265"/>
      <c r="E21" s="266"/>
      <c r="F21" s="265"/>
      <c r="G21" s="266"/>
      <c r="H21" s="265"/>
      <c r="I21" s="266"/>
      <c r="J21" s="265"/>
      <c r="K21" s="266"/>
      <c r="L21" s="265"/>
      <c r="M21" s="266"/>
      <c r="N21" s="265"/>
      <c r="O21" s="266"/>
    </row>
    <row r="22" spans="1:15" ht="15.75" customHeight="1" x14ac:dyDescent="0.25">
      <c r="A22" s="244"/>
      <c r="B22" s="263"/>
      <c r="C22" s="264" t="s">
        <v>185</v>
      </c>
      <c r="D22" s="265">
        <f>SUM(D20:D21)</f>
        <v>0</v>
      </c>
      <c r="E22" s="266"/>
      <c r="F22" s="265"/>
      <c r="G22" s="266"/>
      <c r="H22" s="265"/>
      <c r="I22" s="266"/>
      <c r="J22" s="265">
        <f>SUM(J20:J21)</f>
        <v>0</v>
      </c>
      <c r="K22" s="266"/>
      <c r="L22" s="265"/>
      <c r="M22" s="266"/>
      <c r="N22" s="265"/>
      <c r="O22" s="266"/>
    </row>
    <row r="23" spans="1:15" ht="15.75" customHeight="1" x14ac:dyDescent="0.25">
      <c r="A23" s="244"/>
      <c r="B23" s="267"/>
      <c r="C23" s="269"/>
      <c r="D23" s="270"/>
      <c r="E23" s="271"/>
      <c r="F23" s="270"/>
      <c r="G23" s="271"/>
      <c r="H23" s="270"/>
      <c r="I23" s="271"/>
      <c r="J23" s="270"/>
      <c r="K23" s="271"/>
      <c r="L23" s="270"/>
      <c r="M23" s="271"/>
      <c r="N23" s="270"/>
      <c r="O23" s="271"/>
    </row>
    <row r="24" spans="1:15" ht="15.75" customHeight="1" x14ac:dyDescent="0.25">
      <c r="A24" s="244"/>
      <c r="B24" s="272" t="s">
        <v>186</v>
      </c>
      <c r="C24" s="269"/>
      <c r="D24" s="270"/>
      <c r="E24" s="271"/>
      <c r="F24" s="270"/>
      <c r="G24" s="271"/>
      <c r="H24" s="270"/>
      <c r="I24" s="271"/>
      <c r="J24" s="270"/>
      <c r="K24" s="271"/>
      <c r="L24" s="270"/>
      <c r="M24" s="271"/>
      <c r="N24" s="270"/>
      <c r="O24" s="271"/>
    </row>
    <row r="25" spans="1:15" ht="15.75" customHeight="1" x14ac:dyDescent="0.25">
      <c r="A25" s="244"/>
      <c r="B25" s="267" t="s">
        <v>28</v>
      </c>
      <c r="C25" s="269"/>
      <c r="D25" s="270"/>
      <c r="E25" s="271"/>
      <c r="F25" s="270"/>
      <c r="G25" s="271"/>
      <c r="H25" s="270"/>
      <c r="I25" s="271"/>
      <c r="J25" s="270"/>
      <c r="K25" s="271"/>
      <c r="L25" s="270"/>
      <c r="M25" s="271"/>
      <c r="N25" s="270"/>
      <c r="O25" s="271"/>
    </row>
    <row r="26" spans="1:15" ht="15.75" customHeight="1" x14ac:dyDescent="0.25">
      <c r="A26" s="244"/>
      <c r="B26" s="263"/>
      <c r="C26" s="273" t="s">
        <v>187</v>
      </c>
      <c r="D26" s="270"/>
      <c r="E26" s="271"/>
      <c r="F26" s="270"/>
      <c r="G26" s="271"/>
      <c r="H26" s="270"/>
      <c r="I26" s="271"/>
      <c r="J26" s="270"/>
      <c r="K26" s="271"/>
      <c r="L26" s="270"/>
      <c r="M26" s="271"/>
      <c r="N26" s="270"/>
      <c r="O26" s="271"/>
    </row>
    <row r="27" spans="1:15" ht="15.75" customHeight="1" x14ac:dyDescent="0.25">
      <c r="A27" s="244"/>
      <c r="B27" s="263"/>
      <c r="C27" s="264" t="s">
        <v>188</v>
      </c>
      <c r="D27" s="265"/>
      <c r="E27" s="266"/>
      <c r="F27" s="265"/>
      <c r="G27" s="266"/>
      <c r="H27" s="265"/>
      <c r="I27" s="266"/>
      <c r="J27" s="265"/>
      <c r="K27" s="266"/>
      <c r="L27" s="265"/>
      <c r="M27" s="266"/>
      <c r="N27" s="265"/>
      <c r="O27" s="266"/>
    </row>
    <row r="28" spans="1:15" ht="15.75" customHeight="1" x14ac:dyDescent="0.25">
      <c r="A28" s="244"/>
      <c r="B28" s="263"/>
      <c r="C28" s="264" t="s">
        <v>189</v>
      </c>
      <c r="D28" s="265"/>
      <c r="E28" s="266"/>
      <c r="F28" s="265"/>
      <c r="G28" s="266"/>
      <c r="H28" s="265"/>
      <c r="I28" s="266"/>
      <c r="J28" s="265"/>
      <c r="K28" s="266"/>
      <c r="L28" s="265"/>
      <c r="M28" s="266"/>
      <c r="N28" s="265"/>
      <c r="O28" s="266"/>
    </row>
    <row r="29" spans="1:15" ht="15.75" customHeight="1" x14ac:dyDescent="0.25">
      <c r="A29" s="244"/>
      <c r="B29" s="263"/>
      <c r="C29" s="264" t="s">
        <v>21</v>
      </c>
      <c r="D29" s="265"/>
      <c r="E29" s="266"/>
      <c r="F29" s="265"/>
      <c r="G29" s="266"/>
      <c r="H29" s="265"/>
      <c r="I29" s="266"/>
      <c r="J29" s="265"/>
      <c r="K29" s="266"/>
      <c r="L29" s="265"/>
      <c r="M29" s="266"/>
      <c r="N29" s="265"/>
      <c r="O29" s="266"/>
    </row>
    <row r="30" spans="1:15" ht="15.75" customHeight="1" x14ac:dyDescent="0.25">
      <c r="A30" s="244"/>
      <c r="B30" s="263"/>
      <c r="C30" s="264" t="s">
        <v>22</v>
      </c>
      <c r="D30" s="265"/>
      <c r="E30" s="266"/>
      <c r="F30" s="265"/>
      <c r="G30" s="266"/>
      <c r="H30" s="265"/>
      <c r="I30" s="266"/>
      <c r="J30" s="265"/>
      <c r="K30" s="266"/>
      <c r="L30" s="265"/>
      <c r="M30" s="266"/>
      <c r="N30" s="265"/>
      <c r="O30" s="266"/>
    </row>
    <row r="31" spans="1:15" ht="15.75" customHeight="1" x14ac:dyDescent="0.25">
      <c r="A31" s="244"/>
      <c r="B31" s="263"/>
      <c r="C31" s="264" t="s">
        <v>190</v>
      </c>
      <c r="D31" s="265"/>
      <c r="E31" s="266"/>
      <c r="F31" s="265"/>
      <c r="G31" s="266"/>
      <c r="H31" s="265"/>
      <c r="I31" s="266"/>
      <c r="J31" s="265"/>
      <c r="K31" s="266"/>
      <c r="L31" s="265"/>
      <c r="M31" s="266"/>
      <c r="N31" s="265"/>
      <c r="O31" s="266"/>
    </row>
    <row r="32" spans="1:15" ht="15.75" customHeight="1" x14ac:dyDescent="0.25">
      <c r="A32" s="244"/>
      <c r="B32" s="263"/>
      <c r="C32" s="264" t="s">
        <v>191</v>
      </c>
      <c r="D32" s="265">
        <f>SUM(D27:D31)</f>
        <v>0</v>
      </c>
      <c r="E32" s="266"/>
      <c r="F32" s="265"/>
      <c r="G32" s="266"/>
      <c r="H32" s="265"/>
      <c r="I32" s="266"/>
      <c r="J32" s="265">
        <f>SUM(J27:J31)</f>
        <v>0</v>
      </c>
      <c r="K32" s="266"/>
      <c r="L32" s="265"/>
      <c r="M32" s="266"/>
      <c r="N32" s="265"/>
      <c r="O32" s="266"/>
    </row>
    <row r="33" spans="1:15" ht="15.75" customHeight="1" x14ac:dyDescent="0.25">
      <c r="A33" s="244"/>
      <c r="B33" s="274"/>
      <c r="C33" s="275" t="s">
        <v>192</v>
      </c>
      <c r="D33" s="276"/>
      <c r="E33" s="277"/>
      <c r="F33" s="276"/>
      <c r="G33" s="277"/>
      <c r="H33" s="276"/>
      <c r="I33" s="277"/>
      <c r="J33" s="276"/>
      <c r="K33" s="277"/>
      <c r="L33" s="276"/>
      <c r="M33" s="277"/>
      <c r="N33" s="276"/>
      <c r="O33" s="277"/>
    </row>
    <row r="34" spans="1:15" ht="15.75" customHeight="1" x14ac:dyDescent="0.25">
      <c r="A34" s="244"/>
      <c r="B34" s="278"/>
      <c r="C34" s="256" t="s">
        <v>193</v>
      </c>
      <c r="D34" s="257">
        <f>D32+D33</f>
        <v>0</v>
      </c>
      <c r="E34" s="258"/>
      <c r="F34" s="257"/>
      <c r="G34" s="258"/>
      <c r="H34" s="257"/>
      <c r="I34" s="258"/>
      <c r="J34" s="257">
        <f>J32+J33</f>
        <v>0</v>
      </c>
      <c r="K34" s="258"/>
      <c r="L34" s="257"/>
      <c r="M34" s="258"/>
      <c r="N34" s="257"/>
      <c r="O34" s="258"/>
    </row>
    <row r="35" spans="1:15" ht="15.75" customHeight="1" x14ac:dyDescent="0.25">
      <c r="A35" s="244"/>
      <c r="B35" s="279"/>
      <c r="C35" s="256" t="s">
        <v>32</v>
      </c>
      <c r="D35" s="280">
        <f>D19-D34</f>
        <v>0</v>
      </c>
      <c r="E35" s="281"/>
      <c r="F35" s="280"/>
      <c r="G35" s="281"/>
      <c r="H35" s="280"/>
      <c r="I35" s="281"/>
      <c r="J35" s="280">
        <f>J19-J34</f>
        <v>0</v>
      </c>
      <c r="K35" s="281"/>
      <c r="L35" s="280"/>
      <c r="M35" s="281"/>
      <c r="N35" s="280"/>
      <c r="O35" s="281"/>
    </row>
    <row r="36" spans="1:15" ht="15.75" customHeight="1" x14ac:dyDescent="0.25">
      <c r="A36" s="244"/>
      <c r="B36" s="282"/>
      <c r="C36" s="260"/>
      <c r="D36" s="261"/>
      <c r="E36" s="262"/>
      <c r="F36" s="261"/>
      <c r="G36" s="262"/>
      <c r="H36" s="261"/>
      <c r="I36" s="262"/>
      <c r="J36" s="261"/>
      <c r="K36" s="262"/>
      <c r="L36" s="261"/>
      <c r="M36" s="262"/>
      <c r="N36" s="261"/>
      <c r="O36" s="262"/>
    </row>
    <row r="37" spans="1:15" ht="15.75" customHeight="1" x14ac:dyDescent="0.25">
      <c r="A37" s="244"/>
      <c r="B37" s="263"/>
      <c r="C37" s="283" t="s">
        <v>194</v>
      </c>
      <c r="D37" s="265"/>
      <c r="E37" s="266"/>
      <c r="F37" s="265"/>
      <c r="G37" s="266"/>
      <c r="H37" s="265"/>
      <c r="I37" s="266"/>
      <c r="J37" s="276"/>
      <c r="K37" s="266"/>
      <c r="L37" s="265"/>
      <c r="M37" s="266"/>
      <c r="N37" s="265"/>
      <c r="O37" s="266"/>
    </row>
    <row r="38" spans="1:15" ht="15.75" customHeight="1" x14ac:dyDescent="0.25">
      <c r="A38" s="244"/>
      <c r="B38" s="263"/>
      <c r="C38" s="264" t="s">
        <v>195</v>
      </c>
      <c r="D38" s="265">
        <v>1824.62</v>
      </c>
      <c r="E38" s="266"/>
      <c r="F38" s="265"/>
      <c r="G38" s="266"/>
      <c r="H38" s="265"/>
      <c r="I38" s="284"/>
      <c r="J38" s="285">
        <v>5987</v>
      </c>
      <c r="K38" s="286"/>
      <c r="L38" s="265"/>
      <c r="M38" s="266"/>
      <c r="N38" s="265"/>
      <c r="O38" s="266"/>
    </row>
    <row r="39" spans="1:15" ht="15.75" customHeight="1" x14ac:dyDescent="0.25">
      <c r="A39" s="244"/>
      <c r="B39" s="263"/>
      <c r="C39" s="264" t="s">
        <v>196</v>
      </c>
      <c r="D39" s="265">
        <v>0</v>
      </c>
      <c r="E39" s="266"/>
      <c r="F39" s="265"/>
      <c r="G39" s="266"/>
      <c r="H39" s="265"/>
      <c r="I39" s="266"/>
      <c r="J39" s="261">
        <v>0</v>
      </c>
      <c r="K39" s="266"/>
      <c r="L39" s="265"/>
      <c r="M39" s="266"/>
      <c r="N39" s="265"/>
      <c r="O39" s="266"/>
    </row>
    <row r="40" spans="1:15" ht="15.75" customHeight="1" x14ac:dyDescent="0.25">
      <c r="A40" s="244"/>
      <c r="B40" s="263"/>
      <c r="C40" s="264" t="s">
        <v>197</v>
      </c>
      <c r="D40" s="265">
        <v>9649.7999999999993</v>
      </c>
      <c r="E40" s="266"/>
      <c r="F40" s="265"/>
      <c r="G40" s="266"/>
      <c r="H40" s="265"/>
      <c r="I40" s="266"/>
      <c r="J40" s="265">
        <v>12625</v>
      </c>
      <c r="K40" s="266"/>
      <c r="L40" s="265"/>
      <c r="M40" s="266"/>
      <c r="N40" s="265"/>
      <c r="O40" s="266"/>
    </row>
    <row r="41" spans="1:15" ht="15.75" customHeight="1" x14ac:dyDescent="0.25">
      <c r="A41" s="244"/>
      <c r="B41" s="263"/>
      <c r="C41" s="264" t="s">
        <v>198</v>
      </c>
      <c r="D41" s="265">
        <v>5751</v>
      </c>
      <c r="E41" s="266"/>
      <c r="F41" s="265"/>
      <c r="G41" s="266"/>
      <c r="H41" s="265"/>
      <c r="I41" s="266"/>
      <c r="J41" s="265">
        <v>2455</v>
      </c>
      <c r="K41" s="266"/>
      <c r="L41" s="265"/>
      <c r="M41" s="266"/>
      <c r="N41" s="265"/>
      <c r="O41" s="266"/>
    </row>
    <row r="42" spans="1:15" ht="15.75" customHeight="1" x14ac:dyDescent="0.25">
      <c r="A42" s="244"/>
      <c r="B42" s="274"/>
      <c r="C42" s="275" t="s">
        <v>199</v>
      </c>
      <c r="D42" s="276">
        <v>89502.093333333323</v>
      </c>
      <c r="E42" s="277"/>
      <c r="F42" s="276"/>
      <c r="G42" s="277"/>
      <c r="H42" s="276"/>
      <c r="I42" s="277"/>
      <c r="J42" s="276">
        <v>208</v>
      </c>
      <c r="K42" s="277"/>
      <c r="L42" s="276"/>
      <c r="M42" s="277"/>
      <c r="N42" s="276"/>
      <c r="O42" s="277"/>
    </row>
    <row r="43" spans="1:15" ht="15.75" customHeight="1" x14ac:dyDescent="0.25">
      <c r="A43" s="244"/>
      <c r="B43" s="278"/>
      <c r="C43" s="256" t="s">
        <v>200</v>
      </c>
      <c r="D43" s="257">
        <f>SUM(D38:D42)</f>
        <v>106727.51333333332</v>
      </c>
      <c r="E43" s="258"/>
      <c r="F43" s="257"/>
      <c r="G43" s="258"/>
      <c r="H43" s="257"/>
      <c r="I43" s="258"/>
      <c r="J43" s="257">
        <f>SUM(J38:J42)</f>
        <v>21275</v>
      </c>
      <c r="K43" s="258"/>
      <c r="L43" s="257"/>
      <c r="M43" s="258"/>
      <c r="N43" s="257"/>
      <c r="O43" s="258"/>
    </row>
    <row r="44" spans="1:15" ht="15.75" hidden="1" customHeight="1" x14ac:dyDescent="0.25">
      <c r="A44" s="244"/>
      <c r="B44" s="263" t="s">
        <v>23</v>
      </c>
      <c r="C44" s="264" t="s">
        <v>201</v>
      </c>
      <c r="D44" s="265">
        <v>0</v>
      </c>
      <c r="E44" s="266"/>
      <c r="F44" s="265"/>
      <c r="G44" s="266"/>
      <c r="H44" s="265"/>
      <c r="I44" s="266"/>
      <c r="J44" s="265">
        <v>0</v>
      </c>
      <c r="K44" s="266"/>
      <c r="L44" s="265"/>
      <c r="M44" s="266"/>
      <c r="N44" s="265"/>
      <c r="O44" s="266"/>
    </row>
    <row r="45" spans="1:15" ht="15.75" hidden="1" customHeight="1" x14ac:dyDescent="0.25">
      <c r="A45" s="244"/>
      <c r="B45" s="263" t="s">
        <v>21</v>
      </c>
      <c r="C45" s="264" t="s">
        <v>202</v>
      </c>
      <c r="D45" s="265">
        <v>0</v>
      </c>
      <c r="E45" s="266"/>
      <c r="F45" s="265"/>
      <c r="G45" s="266"/>
      <c r="H45" s="265"/>
      <c r="I45" s="266"/>
      <c r="J45" s="265">
        <v>0</v>
      </c>
      <c r="K45" s="266"/>
      <c r="L45" s="265"/>
      <c r="M45" s="266"/>
      <c r="N45" s="265"/>
      <c r="O45" s="266"/>
    </row>
    <row r="46" spans="1:15" ht="15.75" hidden="1" customHeight="1" x14ac:dyDescent="0.25">
      <c r="A46" s="244"/>
      <c r="B46" s="263" t="s">
        <v>21</v>
      </c>
      <c r="C46" s="264" t="s">
        <v>201</v>
      </c>
      <c r="D46" s="265">
        <v>0</v>
      </c>
      <c r="E46" s="266"/>
      <c r="F46" s="265"/>
      <c r="G46" s="266"/>
      <c r="H46" s="265"/>
      <c r="I46" s="266"/>
      <c r="J46" s="265">
        <v>0</v>
      </c>
      <c r="K46" s="266"/>
      <c r="L46" s="265"/>
      <c r="M46" s="266"/>
      <c r="N46" s="265"/>
      <c r="O46" s="266"/>
    </row>
    <row r="47" spans="1:15" ht="15.75" hidden="1" customHeight="1" x14ac:dyDescent="0.25">
      <c r="A47" s="244"/>
      <c r="B47" s="263" t="s">
        <v>22</v>
      </c>
      <c r="C47" s="264" t="s">
        <v>202</v>
      </c>
      <c r="D47" s="265">
        <v>0</v>
      </c>
      <c r="E47" s="266"/>
      <c r="F47" s="265"/>
      <c r="G47" s="266"/>
      <c r="H47" s="265"/>
      <c r="I47" s="266"/>
      <c r="J47" s="265">
        <v>0</v>
      </c>
      <c r="K47" s="266"/>
      <c r="L47" s="265"/>
      <c r="M47" s="266"/>
      <c r="N47" s="265"/>
      <c r="O47" s="266"/>
    </row>
    <row r="48" spans="1:15" ht="15.75" hidden="1" customHeight="1" x14ac:dyDescent="0.25">
      <c r="A48" s="244"/>
      <c r="B48" s="263" t="s">
        <v>22</v>
      </c>
      <c r="C48" s="264" t="s">
        <v>201</v>
      </c>
      <c r="D48" s="265">
        <v>0</v>
      </c>
      <c r="E48" s="266"/>
      <c r="F48" s="265"/>
      <c r="G48" s="266"/>
      <c r="H48" s="265"/>
      <c r="I48" s="266"/>
      <c r="J48" s="265">
        <v>0</v>
      </c>
      <c r="K48" s="266"/>
      <c r="L48" s="265"/>
      <c r="M48" s="266"/>
      <c r="N48" s="265"/>
      <c r="O48" s="266"/>
    </row>
    <row r="49" spans="1:15" ht="15.75" hidden="1" customHeight="1" x14ac:dyDescent="0.25">
      <c r="A49" s="244"/>
      <c r="B49" s="263"/>
      <c r="C49" s="264"/>
      <c r="D49" s="265"/>
      <c r="E49" s="266"/>
      <c r="F49" s="265"/>
      <c r="G49" s="266"/>
      <c r="H49" s="265"/>
      <c r="I49" s="266"/>
      <c r="J49" s="265"/>
      <c r="K49" s="266"/>
      <c r="L49" s="265"/>
      <c r="M49" s="266"/>
      <c r="N49" s="265"/>
      <c r="O49" s="266"/>
    </row>
    <row r="50" spans="1:15" ht="15.75" hidden="1" customHeight="1" x14ac:dyDescent="0.25">
      <c r="A50" s="244"/>
      <c r="B50" s="274"/>
      <c r="C50" s="275" t="s">
        <v>200</v>
      </c>
      <c r="D50" s="265">
        <f>SUM(D44:D49)</f>
        <v>0</v>
      </c>
      <c r="E50" s="266" t="e">
        <f>D50/D21</f>
        <v>#DIV/0!</v>
      </c>
      <c r="F50" s="265"/>
      <c r="G50" s="266"/>
      <c r="H50" s="265"/>
      <c r="I50" s="266" t="e">
        <f>#REF!/#REF!</f>
        <v>#REF!</v>
      </c>
      <c r="J50" s="265">
        <f>SUM(J44:J49)</f>
        <v>0</v>
      </c>
      <c r="K50" s="266" t="e">
        <f>J50/J21</f>
        <v>#DIV/0!</v>
      </c>
      <c r="L50" s="265"/>
      <c r="M50" s="266"/>
      <c r="N50" s="265"/>
      <c r="O50" s="266" t="e">
        <f>#REF!/#REF!</f>
        <v>#REF!</v>
      </c>
    </row>
    <row r="51" spans="1:15" ht="15.75" customHeight="1" x14ac:dyDescent="0.25">
      <c r="A51" s="244"/>
      <c r="B51" s="287" t="s">
        <v>203</v>
      </c>
      <c r="C51" s="288" t="s">
        <v>204</v>
      </c>
      <c r="D51" s="276"/>
      <c r="E51" s="277"/>
      <c r="F51" s="276"/>
      <c r="G51" s="277"/>
      <c r="H51" s="276"/>
      <c r="I51" s="277"/>
      <c r="J51" s="276"/>
      <c r="K51" s="277"/>
      <c r="L51" s="276"/>
      <c r="M51" s="277"/>
      <c r="N51" s="276"/>
      <c r="O51" s="277"/>
    </row>
    <row r="52" spans="1:15" ht="15.75" customHeight="1" x14ac:dyDescent="0.25">
      <c r="A52" s="244"/>
      <c r="B52" s="279"/>
      <c r="C52" s="289" t="s">
        <v>205</v>
      </c>
      <c r="D52" s="257">
        <f>SUM(D53:D61)</f>
        <v>53100</v>
      </c>
      <c r="E52" s="258"/>
      <c r="F52" s="257">
        <f>SUM(F53:F61)</f>
        <v>53100</v>
      </c>
      <c r="G52" s="258"/>
      <c r="H52" s="257"/>
      <c r="I52" s="258"/>
      <c r="J52" s="257">
        <f>SUM(J53:J61)</f>
        <v>53100</v>
      </c>
      <c r="K52" s="258"/>
      <c r="L52" s="257">
        <f>SUM(L53:L61)</f>
        <v>0</v>
      </c>
      <c r="M52" s="258"/>
      <c r="N52" s="257"/>
      <c r="O52" s="258"/>
    </row>
    <row r="53" spans="1:15" ht="15.75" customHeight="1" x14ac:dyDescent="0.25">
      <c r="A53" s="244"/>
      <c r="B53" s="282"/>
      <c r="C53" s="260" t="s">
        <v>206</v>
      </c>
      <c r="D53" s="261"/>
      <c r="E53" s="262"/>
      <c r="F53" s="261"/>
      <c r="G53" s="262"/>
      <c r="H53" s="261"/>
      <c r="I53" s="262"/>
      <c r="J53" s="261"/>
      <c r="K53" s="262"/>
      <c r="L53" s="261"/>
      <c r="M53" s="262"/>
      <c r="N53" s="261"/>
      <c r="O53" s="262"/>
    </row>
    <row r="54" spans="1:15" ht="15.75" customHeight="1" x14ac:dyDescent="0.25">
      <c r="A54" s="244"/>
      <c r="B54" s="263"/>
      <c r="C54" s="264" t="s">
        <v>207</v>
      </c>
      <c r="D54" s="265"/>
      <c r="E54" s="266"/>
      <c r="F54" s="265"/>
      <c r="G54" s="266"/>
      <c r="H54" s="265"/>
      <c r="I54" s="266"/>
      <c r="J54" s="265"/>
      <c r="K54" s="266"/>
      <c r="L54" s="265"/>
      <c r="M54" s="266"/>
      <c r="N54" s="265"/>
      <c r="O54" s="266"/>
    </row>
    <row r="55" spans="1:15" ht="15.75" customHeight="1" x14ac:dyDescent="0.25">
      <c r="A55" s="244"/>
      <c r="B55" s="263"/>
      <c r="C55" s="264" t="s">
        <v>208</v>
      </c>
      <c r="D55" s="265">
        <v>17700</v>
      </c>
      <c r="E55" s="265">
        <v>17700</v>
      </c>
      <c r="F55" s="265">
        <v>17700</v>
      </c>
      <c r="G55" s="265">
        <v>17700</v>
      </c>
      <c r="H55" s="265">
        <v>17700</v>
      </c>
      <c r="I55" s="265">
        <v>17700</v>
      </c>
      <c r="J55" s="265">
        <v>17700</v>
      </c>
      <c r="K55" s="266"/>
      <c r="L55" s="265"/>
      <c r="M55" s="266"/>
      <c r="N55" s="265"/>
      <c r="O55" s="266"/>
    </row>
    <row r="56" spans="1:15" ht="15.75" customHeight="1" x14ac:dyDescent="0.25">
      <c r="A56" s="244"/>
      <c r="B56" s="263"/>
      <c r="C56" s="264" t="s">
        <v>209</v>
      </c>
      <c r="D56" s="265">
        <v>35400</v>
      </c>
      <c r="E56" s="265">
        <v>35400</v>
      </c>
      <c r="F56" s="265">
        <v>35400</v>
      </c>
      <c r="G56" s="265">
        <v>35400</v>
      </c>
      <c r="H56" s="265">
        <v>35400</v>
      </c>
      <c r="I56" s="265">
        <v>35400</v>
      </c>
      <c r="J56" s="265">
        <v>35400</v>
      </c>
      <c r="K56" s="266"/>
      <c r="L56" s="265"/>
      <c r="M56" s="266"/>
      <c r="N56" s="265"/>
      <c r="O56" s="266"/>
    </row>
    <row r="57" spans="1:15" ht="15.75" customHeight="1" x14ac:dyDescent="0.25">
      <c r="A57" s="244"/>
      <c r="B57" s="263"/>
      <c r="C57" s="264" t="s">
        <v>210</v>
      </c>
      <c r="D57" s="265"/>
      <c r="E57" s="266"/>
      <c r="F57" s="265"/>
      <c r="G57" s="266"/>
      <c r="H57" s="265"/>
      <c r="I57" s="266"/>
      <c r="J57" s="265"/>
      <c r="K57" s="266"/>
      <c r="L57" s="265"/>
      <c r="M57" s="266"/>
      <c r="N57" s="265"/>
      <c r="O57" s="266"/>
    </row>
    <row r="58" spans="1:15" ht="15.75" customHeight="1" x14ac:dyDescent="0.25">
      <c r="A58" s="244"/>
      <c r="B58" s="263"/>
      <c r="C58" s="264" t="s">
        <v>211</v>
      </c>
      <c r="D58" s="265"/>
      <c r="E58" s="266"/>
      <c r="F58" s="265"/>
      <c r="G58" s="266"/>
      <c r="H58" s="265"/>
      <c r="I58" s="266"/>
      <c r="J58" s="265"/>
      <c r="K58" s="266"/>
      <c r="L58" s="265"/>
      <c r="M58" s="266"/>
      <c r="N58" s="265"/>
      <c r="O58" s="266"/>
    </row>
    <row r="59" spans="1:15" ht="15.75" customHeight="1" x14ac:dyDescent="0.25">
      <c r="A59" s="244"/>
      <c r="B59" s="263"/>
      <c r="C59" s="264" t="s">
        <v>212</v>
      </c>
      <c r="D59" s="265"/>
      <c r="E59" s="266"/>
      <c r="F59" s="265"/>
      <c r="G59" s="266"/>
      <c r="H59" s="265"/>
      <c r="I59" s="266"/>
      <c r="J59" s="265"/>
      <c r="K59" s="266"/>
      <c r="L59" s="265"/>
      <c r="M59" s="266"/>
      <c r="N59" s="265"/>
      <c r="O59" s="266"/>
    </row>
    <row r="60" spans="1:15" ht="15.75" customHeight="1" x14ac:dyDescent="0.25">
      <c r="A60" s="244"/>
      <c r="B60" s="263"/>
      <c r="C60" s="251" t="s">
        <v>213</v>
      </c>
      <c r="D60" s="265"/>
      <c r="E60" s="266"/>
      <c r="F60" s="265"/>
      <c r="G60" s="266"/>
      <c r="H60" s="265"/>
      <c r="I60" s="266"/>
      <c r="J60" s="265"/>
      <c r="K60" s="266"/>
      <c r="L60" s="265"/>
      <c r="M60" s="266"/>
      <c r="N60" s="265"/>
      <c r="O60" s="266"/>
    </row>
    <row r="61" spans="1:15" ht="15.75" customHeight="1" x14ac:dyDescent="0.25">
      <c r="A61" s="244"/>
      <c r="B61" s="263"/>
      <c r="C61" s="264" t="s">
        <v>214</v>
      </c>
      <c r="D61" s="265"/>
      <c r="E61" s="266"/>
      <c r="F61" s="265"/>
      <c r="G61" s="266"/>
      <c r="H61" s="265"/>
      <c r="I61" s="266"/>
      <c r="J61" s="265"/>
      <c r="K61" s="266"/>
      <c r="L61" s="265"/>
      <c r="M61" s="266"/>
      <c r="N61" s="265"/>
      <c r="O61" s="266"/>
    </row>
    <row r="62" spans="1:15" ht="15.75" customHeight="1" x14ac:dyDescent="0.25">
      <c r="A62" s="244"/>
      <c r="B62" s="263"/>
      <c r="C62" s="273"/>
      <c r="D62" s="265"/>
      <c r="E62" s="266"/>
      <c r="F62" s="265"/>
      <c r="G62" s="266"/>
      <c r="H62" s="265"/>
      <c r="I62" s="266"/>
      <c r="J62" s="265"/>
      <c r="K62" s="266"/>
      <c r="L62" s="265"/>
      <c r="M62" s="266"/>
      <c r="N62" s="265"/>
      <c r="O62" s="266"/>
    </row>
    <row r="63" spans="1:15" ht="15.75" customHeight="1" x14ac:dyDescent="0.25">
      <c r="A63" s="244"/>
      <c r="B63" s="263"/>
      <c r="C63" s="273" t="s">
        <v>35</v>
      </c>
      <c r="D63" s="265">
        <f>SUM(D64:D67)</f>
        <v>0</v>
      </c>
      <c r="E63" s="266"/>
      <c r="F63" s="265">
        <f>SUM(F64:F67)</f>
        <v>0</v>
      </c>
      <c r="G63" s="266"/>
      <c r="H63" s="265"/>
      <c r="I63" s="286"/>
      <c r="J63" s="265">
        <f>SUM(J64:J67)</f>
        <v>0</v>
      </c>
      <c r="K63" s="266"/>
      <c r="L63" s="265">
        <f>SUM(L64:L67)</f>
        <v>0</v>
      </c>
      <c r="M63" s="266"/>
      <c r="N63" s="265"/>
      <c r="O63" s="286"/>
    </row>
    <row r="64" spans="1:15" ht="15.75" customHeight="1" x14ac:dyDescent="0.25">
      <c r="A64" s="244"/>
      <c r="B64" s="263"/>
      <c r="C64" s="264" t="s">
        <v>215</v>
      </c>
      <c r="D64" s="265"/>
      <c r="E64" s="266"/>
      <c r="F64" s="265"/>
      <c r="G64" s="266"/>
      <c r="H64" s="265"/>
      <c r="I64" s="286"/>
      <c r="J64" s="265"/>
      <c r="K64" s="266"/>
      <c r="L64" s="265"/>
      <c r="M64" s="266"/>
      <c r="N64" s="265"/>
      <c r="O64" s="286"/>
    </row>
    <row r="65" spans="1:15" ht="15.75" customHeight="1" x14ac:dyDescent="0.25">
      <c r="A65" s="244"/>
      <c r="B65" s="263"/>
      <c r="C65" s="264" t="s">
        <v>216</v>
      </c>
      <c r="D65" s="265"/>
      <c r="E65" s="266"/>
      <c r="F65" s="265"/>
      <c r="G65" s="266"/>
      <c r="H65" s="265"/>
      <c r="I65" s="286"/>
      <c r="J65" s="265"/>
      <c r="K65" s="266"/>
      <c r="L65" s="265"/>
      <c r="M65" s="266"/>
      <c r="N65" s="265"/>
      <c r="O65" s="286"/>
    </row>
    <row r="66" spans="1:15" ht="15.75" customHeight="1" x14ac:dyDescent="0.25">
      <c r="A66" s="244"/>
      <c r="B66" s="263"/>
      <c r="C66" s="264" t="s">
        <v>217</v>
      </c>
      <c r="D66" s="265"/>
      <c r="E66" s="266"/>
      <c r="F66" s="265"/>
      <c r="G66" s="266"/>
      <c r="H66" s="265"/>
      <c r="I66" s="286"/>
      <c r="J66" s="265"/>
      <c r="K66" s="266"/>
      <c r="L66" s="265"/>
      <c r="M66" s="266"/>
      <c r="N66" s="265"/>
      <c r="O66" s="286"/>
    </row>
    <row r="67" spans="1:15" ht="15.75" customHeight="1" x14ac:dyDescent="0.25">
      <c r="A67" s="244"/>
      <c r="B67" s="263"/>
      <c r="C67" s="264" t="s">
        <v>218</v>
      </c>
      <c r="D67" s="265"/>
      <c r="E67" s="266"/>
      <c r="F67" s="265"/>
      <c r="G67" s="266"/>
      <c r="H67" s="265"/>
      <c r="I67" s="286"/>
      <c r="J67" s="265"/>
      <c r="K67" s="266"/>
      <c r="L67" s="265"/>
      <c r="M67" s="266"/>
      <c r="N67" s="265"/>
      <c r="O67" s="286"/>
    </row>
    <row r="68" spans="1:15" ht="15.75" customHeight="1" x14ac:dyDescent="0.25">
      <c r="A68" s="244"/>
      <c r="B68" s="263"/>
      <c r="C68" s="264"/>
      <c r="D68" s="265"/>
      <c r="E68" s="266"/>
      <c r="F68" s="265"/>
      <c r="G68" s="266"/>
      <c r="H68" s="265"/>
      <c r="I68" s="286"/>
      <c r="J68" s="265"/>
      <c r="K68" s="266"/>
      <c r="L68" s="265"/>
      <c r="M68" s="266"/>
      <c r="N68" s="265"/>
      <c r="O68" s="286"/>
    </row>
    <row r="69" spans="1:15" ht="15.75" customHeight="1" x14ac:dyDescent="0.25">
      <c r="A69" s="244"/>
      <c r="B69" s="274"/>
      <c r="C69" s="275"/>
      <c r="D69" s="276"/>
      <c r="E69" s="277"/>
      <c r="F69" s="276"/>
      <c r="G69" s="277"/>
      <c r="H69" s="276"/>
      <c r="I69" s="290"/>
      <c r="J69" s="276"/>
      <c r="K69" s="277"/>
      <c r="L69" s="276"/>
      <c r="M69" s="277"/>
      <c r="N69" s="276"/>
      <c r="O69" s="290"/>
    </row>
    <row r="70" spans="1:15" ht="15.75" customHeight="1" x14ac:dyDescent="0.25">
      <c r="A70" s="244"/>
      <c r="B70" s="278"/>
      <c r="C70" s="289" t="s">
        <v>219</v>
      </c>
      <c r="D70" s="257">
        <f>SUM(D71:D74)</f>
        <v>813461.73333333328</v>
      </c>
      <c r="E70" s="258"/>
      <c r="F70" s="257">
        <f>SUM(F71:F74)</f>
        <v>0</v>
      </c>
      <c r="G70" s="258"/>
      <c r="H70" s="257"/>
      <c r="I70" s="258"/>
      <c r="J70" s="257">
        <f>SUM(J71:J74)</f>
        <v>814333</v>
      </c>
      <c r="K70" s="258"/>
      <c r="L70" s="257">
        <f>SUM(L71:L74)</f>
        <v>0</v>
      </c>
      <c r="M70" s="258"/>
      <c r="N70" s="257"/>
      <c r="O70" s="258"/>
    </row>
    <row r="71" spans="1:15" ht="15.75" customHeight="1" x14ac:dyDescent="0.25">
      <c r="A71" s="244"/>
      <c r="B71" s="282"/>
      <c r="C71" s="260" t="s">
        <v>220</v>
      </c>
      <c r="D71" s="261">
        <v>757545</v>
      </c>
      <c r="E71" s="262"/>
      <c r="F71" s="261"/>
      <c r="G71" s="262"/>
      <c r="H71" s="261"/>
      <c r="I71" s="262"/>
      <c r="J71" s="261">
        <v>757545</v>
      </c>
      <c r="K71" s="262"/>
      <c r="L71" s="261"/>
      <c r="M71" s="262"/>
      <c r="N71" s="261"/>
      <c r="O71" s="262"/>
    </row>
    <row r="72" spans="1:15" ht="15.75" customHeight="1" x14ac:dyDescent="0.25">
      <c r="A72" s="244"/>
      <c r="B72" s="263"/>
      <c r="C72" s="264" t="s">
        <v>221</v>
      </c>
      <c r="D72" s="265">
        <v>45260</v>
      </c>
      <c r="E72" s="266"/>
      <c r="F72" s="265"/>
      <c r="G72" s="266"/>
      <c r="H72" s="265"/>
      <c r="I72" s="266"/>
      <c r="J72" s="265">
        <v>45220</v>
      </c>
      <c r="K72" s="266"/>
      <c r="L72" s="265"/>
      <c r="M72" s="266"/>
      <c r="N72" s="265"/>
      <c r="O72" s="266"/>
    </row>
    <row r="73" spans="1:15" ht="15.75" customHeight="1" x14ac:dyDescent="0.25">
      <c r="A73" s="244"/>
      <c r="B73" s="263"/>
      <c r="C73" s="264" t="s">
        <v>222</v>
      </c>
      <c r="D73" s="265">
        <v>0</v>
      </c>
      <c r="E73" s="266"/>
      <c r="F73" s="265"/>
      <c r="G73" s="266"/>
      <c r="H73" s="265"/>
      <c r="I73" s="266"/>
      <c r="J73" s="265">
        <v>0</v>
      </c>
      <c r="K73" s="266"/>
      <c r="L73" s="265"/>
      <c r="M73" s="266"/>
      <c r="N73" s="265"/>
      <c r="O73" s="266"/>
    </row>
    <row r="74" spans="1:15" ht="15.75" customHeight="1" x14ac:dyDescent="0.25">
      <c r="A74" s="244"/>
      <c r="B74" s="263"/>
      <c r="C74" s="264" t="s">
        <v>223</v>
      </c>
      <c r="D74" s="265">
        <v>10656.733333333334</v>
      </c>
      <c r="E74" s="266"/>
      <c r="F74" s="265"/>
      <c r="G74" s="266"/>
      <c r="H74" s="265"/>
      <c r="I74" s="266"/>
      <c r="J74" s="265">
        <v>11568</v>
      </c>
      <c r="K74" s="266"/>
      <c r="L74" s="265"/>
      <c r="M74" s="266"/>
      <c r="N74" s="265"/>
      <c r="O74" s="266"/>
    </row>
    <row r="75" spans="1:15" ht="15.75" customHeight="1" x14ac:dyDescent="0.25">
      <c r="A75" s="244"/>
      <c r="B75" s="274"/>
      <c r="C75" s="291"/>
      <c r="D75" s="276"/>
      <c r="E75" s="277"/>
      <c r="F75" s="276"/>
      <c r="G75" s="277"/>
      <c r="H75" s="276"/>
      <c r="I75" s="277"/>
      <c r="J75" s="276"/>
      <c r="K75" s="277"/>
      <c r="L75" s="276"/>
      <c r="M75" s="277"/>
      <c r="N75" s="276"/>
      <c r="O75" s="277"/>
    </row>
    <row r="76" spans="1:15" ht="15.75" customHeight="1" x14ac:dyDescent="0.25">
      <c r="A76" s="244"/>
      <c r="B76" s="278"/>
      <c r="C76" s="289" t="s">
        <v>37</v>
      </c>
      <c r="D76" s="257">
        <f>SUM(D77:D85)</f>
        <v>3772299.27</v>
      </c>
      <c r="E76" s="258"/>
      <c r="F76" s="257">
        <f>SUM(F77:F85)</f>
        <v>0</v>
      </c>
      <c r="G76" s="258"/>
      <c r="H76" s="257">
        <f>SUM(H77:H85)</f>
        <v>0</v>
      </c>
      <c r="I76" s="292"/>
      <c r="J76" s="257">
        <f>SUM(J77:J85)</f>
        <v>3975522.27</v>
      </c>
      <c r="K76" s="258"/>
      <c r="L76" s="257">
        <f>SUM(L77:L85)</f>
        <v>0</v>
      </c>
      <c r="M76" s="258"/>
      <c r="N76" s="257">
        <f>SUM(N77:N85)</f>
        <v>0</v>
      </c>
      <c r="O76" s="292"/>
    </row>
    <row r="77" spans="1:15" ht="15.75" customHeight="1" x14ac:dyDescent="0.25">
      <c r="A77" s="244"/>
      <c r="B77" s="282"/>
      <c r="C77" s="260" t="s">
        <v>224</v>
      </c>
      <c r="D77" s="261">
        <v>0</v>
      </c>
      <c r="E77" s="262"/>
      <c r="F77" s="261"/>
      <c r="G77" s="262"/>
      <c r="H77" s="261"/>
      <c r="I77" s="293"/>
      <c r="J77" s="294">
        <v>0</v>
      </c>
      <c r="K77" s="262"/>
      <c r="L77" s="261"/>
      <c r="M77" s="262"/>
      <c r="N77" s="261"/>
      <c r="O77" s="293"/>
    </row>
    <row r="78" spans="1:15" ht="15.75" customHeight="1" x14ac:dyDescent="0.25">
      <c r="A78" s="244"/>
      <c r="B78" s="263"/>
      <c r="C78" s="264" t="s">
        <v>225</v>
      </c>
      <c r="D78" s="265">
        <v>3653588</v>
      </c>
      <c r="E78" s="266"/>
      <c r="F78" s="265"/>
      <c r="G78" s="266"/>
      <c r="H78" s="265"/>
      <c r="I78" s="295"/>
      <c r="J78" s="285">
        <v>3783743</v>
      </c>
      <c r="K78" s="286"/>
      <c r="L78" s="265"/>
      <c r="M78" s="266"/>
      <c r="N78" s="265"/>
      <c r="O78" s="286"/>
    </row>
    <row r="79" spans="1:15" ht="15.75" customHeight="1" x14ac:dyDescent="0.25">
      <c r="A79" s="244"/>
      <c r="B79" s="263"/>
      <c r="C79" s="264" t="s">
        <v>226</v>
      </c>
      <c r="D79" s="265">
        <v>2398</v>
      </c>
      <c r="E79" s="266"/>
      <c r="F79" s="265"/>
      <c r="G79" s="266"/>
      <c r="H79" s="265"/>
      <c r="I79" s="286"/>
      <c r="J79" s="261">
        <v>5000</v>
      </c>
      <c r="K79" s="266"/>
      <c r="L79" s="265"/>
      <c r="M79" s="266"/>
      <c r="N79" s="265"/>
      <c r="O79" s="286"/>
    </row>
    <row r="80" spans="1:15" ht="15.75" customHeight="1" x14ac:dyDescent="0.25">
      <c r="A80" s="244"/>
      <c r="B80" s="263"/>
      <c r="C80" s="264" t="s">
        <v>227</v>
      </c>
      <c r="D80" s="276"/>
      <c r="E80" s="277"/>
      <c r="F80" s="276"/>
      <c r="G80" s="277"/>
      <c r="H80" s="276"/>
      <c r="I80" s="290"/>
      <c r="J80" s="276"/>
      <c r="K80" s="266"/>
      <c r="L80" s="265"/>
      <c r="M80" s="266"/>
      <c r="N80" s="265"/>
      <c r="O80" s="286"/>
    </row>
    <row r="81" spans="1:17" ht="15.75" customHeight="1" x14ac:dyDescent="0.25">
      <c r="A81" s="244"/>
      <c r="B81" s="263"/>
      <c r="C81" s="264" t="s">
        <v>228</v>
      </c>
      <c r="D81" s="285">
        <v>78816.899999999994</v>
      </c>
      <c r="E81" s="296"/>
      <c r="F81" s="296"/>
      <c r="G81" s="296"/>
      <c r="H81" s="296"/>
      <c r="I81" s="296"/>
      <c r="J81" s="285">
        <v>78816.899999999994</v>
      </c>
      <c r="K81" s="286"/>
      <c r="L81" s="265"/>
      <c r="M81" s="266"/>
      <c r="N81" s="265"/>
      <c r="O81" s="286"/>
    </row>
    <row r="82" spans="1:17" ht="15.75" customHeight="1" x14ac:dyDescent="0.25">
      <c r="A82" s="244"/>
      <c r="B82" s="263"/>
      <c r="C82" s="264" t="s">
        <v>229</v>
      </c>
      <c r="D82" s="261"/>
      <c r="E82" s="262"/>
      <c r="F82" s="261"/>
      <c r="G82" s="262"/>
      <c r="H82" s="261"/>
      <c r="I82" s="293"/>
      <c r="J82" s="294"/>
      <c r="K82" s="266"/>
      <c r="L82" s="265"/>
      <c r="M82" s="266"/>
      <c r="N82" s="265"/>
      <c r="O82" s="286"/>
    </row>
    <row r="83" spans="1:17" ht="15.75" customHeight="1" x14ac:dyDescent="0.25">
      <c r="A83" s="244"/>
      <c r="B83" s="263"/>
      <c r="C83" s="264" t="s">
        <v>230</v>
      </c>
      <c r="D83" s="265">
        <v>37496.370000000003</v>
      </c>
      <c r="E83" s="266"/>
      <c r="F83" s="265"/>
      <c r="G83" s="266"/>
      <c r="H83" s="265"/>
      <c r="I83" s="295"/>
      <c r="J83" s="285">
        <v>107962.37</v>
      </c>
      <c r="K83" s="286"/>
      <c r="L83" s="265"/>
      <c r="M83" s="266"/>
      <c r="N83" s="265"/>
      <c r="O83" s="286"/>
    </row>
    <row r="84" spans="1:17" ht="15.75" customHeight="1" x14ac:dyDescent="0.25">
      <c r="A84" s="244"/>
      <c r="B84" s="263"/>
      <c r="C84" s="264" t="s">
        <v>231</v>
      </c>
      <c r="D84" s="265"/>
      <c r="E84" s="266"/>
      <c r="F84" s="265"/>
      <c r="G84" s="266"/>
      <c r="H84" s="265"/>
      <c r="I84" s="286"/>
      <c r="J84" s="261"/>
      <c r="K84" s="266"/>
      <c r="L84" s="265"/>
      <c r="M84" s="266"/>
      <c r="N84" s="265"/>
      <c r="O84" s="286"/>
      <c r="Q84" s="297"/>
    </row>
    <row r="85" spans="1:17" ht="15.75" customHeight="1" x14ac:dyDescent="0.25">
      <c r="A85" s="244"/>
      <c r="B85" s="263"/>
      <c r="C85" s="264" t="s">
        <v>232</v>
      </c>
      <c r="D85" s="265"/>
      <c r="E85" s="266"/>
      <c r="F85" s="265"/>
      <c r="G85" s="266"/>
      <c r="H85" s="265"/>
      <c r="I85" s="286"/>
      <c r="J85" s="265"/>
      <c r="K85" s="266"/>
      <c r="L85" s="265"/>
      <c r="M85" s="266"/>
      <c r="N85" s="265"/>
      <c r="O85" s="286"/>
    </row>
    <row r="86" spans="1:17" ht="15.75" customHeight="1" x14ac:dyDescent="0.25">
      <c r="A86" s="244"/>
      <c r="B86" s="274"/>
      <c r="C86" s="291"/>
      <c r="D86" s="276"/>
      <c r="E86" s="277"/>
      <c r="F86" s="276"/>
      <c r="G86" s="277"/>
      <c r="H86" s="276"/>
      <c r="I86" s="290"/>
      <c r="J86" s="276"/>
      <c r="K86" s="277"/>
      <c r="L86" s="276"/>
      <c r="M86" s="277"/>
      <c r="N86" s="276"/>
      <c r="O86" s="290"/>
    </row>
    <row r="87" spans="1:17" ht="15.75" customHeight="1" x14ac:dyDescent="0.25">
      <c r="A87" s="244"/>
      <c r="B87" s="278"/>
      <c r="C87" s="289" t="s">
        <v>38</v>
      </c>
      <c r="D87" s="257">
        <f>SUM(D88:D92)</f>
        <v>412150</v>
      </c>
      <c r="E87" s="258"/>
      <c r="F87" s="257">
        <f>SUM(F88:F92)</f>
        <v>0</v>
      </c>
      <c r="G87" s="258"/>
      <c r="H87" s="257">
        <f>SUM(H88:H92)</f>
        <v>0</v>
      </c>
      <c r="I87" s="292"/>
      <c r="J87" s="257">
        <f>SUM(J88:J92)</f>
        <v>467837</v>
      </c>
      <c r="K87" s="258"/>
      <c r="L87" s="257">
        <f>SUM(L88:L92)</f>
        <v>0</v>
      </c>
      <c r="M87" s="258"/>
      <c r="N87" s="257">
        <f>SUM(N88:N92)</f>
        <v>0</v>
      </c>
      <c r="O87" s="292"/>
    </row>
    <row r="88" spans="1:17" ht="15.75" customHeight="1" x14ac:dyDescent="0.25">
      <c r="A88" s="244"/>
      <c r="B88" s="282"/>
      <c r="C88" s="260" t="s">
        <v>233</v>
      </c>
      <c r="D88" s="261">
        <v>0</v>
      </c>
      <c r="E88" s="262"/>
      <c r="F88" s="261"/>
      <c r="G88" s="262"/>
      <c r="H88" s="261"/>
      <c r="I88" s="293"/>
      <c r="J88" s="294">
        <v>0</v>
      </c>
      <c r="K88" s="262"/>
      <c r="L88" s="261"/>
      <c r="M88" s="262"/>
      <c r="N88" s="261"/>
      <c r="O88" s="293"/>
    </row>
    <row r="89" spans="1:17" ht="15.75" customHeight="1" x14ac:dyDescent="0.25">
      <c r="A89" s="244"/>
      <c r="B89" s="263"/>
      <c r="C89" s="264" t="s">
        <v>234</v>
      </c>
      <c r="D89" s="265">
        <v>377034</v>
      </c>
      <c r="E89" s="266"/>
      <c r="F89" s="265"/>
      <c r="G89" s="266"/>
      <c r="H89" s="265"/>
      <c r="I89" s="295"/>
      <c r="J89" s="285">
        <v>387659</v>
      </c>
      <c r="K89" s="286"/>
      <c r="L89" s="265"/>
      <c r="M89" s="266"/>
      <c r="N89" s="265"/>
      <c r="O89" s="286"/>
    </row>
    <row r="90" spans="1:17" ht="15.75" customHeight="1" x14ac:dyDescent="0.25">
      <c r="A90" s="244"/>
      <c r="B90" s="263"/>
      <c r="C90" s="264" t="s">
        <v>235</v>
      </c>
      <c r="D90" s="265">
        <v>0</v>
      </c>
      <c r="E90" s="266"/>
      <c r="F90" s="265"/>
      <c r="G90" s="266"/>
      <c r="H90" s="265"/>
      <c r="I90" s="286"/>
      <c r="J90" s="261">
        <v>0</v>
      </c>
      <c r="K90" s="266"/>
      <c r="L90" s="265"/>
      <c r="M90" s="266"/>
      <c r="N90" s="265"/>
      <c r="O90" s="286"/>
    </row>
    <row r="91" spans="1:17" ht="15.75" customHeight="1" x14ac:dyDescent="0.25">
      <c r="A91" s="244"/>
      <c r="B91" s="263"/>
      <c r="C91" s="264" t="s">
        <v>236</v>
      </c>
      <c r="D91" s="265">
        <v>35116</v>
      </c>
      <c r="E91" s="266"/>
      <c r="F91" s="265"/>
      <c r="G91" s="266"/>
      <c r="H91" s="265"/>
      <c r="I91" s="286"/>
      <c r="J91" s="265">
        <v>80178</v>
      </c>
      <c r="K91" s="266"/>
      <c r="L91" s="265"/>
      <c r="M91" s="266"/>
      <c r="N91" s="265"/>
      <c r="O91" s="286"/>
    </row>
    <row r="92" spans="1:17" ht="15.75" customHeight="1" x14ac:dyDescent="0.25">
      <c r="A92" s="244"/>
      <c r="B92" s="263"/>
      <c r="C92" s="264" t="s">
        <v>237</v>
      </c>
      <c r="D92" s="265"/>
      <c r="E92" s="266"/>
      <c r="F92" s="265"/>
      <c r="G92" s="266"/>
      <c r="H92" s="265"/>
      <c r="I92" s="286"/>
      <c r="J92" s="265"/>
      <c r="K92" s="266"/>
      <c r="L92" s="265"/>
      <c r="M92" s="266"/>
      <c r="N92" s="265"/>
      <c r="O92" s="286"/>
    </row>
    <row r="93" spans="1:17" ht="15.75" customHeight="1" x14ac:dyDescent="0.25">
      <c r="A93" s="244"/>
      <c r="B93" s="274"/>
      <c r="C93" s="275"/>
      <c r="D93" s="276"/>
      <c r="E93" s="277"/>
      <c r="F93" s="276"/>
      <c r="G93" s="277"/>
      <c r="H93" s="276"/>
      <c r="I93" s="290"/>
      <c r="J93" s="276"/>
      <c r="K93" s="277"/>
      <c r="L93" s="276"/>
      <c r="M93" s="277"/>
      <c r="N93" s="276"/>
      <c r="O93" s="290"/>
    </row>
    <row r="94" spans="1:17" ht="15.75" customHeight="1" x14ac:dyDescent="0.25">
      <c r="A94" s="244"/>
      <c r="B94" s="278"/>
      <c r="C94" s="289" t="s">
        <v>238</v>
      </c>
      <c r="D94" s="257">
        <f>SUM(D95:D96)</f>
        <v>127944.07</v>
      </c>
      <c r="E94" s="258"/>
      <c r="F94" s="257">
        <f>SUM(F95:F96)</f>
        <v>0</v>
      </c>
      <c r="G94" s="258"/>
      <c r="H94" s="257"/>
      <c r="I94" s="292"/>
      <c r="J94" s="257">
        <f>SUM(J95:J96)</f>
        <v>113293.5</v>
      </c>
      <c r="K94" s="258"/>
      <c r="L94" s="257">
        <f>SUM(L95:L96)</f>
        <v>0</v>
      </c>
      <c r="M94" s="258"/>
      <c r="N94" s="257"/>
      <c r="O94" s="292"/>
    </row>
    <row r="95" spans="1:17" ht="15.75" customHeight="1" x14ac:dyDescent="0.25">
      <c r="A95" s="244"/>
      <c r="B95" s="282"/>
      <c r="C95" s="260" t="s">
        <v>239</v>
      </c>
      <c r="D95" s="261"/>
      <c r="E95" s="262"/>
      <c r="F95" s="261"/>
      <c r="G95" s="262"/>
      <c r="H95" s="261"/>
      <c r="I95" s="293"/>
      <c r="J95" s="261">
        <v>54044.5</v>
      </c>
      <c r="K95" s="262"/>
      <c r="L95" s="261"/>
      <c r="M95" s="262"/>
      <c r="N95" s="261"/>
      <c r="O95" s="293"/>
    </row>
    <row r="96" spans="1:17" ht="15.75" customHeight="1" x14ac:dyDescent="0.25">
      <c r="A96" s="244"/>
      <c r="B96" s="263"/>
      <c r="C96" s="264" t="s">
        <v>240</v>
      </c>
      <c r="D96" s="265">
        <v>127944.07</v>
      </c>
      <c r="E96" s="266"/>
      <c r="F96" s="265"/>
      <c r="G96" s="266"/>
      <c r="H96" s="265"/>
      <c r="I96" s="286"/>
      <c r="J96" s="265">
        <v>59249</v>
      </c>
      <c r="K96" s="266"/>
      <c r="L96" s="265"/>
      <c r="M96" s="266"/>
      <c r="N96" s="265"/>
      <c r="O96" s="286"/>
    </row>
    <row r="97" spans="1:15" ht="15.75" customHeight="1" x14ac:dyDescent="0.25">
      <c r="A97" s="244"/>
      <c r="B97" s="274"/>
      <c r="C97" s="275"/>
      <c r="D97" s="276"/>
      <c r="E97" s="277"/>
      <c r="F97" s="276"/>
      <c r="G97" s="277"/>
      <c r="H97" s="276"/>
      <c r="I97" s="290"/>
      <c r="J97" s="276"/>
      <c r="K97" s="277"/>
      <c r="L97" s="276"/>
      <c r="M97" s="277"/>
      <c r="N97" s="276"/>
      <c r="O97" s="290"/>
    </row>
    <row r="98" spans="1:15" ht="15.75" customHeight="1" x14ac:dyDescent="0.25">
      <c r="A98" s="244"/>
      <c r="B98" s="278"/>
      <c r="C98" s="289" t="s">
        <v>40</v>
      </c>
      <c r="D98" s="257">
        <f>SUM(D99:D112)</f>
        <v>312971.5</v>
      </c>
      <c r="E98" s="258"/>
      <c r="F98" s="257">
        <f>SUM(F99:F111)</f>
        <v>737.5</v>
      </c>
      <c r="G98" s="258"/>
      <c r="H98" s="257">
        <f>SUM(H99:H111)</f>
        <v>737.5</v>
      </c>
      <c r="I98" s="292"/>
      <c r="J98" s="257">
        <f>SUM(J99:J112)</f>
        <v>2043928.5</v>
      </c>
      <c r="K98" s="258"/>
      <c r="L98" s="257">
        <f>SUM(L99:L111)</f>
        <v>0</v>
      </c>
      <c r="M98" s="258"/>
      <c r="N98" s="257">
        <f>SUM(N99:N111)</f>
        <v>0</v>
      </c>
      <c r="O98" s="292"/>
    </row>
    <row r="99" spans="1:15" ht="15.75" customHeight="1" x14ac:dyDescent="0.25">
      <c r="A99" s="244"/>
      <c r="B99" s="282"/>
      <c r="C99" s="260" t="s">
        <v>241</v>
      </c>
      <c r="D99" s="261">
        <v>0</v>
      </c>
      <c r="E99" s="262"/>
      <c r="F99" s="261"/>
      <c r="G99" s="262"/>
      <c r="H99" s="261"/>
      <c r="I99" s="293"/>
      <c r="J99" s="261">
        <v>0</v>
      </c>
      <c r="K99" s="262"/>
      <c r="L99" s="261"/>
      <c r="M99" s="262"/>
      <c r="N99" s="261"/>
      <c r="O99" s="293"/>
    </row>
    <row r="100" spans="1:15" ht="15.75" customHeight="1" x14ac:dyDescent="0.25">
      <c r="A100" s="244"/>
      <c r="B100" s="263"/>
      <c r="C100" s="264" t="s">
        <v>242</v>
      </c>
      <c r="D100" s="265">
        <v>66358</v>
      </c>
      <c r="E100" s="266"/>
      <c r="F100" s="265"/>
      <c r="G100" s="266"/>
      <c r="H100" s="265"/>
      <c r="I100" s="286"/>
      <c r="J100" s="265">
        <v>106478</v>
      </c>
      <c r="K100" s="266"/>
      <c r="L100" s="265"/>
      <c r="M100" s="266"/>
      <c r="N100" s="265"/>
      <c r="O100" s="286"/>
    </row>
    <row r="101" spans="1:15" ht="15.75" customHeight="1" x14ac:dyDescent="0.25">
      <c r="A101" s="244"/>
      <c r="B101" s="263"/>
      <c r="C101" s="264" t="s">
        <v>243</v>
      </c>
      <c r="D101" s="265"/>
      <c r="E101" s="266"/>
      <c r="F101" s="265"/>
      <c r="G101" s="266"/>
      <c r="H101" s="265"/>
      <c r="I101" s="286"/>
      <c r="J101" s="265"/>
      <c r="K101" s="266"/>
      <c r="L101" s="265"/>
      <c r="M101" s="266"/>
      <c r="N101" s="265"/>
      <c r="O101" s="286"/>
    </row>
    <row r="102" spans="1:15" ht="15.75" customHeight="1" x14ac:dyDescent="0.25">
      <c r="A102" s="244"/>
      <c r="B102" s="263"/>
      <c r="C102" s="264" t="s">
        <v>244</v>
      </c>
      <c r="D102" s="265"/>
      <c r="E102" s="266"/>
      <c r="F102" s="265"/>
      <c r="G102" s="266"/>
      <c r="H102" s="265"/>
      <c r="I102" s="286"/>
      <c r="J102" s="265"/>
      <c r="K102" s="266"/>
      <c r="L102" s="265"/>
      <c r="M102" s="266"/>
      <c r="N102" s="265"/>
      <c r="O102" s="286"/>
    </row>
    <row r="103" spans="1:15" ht="15.75" customHeight="1" x14ac:dyDescent="0.25">
      <c r="A103" s="244"/>
      <c r="B103" s="263"/>
      <c r="C103" s="264" t="s">
        <v>245</v>
      </c>
      <c r="D103" s="265">
        <v>32234</v>
      </c>
      <c r="E103" s="266"/>
      <c r="F103" s="265"/>
      <c r="G103" s="266"/>
      <c r="H103" s="265"/>
      <c r="I103" s="286"/>
      <c r="J103" s="265">
        <v>56525</v>
      </c>
      <c r="K103" s="266"/>
      <c r="L103" s="265"/>
      <c r="M103" s="266"/>
      <c r="N103" s="265"/>
      <c r="O103" s="286"/>
    </row>
    <row r="104" spans="1:15" ht="15.75" customHeight="1" x14ac:dyDescent="0.25">
      <c r="A104" s="244"/>
      <c r="B104" s="263"/>
      <c r="C104" s="264" t="s">
        <v>246</v>
      </c>
      <c r="D104" s="265">
        <v>737.5</v>
      </c>
      <c r="E104" s="265">
        <v>737.5</v>
      </c>
      <c r="F104" s="265">
        <v>737.5</v>
      </c>
      <c r="G104" s="265">
        <v>737.5</v>
      </c>
      <c r="H104" s="265">
        <v>737.5</v>
      </c>
      <c r="I104" s="265">
        <v>737.5</v>
      </c>
      <c r="J104" s="265">
        <v>737.5</v>
      </c>
      <c r="K104" s="266"/>
      <c r="L104" s="265"/>
      <c r="M104" s="266"/>
      <c r="N104" s="265"/>
      <c r="O104" s="286"/>
    </row>
    <row r="105" spans="1:15" ht="15.75" customHeight="1" x14ac:dyDescent="0.25">
      <c r="A105" s="244"/>
      <c r="B105" s="263"/>
      <c r="C105" s="264" t="s">
        <v>247</v>
      </c>
      <c r="D105" s="265">
        <v>161262</v>
      </c>
      <c r="E105" s="266"/>
      <c r="F105" s="265"/>
      <c r="G105" s="266"/>
      <c r="H105" s="265"/>
      <c r="I105" s="286"/>
      <c r="J105" s="265">
        <v>1842716</v>
      </c>
      <c r="K105" s="266"/>
      <c r="L105" s="265"/>
      <c r="M105" s="266"/>
      <c r="N105" s="265"/>
      <c r="O105" s="286"/>
    </row>
    <row r="106" spans="1:15" ht="15.75" customHeight="1" x14ac:dyDescent="0.25">
      <c r="A106" s="244"/>
      <c r="B106" s="263"/>
      <c r="C106" s="264" t="s">
        <v>248</v>
      </c>
      <c r="D106" s="265"/>
      <c r="E106" s="266"/>
      <c r="F106" s="265"/>
      <c r="G106" s="266"/>
      <c r="H106" s="265"/>
      <c r="I106" s="286"/>
      <c r="J106" s="265"/>
      <c r="K106" s="266"/>
      <c r="L106" s="265"/>
      <c r="M106" s="266"/>
      <c r="N106" s="265"/>
      <c r="O106" s="286"/>
    </row>
    <row r="107" spans="1:15" ht="15.75" customHeight="1" x14ac:dyDescent="0.25">
      <c r="A107" s="244"/>
      <c r="B107" s="263"/>
      <c r="C107" s="264" t="s">
        <v>249</v>
      </c>
      <c r="D107" s="265"/>
      <c r="E107" s="266"/>
      <c r="F107" s="265"/>
      <c r="G107" s="266"/>
      <c r="H107" s="265"/>
      <c r="I107" s="286"/>
      <c r="J107" s="265"/>
      <c r="K107" s="266"/>
      <c r="L107" s="265"/>
      <c r="M107" s="266"/>
      <c r="N107" s="265"/>
      <c r="O107" s="286"/>
    </row>
    <row r="108" spans="1:15" ht="15.75" customHeight="1" x14ac:dyDescent="0.25">
      <c r="A108" s="244"/>
      <c r="B108" s="263"/>
      <c r="C108" s="264" t="s">
        <v>250</v>
      </c>
      <c r="D108" s="265"/>
      <c r="E108" s="266"/>
      <c r="F108" s="265"/>
      <c r="G108" s="266"/>
      <c r="H108" s="265"/>
      <c r="I108" s="286"/>
      <c r="J108" s="265"/>
      <c r="K108" s="266"/>
      <c r="L108" s="265"/>
      <c r="M108" s="266"/>
      <c r="N108" s="265"/>
      <c r="O108" s="286"/>
    </row>
    <row r="109" spans="1:15" ht="15.75" customHeight="1" x14ac:dyDescent="0.25">
      <c r="A109" s="244"/>
      <c r="B109" s="263"/>
      <c r="C109" s="264" t="s">
        <v>251</v>
      </c>
      <c r="D109" s="265">
        <v>52380</v>
      </c>
      <c r="E109" s="266"/>
      <c r="F109" s="265"/>
      <c r="G109" s="266"/>
      <c r="H109" s="265"/>
      <c r="I109" s="286"/>
      <c r="J109" s="265">
        <v>37472</v>
      </c>
      <c r="K109" s="266"/>
      <c r="L109" s="265"/>
      <c r="M109" s="266"/>
      <c r="N109" s="265"/>
      <c r="O109" s="286"/>
    </row>
    <row r="110" spans="1:15" ht="15.75" customHeight="1" x14ac:dyDescent="0.25">
      <c r="A110" s="244"/>
      <c r="B110" s="263"/>
      <c r="C110" s="264" t="s">
        <v>252</v>
      </c>
      <c r="D110" s="265"/>
      <c r="E110" s="266"/>
      <c r="F110" s="265"/>
      <c r="G110" s="266"/>
      <c r="H110" s="265"/>
      <c r="I110" s="286"/>
      <c r="J110" s="265"/>
      <c r="K110" s="266"/>
      <c r="L110" s="265"/>
      <c r="M110" s="266"/>
      <c r="N110" s="265"/>
      <c r="O110" s="286"/>
    </row>
    <row r="111" spans="1:15" ht="15.75" customHeight="1" x14ac:dyDescent="0.25">
      <c r="A111" s="244"/>
      <c r="B111" s="263"/>
      <c r="C111" s="264" t="s">
        <v>177</v>
      </c>
      <c r="D111" s="265"/>
      <c r="E111" s="266"/>
      <c r="F111" s="265"/>
      <c r="G111" s="266"/>
      <c r="H111" s="265"/>
      <c r="I111" s="286"/>
      <c r="J111" s="265"/>
      <c r="K111" s="266"/>
      <c r="L111" s="265"/>
      <c r="M111" s="266"/>
      <c r="N111" s="265"/>
      <c r="O111" s="286"/>
    </row>
    <row r="112" spans="1:15" ht="15.75" customHeight="1" x14ac:dyDescent="0.25">
      <c r="A112" s="244"/>
      <c r="B112" s="274"/>
      <c r="C112" s="298"/>
      <c r="D112" s="276"/>
      <c r="E112" s="277"/>
      <c r="F112" s="276"/>
      <c r="G112" s="277"/>
      <c r="H112" s="276"/>
      <c r="I112" s="290"/>
      <c r="J112" s="276"/>
      <c r="K112" s="277"/>
      <c r="L112" s="276"/>
      <c r="M112" s="277"/>
      <c r="N112" s="276"/>
      <c r="O112" s="290"/>
    </row>
    <row r="113" spans="1:15" ht="15.75" customHeight="1" x14ac:dyDescent="0.25">
      <c r="A113" s="244"/>
      <c r="B113" s="278"/>
      <c r="C113" s="289" t="s">
        <v>41</v>
      </c>
      <c r="D113" s="257">
        <f>SUM(D114:D116)</f>
        <v>140349</v>
      </c>
      <c r="E113" s="258">
        <f>SUM(E114:E115)</f>
        <v>0</v>
      </c>
      <c r="F113" s="257">
        <f>SUM(F114:F116)</f>
        <v>0</v>
      </c>
      <c r="G113" s="258"/>
      <c r="H113" s="257"/>
      <c r="I113" s="292">
        <f>SUM(I114:I115)</f>
        <v>0</v>
      </c>
      <c r="J113" s="257">
        <f>SUM(J114:J116)</f>
        <v>687949</v>
      </c>
      <c r="K113" s="258">
        <f>SUM(K114:K115)</f>
        <v>0</v>
      </c>
      <c r="L113" s="257">
        <f>SUM(L114:L116)</f>
        <v>0</v>
      </c>
      <c r="M113" s="258"/>
      <c r="N113" s="257"/>
      <c r="O113" s="292">
        <f>SUM(O114:O115)</f>
        <v>0</v>
      </c>
    </row>
    <row r="114" spans="1:15" ht="15.75" customHeight="1" x14ac:dyDescent="0.25">
      <c r="A114" s="244"/>
      <c r="B114" s="282"/>
      <c r="C114" s="260" t="s">
        <v>253</v>
      </c>
      <c r="D114" s="261"/>
      <c r="E114" s="262"/>
      <c r="F114" s="261"/>
      <c r="G114" s="262"/>
      <c r="H114" s="261"/>
      <c r="I114" s="293"/>
      <c r="J114" s="261"/>
      <c r="K114" s="262"/>
      <c r="L114" s="261"/>
      <c r="M114" s="262"/>
      <c r="N114" s="261"/>
      <c r="O114" s="293"/>
    </row>
    <row r="115" spans="1:15" ht="15.75" customHeight="1" x14ac:dyDescent="0.25">
      <c r="A115" s="244"/>
      <c r="B115" s="263"/>
      <c r="C115" s="264" t="s">
        <v>254</v>
      </c>
      <c r="D115" s="265">
        <v>140349</v>
      </c>
      <c r="E115" s="266"/>
      <c r="F115" s="265"/>
      <c r="G115" s="266"/>
      <c r="H115" s="265"/>
      <c r="I115" s="286"/>
      <c r="J115" s="265">
        <v>687949</v>
      </c>
      <c r="K115" s="266"/>
      <c r="L115" s="265"/>
      <c r="M115" s="266"/>
      <c r="N115" s="265"/>
      <c r="O115" s="286"/>
    </row>
    <row r="116" spans="1:15" ht="15.75" customHeight="1" x14ac:dyDescent="0.25">
      <c r="A116" s="244"/>
      <c r="B116" s="274"/>
      <c r="C116" s="275"/>
      <c r="D116" s="276"/>
      <c r="E116" s="277"/>
      <c r="F116" s="276"/>
      <c r="G116" s="277"/>
      <c r="H116" s="276"/>
      <c r="I116" s="290"/>
      <c r="J116" s="276"/>
      <c r="K116" s="277"/>
      <c r="L116" s="276"/>
      <c r="M116" s="277"/>
      <c r="N116" s="276"/>
      <c r="O116" s="290"/>
    </row>
    <row r="117" spans="1:15" ht="15.75" customHeight="1" x14ac:dyDescent="0.25">
      <c r="A117" s="244"/>
      <c r="B117" s="278"/>
      <c r="C117" s="289" t="s">
        <v>42</v>
      </c>
      <c r="D117" s="257">
        <f>SUM(D118:D119)</f>
        <v>327777.40999999997</v>
      </c>
      <c r="E117" s="258"/>
      <c r="F117" s="257">
        <f>SUM(F118:F119)</f>
        <v>0</v>
      </c>
      <c r="G117" s="258"/>
      <c r="H117" s="257"/>
      <c r="I117" s="292"/>
      <c r="J117" s="257">
        <f>SUM(J118:J119)</f>
        <v>25013</v>
      </c>
      <c r="K117" s="258"/>
      <c r="L117" s="257">
        <f>SUM(L118:L119)</f>
        <v>0</v>
      </c>
      <c r="M117" s="258"/>
      <c r="N117" s="257"/>
      <c r="O117" s="292"/>
    </row>
    <row r="118" spans="1:15" ht="15.75" customHeight="1" x14ac:dyDescent="0.25">
      <c r="A118" s="244"/>
      <c r="B118" s="282"/>
      <c r="C118" s="260" t="s">
        <v>255</v>
      </c>
      <c r="D118" s="261">
        <v>327777.40999999997</v>
      </c>
      <c r="E118" s="262"/>
      <c r="F118" s="261"/>
      <c r="G118" s="262"/>
      <c r="H118" s="261"/>
      <c r="I118" s="293"/>
      <c r="J118" s="261">
        <v>25013</v>
      </c>
      <c r="K118" s="262"/>
      <c r="L118" s="261"/>
      <c r="M118" s="262"/>
      <c r="N118" s="261"/>
      <c r="O118" s="293"/>
    </row>
    <row r="119" spans="1:15" ht="15.75" customHeight="1" x14ac:dyDescent="0.25">
      <c r="A119" s="244"/>
      <c r="B119" s="263"/>
      <c r="C119" s="264" t="s">
        <v>256</v>
      </c>
      <c r="D119" s="265"/>
      <c r="E119" s="266"/>
      <c r="F119" s="265"/>
      <c r="G119" s="266"/>
      <c r="H119" s="265"/>
      <c r="I119" s="286"/>
      <c r="J119" s="265"/>
      <c r="K119" s="266"/>
      <c r="L119" s="265"/>
      <c r="M119" s="266"/>
      <c r="N119" s="265"/>
      <c r="O119" s="286"/>
    </row>
    <row r="120" spans="1:15" ht="15.75" customHeight="1" x14ac:dyDescent="0.25">
      <c r="A120" s="244"/>
      <c r="B120" s="299"/>
      <c r="C120" s="275"/>
      <c r="D120" s="276"/>
      <c r="E120" s="277"/>
      <c r="F120" s="276"/>
      <c r="G120" s="277"/>
      <c r="H120" s="276"/>
      <c r="I120" s="290"/>
      <c r="J120" s="276"/>
      <c r="K120" s="277"/>
      <c r="L120" s="276"/>
      <c r="M120" s="277"/>
      <c r="N120" s="276"/>
      <c r="O120" s="290"/>
    </row>
    <row r="121" spans="1:15" ht="15.75" customHeight="1" x14ac:dyDescent="0.25">
      <c r="A121" s="244"/>
      <c r="B121" s="278"/>
      <c r="C121" s="256" t="s">
        <v>257</v>
      </c>
      <c r="D121" s="257">
        <f>D43+D52+D63+D70+D76+D87+D94+D98+D113+D117</f>
        <v>6066780.4966666671</v>
      </c>
      <c r="E121" s="258"/>
      <c r="F121" s="257">
        <f>F43+F52+F63+F70+F76+F87+F94+F98+F113+F117</f>
        <v>53837.5</v>
      </c>
      <c r="G121" s="258"/>
      <c r="H121" s="257"/>
      <c r="I121" s="292"/>
      <c r="J121" s="257">
        <f>J43+J52+J63+J70+J76+J87+J94+J98+J113+J117</f>
        <v>8202251.2699999996</v>
      </c>
      <c r="K121" s="258"/>
      <c r="L121" s="257">
        <f>L43+L52+L63+L70+L76+L87+L94+L98+L113+L117</f>
        <v>0</v>
      </c>
      <c r="M121" s="258"/>
      <c r="N121" s="257"/>
      <c r="O121" s="292"/>
    </row>
    <row r="122" spans="1:15" ht="15.75" customHeight="1" x14ac:dyDescent="0.25">
      <c r="A122" s="244"/>
      <c r="B122" s="300"/>
      <c r="C122" s="251"/>
      <c r="D122" s="294"/>
      <c r="E122" s="301"/>
      <c r="F122" s="294"/>
      <c r="G122" s="301"/>
      <c r="H122" s="294"/>
      <c r="I122" s="302"/>
      <c r="J122" s="294"/>
      <c r="K122" s="301"/>
      <c r="L122" s="294"/>
      <c r="M122" s="301"/>
      <c r="N122" s="294"/>
      <c r="O122" s="302"/>
    </row>
    <row r="123" spans="1:15" ht="15.75" customHeight="1" x14ac:dyDescent="0.25">
      <c r="A123" s="244"/>
      <c r="B123" s="278"/>
      <c r="C123" s="256" t="s">
        <v>258</v>
      </c>
      <c r="D123" s="257">
        <f>D35-D121</f>
        <v>-6066780.4966666671</v>
      </c>
      <c r="E123" s="258"/>
      <c r="F123" s="257">
        <f>F35-F121</f>
        <v>-53837.5</v>
      </c>
      <c r="G123" s="258"/>
      <c r="H123" s="257">
        <f>H35-H121</f>
        <v>0</v>
      </c>
      <c r="I123" s="292"/>
      <c r="J123" s="257">
        <f>J35-J121</f>
        <v>-8202251.2699999996</v>
      </c>
      <c r="K123" s="258"/>
      <c r="L123" s="257">
        <f>L35-L121</f>
        <v>0</v>
      </c>
      <c r="M123" s="258"/>
      <c r="N123" s="257">
        <f>N35-N121</f>
        <v>0</v>
      </c>
      <c r="O123" s="292"/>
    </row>
    <row r="124" spans="1:15" ht="15.75" customHeight="1" x14ac:dyDescent="0.25">
      <c r="A124" s="244"/>
      <c r="B124" s="244"/>
      <c r="C124" s="244"/>
      <c r="D124" s="244"/>
      <c r="E124" s="244"/>
      <c r="F124" s="244"/>
      <c r="G124" s="244"/>
      <c r="H124" s="244"/>
      <c r="I124" s="244"/>
      <c r="J124" s="244"/>
      <c r="K124" s="244"/>
      <c r="L124" s="244"/>
      <c r="M124" s="244"/>
      <c r="N124" s="244"/>
      <c r="O124" s="244"/>
    </row>
    <row r="125" spans="1:15" ht="15.75" customHeight="1" x14ac:dyDescent="0.25">
      <c r="A125" s="244"/>
      <c r="B125" s="244"/>
      <c r="C125" s="244"/>
      <c r="D125" s="244"/>
      <c r="E125" s="244"/>
      <c r="F125" s="244"/>
      <c r="G125" s="244"/>
      <c r="H125" s="244"/>
      <c r="I125" s="244"/>
      <c r="J125" s="244"/>
      <c r="K125" s="244"/>
      <c r="L125" s="244"/>
      <c r="M125" s="244"/>
      <c r="N125" s="244"/>
      <c r="O125" s="244"/>
    </row>
    <row r="126" spans="1:15" ht="15.75" customHeight="1" x14ac:dyDescent="0.25">
      <c r="A126" s="244"/>
      <c r="B126" s="244"/>
      <c r="C126" s="244"/>
      <c r="D126" s="244"/>
      <c r="E126" s="244"/>
      <c r="F126" s="244"/>
      <c r="G126" s="244"/>
      <c r="H126" s="244"/>
      <c r="I126" s="244"/>
      <c r="J126" s="244"/>
      <c r="K126" s="244"/>
      <c r="L126" s="244"/>
      <c r="M126" s="244"/>
      <c r="N126" s="244"/>
      <c r="O126" s="244"/>
    </row>
    <row r="127" spans="1:15" ht="15.75" customHeight="1" x14ac:dyDescent="0.25">
      <c r="A127" s="244"/>
      <c r="B127" s="244"/>
      <c r="C127" s="244"/>
      <c r="D127" s="244"/>
      <c r="E127" s="244"/>
      <c r="F127" s="244"/>
      <c r="G127" s="244"/>
      <c r="H127" s="244"/>
      <c r="I127" s="244"/>
      <c r="J127" s="244"/>
      <c r="K127" s="244"/>
      <c r="L127" s="244"/>
      <c r="M127" s="244"/>
      <c r="N127" s="244"/>
      <c r="O127" s="244"/>
    </row>
    <row r="128" spans="1:15" ht="15.75" customHeight="1" x14ac:dyDescent="0.25">
      <c r="A128" s="244"/>
      <c r="B128" s="244"/>
      <c r="C128" s="244"/>
      <c r="D128" s="244"/>
      <c r="E128" s="244"/>
      <c r="F128" s="244"/>
      <c r="G128" s="244"/>
      <c r="H128" s="244"/>
      <c r="I128" s="244"/>
      <c r="J128" s="244"/>
      <c r="K128" s="244"/>
      <c r="L128" s="244"/>
      <c r="M128" s="244"/>
      <c r="N128" s="244"/>
      <c r="O128" s="244"/>
    </row>
    <row r="129" spans="1:15" ht="15.75" customHeight="1" x14ac:dyDescent="0.25">
      <c r="A129" s="244"/>
      <c r="B129" s="244"/>
      <c r="C129" s="244"/>
      <c r="D129" s="244"/>
      <c r="E129" s="244"/>
      <c r="F129" s="244"/>
      <c r="G129" s="244"/>
      <c r="H129" s="244"/>
      <c r="I129" s="244"/>
      <c r="J129" s="244"/>
      <c r="K129" s="244"/>
      <c r="L129" s="244"/>
      <c r="M129" s="244"/>
      <c r="N129" s="244"/>
      <c r="O129" s="244"/>
    </row>
    <row r="130" spans="1:15" ht="15.75" customHeight="1" x14ac:dyDescent="0.25">
      <c r="A130" s="244"/>
      <c r="B130" s="244"/>
      <c r="C130" s="244"/>
      <c r="D130" s="244"/>
      <c r="E130" s="244"/>
      <c r="F130" s="244"/>
      <c r="G130" s="244"/>
      <c r="H130" s="244"/>
      <c r="I130" s="244"/>
      <c r="J130" s="244"/>
      <c r="K130" s="244"/>
      <c r="L130" s="244"/>
      <c r="M130" s="244"/>
      <c r="N130" s="244"/>
      <c r="O130" s="244"/>
    </row>
    <row r="131" spans="1:15" ht="15.75" customHeight="1" x14ac:dyDescent="0.25">
      <c r="A131" s="244"/>
      <c r="B131" s="244"/>
      <c r="C131" s="244"/>
      <c r="D131" s="244"/>
      <c r="E131" s="244"/>
      <c r="F131" s="244"/>
      <c r="G131" s="244"/>
      <c r="H131" s="244"/>
      <c r="I131" s="244"/>
      <c r="J131" s="244"/>
      <c r="K131" s="244"/>
      <c r="L131" s="244"/>
      <c r="M131" s="244"/>
      <c r="N131" s="244"/>
      <c r="O131" s="244"/>
    </row>
    <row r="132" spans="1:15" ht="15.75" customHeight="1" x14ac:dyDescent="0.25">
      <c r="A132" s="244"/>
      <c r="B132" s="244"/>
      <c r="C132" s="244"/>
      <c r="D132" s="244"/>
      <c r="E132" s="244"/>
      <c r="F132" s="244"/>
      <c r="G132" s="244"/>
      <c r="H132" s="244"/>
      <c r="I132" s="244"/>
      <c r="J132" s="244"/>
      <c r="K132" s="244"/>
      <c r="L132" s="244"/>
      <c r="M132" s="244"/>
      <c r="N132" s="244"/>
      <c r="O132" s="244"/>
    </row>
    <row r="133" spans="1:15" ht="15.75" customHeight="1" x14ac:dyDescent="0.25">
      <c r="A133" s="244"/>
      <c r="B133" s="244"/>
      <c r="C133" s="244"/>
      <c r="D133" s="244"/>
      <c r="E133" s="244"/>
      <c r="F133" s="244"/>
      <c r="G133" s="244"/>
      <c r="H133" s="244"/>
      <c r="I133" s="244"/>
      <c r="J133" s="244"/>
      <c r="K133" s="244"/>
      <c r="L133" s="244"/>
      <c r="M133" s="244"/>
      <c r="N133" s="244"/>
      <c r="O133" s="244"/>
    </row>
    <row r="134" spans="1:15" ht="15.75" customHeight="1" x14ac:dyDescent="0.25">
      <c r="A134" s="244"/>
      <c r="B134" s="244"/>
      <c r="C134" s="244"/>
      <c r="D134" s="244"/>
      <c r="E134" s="244"/>
      <c r="F134" s="244"/>
      <c r="G134" s="244"/>
      <c r="H134" s="244"/>
      <c r="I134" s="244"/>
      <c r="J134" s="244"/>
      <c r="K134" s="244"/>
      <c r="L134" s="244"/>
      <c r="M134" s="244"/>
      <c r="N134" s="244"/>
      <c r="O134" s="244"/>
    </row>
    <row r="135" spans="1:15" ht="15.75" customHeight="1" x14ac:dyDescent="0.25">
      <c r="A135" s="244"/>
      <c r="B135" s="244"/>
      <c r="C135" s="244"/>
      <c r="D135" s="244"/>
      <c r="E135" s="244"/>
      <c r="F135" s="244"/>
      <c r="G135" s="244"/>
      <c r="H135" s="244"/>
      <c r="I135" s="244"/>
      <c r="J135" s="244"/>
      <c r="K135" s="244"/>
      <c r="L135" s="244"/>
      <c r="M135" s="244"/>
      <c r="N135" s="244"/>
      <c r="O135" s="244"/>
    </row>
    <row r="136" spans="1:15" ht="15.75" customHeight="1" x14ac:dyDescent="0.25">
      <c r="A136" s="244"/>
      <c r="B136" s="244"/>
      <c r="C136" s="244"/>
      <c r="D136" s="244"/>
      <c r="E136" s="244"/>
      <c r="F136" s="244"/>
      <c r="G136" s="244"/>
      <c r="H136" s="244"/>
      <c r="I136" s="244"/>
      <c r="J136" s="244"/>
      <c r="K136" s="244"/>
      <c r="L136" s="244"/>
      <c r="M136" s="244"/>
      <c r="N136" s="244"/>
      <c r="O136" s="244"/>
    </row>
    <row r="137" spans="1:15" ht="15.75" customHeight="1" x14ac:dyDescent="0.25">
      <c r="A137" s="244"/>
      <c r="B137" s="244"/>
      <c r="C137" s="244"/>
      <c r="D137" s="244"/>
      <c r="E137" s="244"/>
      <c r="F137" s="244"/>
      <c r="G137" s="244"/>
      <c r="H137" s="244"/>
      <c r="I137" s="244"/>
      <c r="J137" s="244"/>
      <c r="K137" s="244"/>
      <c r="L137" s="244"/>
      <c r="M137" s="244"/>
      <c r="N137" s="244"/>
      <c r="O137" s="244"/>
    </row>
    <row r="138" spans="1:15" ht="15.75" customHeight="1" x14ac:dyDescent="0.25">
      <c r="A138" s="244"/>
      <c r="B138" s="244"/>
      <c r="C138" s="244"/>
      <c r="D138" s="244"/>
      <c r="E138" s="244"/>
      <c r="F138" s="244"/>
      <c r="G138" s="244"/>
      <c r="H138" s="244"/>
      <c r="I138" s="244"/>
      <c r="J138" s="244"/>
      <c r="K138" s="244"/>
      <c r="L138" s="244"/>
      <c r="M138" s="244"/>
      <c r="N138" s="244"/>
      <c r="O138" s="244"/>
    </row>
    <row r="139" spans="1:15" ht="15.75" customHeight="1" x14ac:dyDescent="0.25">
      <c r="A139" s="244"/>
      <c r="B139" s="244"/>
      <c r="C139" s="244"/>
      <c r="D139" s="244"/>
      <c r="E139" s="244"/>
      <c r="F139" s="244"/>
      <c r="G139" s="244"/>
      <c r="H139" s="244"/>
      <c r="I139" s="244"/>
      <c r="J139" s="244"/>
      <c r="K139" s="244"/>
      <c r="L139" s="244"/>
      <c r="M139" s="244"/>
      <c r="N139" s="244"/>
      <c r="O139" s="244"/>
    </row>
    <row r="140" spans="1:15" ht="15.75" customHeight="1" x14ac:dyDescent="0.25">
      <c r="A140" s="244"/>
      <c r="B140" s="244"/>
      <c r="C140" s="244"/>
      <c r="D140" s="244"/>
      <c r="E140" s="244"/>
      <c r="F140" s="244"/>
      <c r="G140" s="244"/>
      <c r="H140" s="244"/>
      <c r="I140" s="244"/>
      <c r="J140" s="244"/>
      <c r="K140" s="244"/>
      <c r="L140" s="244"/>
      <c r="M140" s="244"/>
      <c r="N140" s="244"/>
      <c r="O140" s="244"/>
    </row>
    <row r="141" spans="1:15" ht="15.75" customHeight="1" x14ac:dyDescent="0.25">
      <c r="A141" s="244"/>
      <c r="B141" s="244"/>
      <c r="C141" s="244"/>
      <c r="D141" s="244"/>
      <c r="E141" s="244"/>
      <c r="F141" s="244"/>
      <c r="G141" s="244"/>
      <c r="H141" s="244"/>
      <c r="I141" s="244"/>
      <c r="J141" s="244"/>
      <c r="K141" s="244"/>
      <c r="L141" s="244"/>
      <c r="M141" s="244"/>
      <c r="N141" s="244"/>
      <c r="O141" s="244"/>
    </row>
    <row r="142" spans="1:15" ht="15.75" customHeight="1" x14ac:dyDescent="0.25">
      <c r="A142" s="244"/>
      <c r="B142" s="244"/>
      <c r="C142" s="244"/>
      <c r="D142" s="244"/>
      <c r="E142" s="244"/>
      <c r="F142" s="244"/>
      <c r="G142" s="244"/>
      <c r="H142" s="244"/>
      <c r="I142" s="244"/>
      <c r="J142" s="244"/>
      <c r="K142" s="244"/>
      <c r="L142" s="244"/>
      <c r="M142" s="244"/>
      <c r="N142" s="244"/>
      <c r="O142" s="244"/>
    </row>
    <row r="143" spans="1:15" ht="15.75" customHeight="1" x14ac:dyDescent="0.25">
      <c r="A143" s="244"/>
      <c r="B143" s="244"/>
      <c r="C143" s="244"/>
      <c r="D143" s="244"/>
      <c r="E143" s="244"/>
      <c r="F143" s="244"/>
      <c r="G143" s="244"/>
      <c r="H143" s="244"/>
      <c r="I143" s="244"/>
      <c r="J143" s="244"/>
      <c r="K143" s="244"/>
      <c r="L143" s="244"/>
      <c r="M143" s="244"/>
      <c r="N143" s="244"/>
      <c r="O143" s="244"/>
    </row>
    <row r="144" spans="1:15" ht="15.75" customHeight="1" x14ac:dyDescent="0.25">
      <c r="A144" s="244"/>
      <c r="B144" s="244"/>
      <c r="C144" s="244"/>
      <c r="D144" s="244"/>
      <c r="E144" s="244"/>
      <c r="F144" s="244"/>
      <c r="G144" s="244"/>
      <c r="H144" s="244"/>
      <c r="I144" s="244"/>
      <c r="J144" s="244"/>
      <c r="K144" s="244"/>
      <c r="L144" s="244"/>
      <c r="M144" s="244"/>
      <c r="N144" s="244"/>
      <c r="O144" s="244"/>
    </row>
    <row r="145" spans="1:15" ht="15.75" customHeight="1" x14ac:dyDescent="0.25">
      <c r="A145" s="244"/>
      <c r="B145" s="244"/>
      <c r="C145" s="244"/>
      <c r="D145" s="244"/>
      <c r="E145" s="244"/>
      <c r="F145" s="244"/>
      <c r="G145" s="244"/>
      <c r="H145" s="244"/>
      <c r="I145" s="244"/>
      <c r="J145" s="244"/>
      <c r="K145" s="244"/>
      <c r="L145" s="244"/>
      <c r="M145" s="244"/>
      <c r="N145" s="244"/>
      <c r="O145" s="244"/>
    </row>
    <row r="146" spans="1:15" ht="15.75" customHeight="1" x14ac:dyDescent="0.25">
      <c r="A146" s="244"/>
      <c r="B146" s="244"/>
      <c r="C146" s="244"/>
      <c r="D146" s="244"/>
      <c r="E146" s="244"/>
      <c r="F146" s="244"/>
      <c r="G146" s="244"/>
      <c r="H146" s="244"/>
      <c r="I146" s="244"/>
      <c r="J146" s="244"/>
      <c r="K146" s="244"/>
      <c r="L146" s="244"/>
      <c r="M146" s="244"/>
      <c r="N146" s="244"/>
      <c r="O146" s="244"/>
    </row>
    <row r="147" spans="1:15" ht="15.75" customHeight="1" x14ac:dyDescent="0.25">
      <c r="A147" s="244"/>
      <c r="B147" s="244"/>
      <c r="C147" s="244"/>
      <c r="D147" s="244"/>
      <c r="E147" s="244"/>
      <c r="F147" s="244"/>
      <c r="G147" s="244"/>
      <c r="H147" s="244"/>
      <c r="I147" s="244"/>
      <c r="J147" s="244"/>
      <c r="K147" s="244"/>
      <c r="L147" s="244"/>
      <c r="M147" s="244"/>
      <c r="N147" s="244"/>
      <c r="O147" s="244"/>
    </row>
    <row r="148" spans="1:15" ht="15.75" customHeight="1" x14ac:dyDescent="0.25">
      <c r="A148" s="244"/>
      <c r="B148" s="244"/>
      <c r="C148" s="244"/>
      <c r="D148" s="244"/>
      <c r="E148" s="244"/>
      <c r="F148" s="244"/>
      <c r="G148" s="244"/>
      <c r="H148" s="244"/>
      <c r="I148" s="244"/>
      <c r="J148" s="244"/>
      <c r="K148" s="244"/>
      <c r="L148" s="244"/>
      <c r="M148" s="244"/>
      <c r="N148" s="244"/>
      <c r="O148" s="244"/>
    </row>
    <row r="149" spans="1:15" ht="15.75" customHeight="1" x14ac:dyDescent="0.25">
      <c r="A149" s="244"/>
      <c r="B149" s="244"/>
      <c r="C149" s="244"/>
      <c r="D149" s="244"/>
      <c r="E149" s="244"/>
      <c r="F149" s="244"/>
      <c r="G149" s="244"/>
      <c r="H149" s="244"/>
      <c r="I149" s="244"/>
      <c r="J149" s="244"/>
      <c r="K149" s="244"/>
      <c r="L149" s="244"/>
      <c r="M149" s="244"/>
      <c r="N149" s="244"/>
      <c r="O149" s="244"/>
    </row>
    <row r="150" spans="1:15" ht="15.75" customHeight="1" x14ac:dyDescent="0.25">
      <c r="A150" s="244"/>
      <c r="B150" s="244"/>
      <c r="C150" s="244"/>
      <c r="D150" s="244"/>
      <c r="E150" s="244"/>
      <c r="F150" s="244"/>
      <c r="G150" s="244"/>
      <c r="H150" s="244"/>
      <c r="I150" s="244"/>
      <c r="J150" s="244"/>
      <c r="K150" s="244"/>
      <c r="L150" s="244"/>
      <c r="M150" s="244"/>
      <c r="N150" s="244"/>
      <c r="O150" s="244"/>
    </row>
    <row r="151" spans="1:15" ht="15.75" customHeight="1" x14ac:dyDescent="0.25">
      <c r="A151" s="244"/>
      <c r="B151" s="244"/>
      <c r="C151" s="244"/>
      <c r="D151" s="244"/>
      <c r="E151" s="244"/>
      <c r="F151" s="244"/>
      <c r="G151" s="244"/>
      <c r="H151" s="244"/>
      <c r="I151" s="244"/>
      <c r="J151" s="244"/>
      <c r="K151" s="244"/>
      <c r="L151" s="244"/>
      <c r="M151" s="244"/>
      <c r="N151" s="244"/>
      <c r="O151" s="244"/>
    </row>
    <row r="152" spans="1:15" ht="15.75" customHeight="1" x14ac:dyDescent="0.25">
      <c r="A152" s="244"/>
      <c r="B152" s="244"/>
      <c r="C152" s="244"/>
      <c r="D152" s="244"/>
      <c r="E152" s="244"/>
      <c r="F152" s="244"/>
      <c r="G152" s="244"/>
      <c r="H152" s="244"/>
      <c r="I152" s="244"/>
      <c r="J152" s="244"/>
      <c r="K152" s="244"/>
      <c r="L152" s="244"/>
      <c r="M152" s="244"/>
      <c r="N152" s="244"/>
      <c r="O152" s="244"/>
    </row>
    <row r="153" spans="1:15" ht="15.75" customHeight="1" x14ac:dyDescent="0.25">
      <c r="A153" s="244"/>
      <c r="B153" s="244"/>
      <c r="C153" s="244"/>
      <c r="D153" s="244"/>
      <c r="E153" s="244"/>
      <c r="F153" s="244"/>
      <c r="G153" s="244"/>
      <c r="H153" s="244"/>
      <c r="I153" s="244"/>
      <c r="J153" s="244"/>
      <c r="K153" s="244"/>
      <c r="L153" s="244"/>
      <c r="M153" s="244"/>
      <c r="N153" s="244"/>
      <c r="O153" s="244"/>
    </row>
    <row r="154" spans="1:15" ht="15.75" customHeight="1" x14ac:dyDescent="0.25">
      <c r="A154" s="244"/>
      <c r="B154" s="244"/>
      <c r="C154" s="244"/>
      <c r="D154" s="244"/>
      <c r="E154" s="244"/>
      <c r="F154" s="244"/>
      <c r="G154" s="244"/>
      <c r="H154" s="244"/>
      <c r="I154" s="244"/>
      <c r="J154" s="244"/>
      <c r="K154" s="244"/>
      <c r="L154" s="244"/>
      <c r="M154" s="244"/>
      <c r="N154" s="244"/>
      <c r="O154" s="244"/>
    </row>
    <row r="155" spans="1:15" ht="15.75" customHeight="1" x14ac:dyDescent="0.25">
      <c r="A155" s="244"/>
      <c r="B155" s="244"/>
      <c r="C155" s="244"/>
      <c r="D155" s="244"/>
      <c r="E155" s="244"/>
      <c r="F155" s="244"/>
      <c r="G155" s="244"/>
      <c r="H155" s="244"/>
      <c r="I155" s="244"/>
      <c r="J155" s="244"/>
      <c r="K155" s="244"/>
      <c r="L155" s="244"/>
      <c r="M155" s="244"/>
      <c r="N155" s="244"/>
      <c r="O155" s="244"/>
    </row>
    <row r="156" spans="1:15" ht="15.75" customHeight="1" x14ac:dyDescent="0.25">
      <c r="A156" s="244"/>
      <c r="B156" s="244"/>
      <c r="C156" s="244"/>
      <c r="D156" s="244"/>
      <c r="E156" s="244"/>
      <c r="F156" s="244"/>
      <c r="G156" s="244"/>
      <c r="H156" s="244"/>
      <c r="I156" s="244"/>
      <c r="J156" s="244"/>
      <c r="K156" s="244"/>
      <c r="L156" s="244"/>
      <c r="M156" s="244"/>
      <c r="N156" s="244"/>
      <c r="O156" s="244"/>
    </row>
    <row r="157" spans="1:15" ht="15.75" customHeight="1" x14ac:dyDescent="0.25">
      <c r="A157" s="244"/>
      <c r="B157" s="244"/>
      <c r="C157" s="244"/>
      <c r="D157" s="244"/>
      <c r="E157" s="244"/>
      <c r="F157" s="244"/>
      <c r="G157" s="244"/>
      <c r="H157" s="244"/>
      <c r="I157" s="244"/>
      <c r="J157" s="244"/>
      <c r="K157" s="244"/>
      <c r="L157" s="244"/>
      <c r="M157" s="244"/>
      <c r="N157" s="244"/>
      <c r="O157" s="244"/>
    </row>
    <row r="158" spans="1:15" ht="15.75" customHeight="1" x14ac:dyDescent="0.25">
      <c r="A158" s="244"/>
      <c r="B158" s="244"/>
      <c r="C158" s="244"/>
      <c r="D158" s="244"/>
      <c r="E158" s="244"/>
      <c r="F158" s="244"/>
      <c r="G158" s="244"/>
      <c r="H158" s="244"/>
      <c r="I158" s="244"/>
      <c r="J158" s="244"/>
      <c r="K158" s="244"/>
      <c r="L158" s="244"/>
      <c r="M158" s="244"/>
      <c r="N158" s="244"/>
      <c r="O158" s="244"/>
    </row>
    <row r="159" spans="1:15" ht="15.75" customHeight="1" x14ac:dyDescent="0.25">
      <c r="A159" s="244"/>
      <c r="B159" s="244"/>
      <c r="C159" s="244"/>
      <c r="D159" s="244"/>
      <c r="E159" s="244"/>
      <c r="F159" s="244"/>
      <c r="G159" s="244"/>
      <c r="H159" s="244"/>
      <c r="I159" s="244"/>
      <c r="J159" s="244"/>
      <c r="K159" s="244"/>
      <c r="L159" s="244"/>
      <c r="M159" s="244"/>
      <c r="N159" s="244"/>
      <c r="O159" s="244"/>
    </row>
    <row r="160" spans="1:15" ht="15.75" customHeight="1" x14ac:dyDescent="0.25">
      <c r="A160" s="244"/>
      <c r="B160" s="244"/>
      <c r="C160" s="244"/>
      <c r="D160" s="244"/>
      <c r="E160" s="244"/>
      <c r="F160" s="244"/>
      <c r="G160" s="244"/>
      <c r="H160" s="244"/>
      <c r="I160" s="244"/>
      <c r="J160" s="244"/>
      <c r="K160" s="244"/>
      <c r="L160" s="244"/>
      <c r="M160" s="244"/>
      <c r="N160" s="244"/>
      <c r="O160" s="244"/>
    </row>
    <row r="161" spans="1:15" ht="15.75" customHeight="1" x14ac:dyDescent="0.25">
      <c r="A161" s="244"/>
      <c r="B161" s="244"/>
      <c r="C161" s="244"/>
      <c r="D161" s="244"/>
      <c r="E161" s="244"/>
      <c r="F161" s="244"/>
      <c r="G161" s="244"/>
      <c r="H161" s="244"/>
      <c r="I161" s="244"/>
      <c r="J161" s="244"/>
      <c r="K161" s="244"/>
      <c r="L161" s="244"/>
      <c r="M161" s="244"/>
      <c r="N161" s="244"/>
      <c r="O161" s="244"/>
    </row>
    <row r="162" spans="1:15" ht="15.75" customHeight="1" x14ac:dyDescent="0.25">
      <c r="A162" s="244"/>
      <c r="B162" s="244"/>
      <c r="C162" s="244"/>
      <c r="D162" s="244"/>
      <c r="E162" s="244"/>
      <c r="F162" s="244"/>
      <c r="G162" s="244"/>
      <c r="H162" s="244"/>
      <c r="I162" s="244"/>
      <c r="J162" s="244"/>
      <c r="K162" s="244"/>
      <c r="L162" s="244"/>
      <c r="M162" s="244"/>
      <c r="N162" s="244"/>
      <c r="O162" s="244"/>
    </row>
    <row r="163" spans="1:15" ht="15.75" customHeight="1" x14ac:dyDescent="0.25">
      <c r="A163" s="244"/>
      <c r="B163" s="244"/>
      <c r="C163" s="244"/>
      <c r="D163" s="244"/>
      <c r="E163" s="244"/>
      <c r="F163" s="244"/>
      <c r="G163" s="244"/>
      <c r="H163" s="244"/>
      <c r="I163" s="244"/>
      <c r="J163" s="244"/>
      <c r="K163" s="244"/>
      <c r="L163" s="244"/>
      <c r="M163" s="244"/>
      <c r="N163" s="244"/>
      <c r="O163" s="244"/>
    </row>
    <row r="164" spans="1:15" ht="15.75" customHeight="1" x14ac:dyDescent="0.25">
      <c r="A164" s="244"/>
      <c r="B164" s="244"/>
      <c r="C164" s="244"/>
      <c r="D164" s="244"/>
      <c r="E164" s="244"/>
      <c r="F164" s="244"/>
      <c r="G164" s="244"/>
      <c r="H164" s="244"/>
      <c r="I164" s="244"/>
      <c r="J164" s="244"/>
      <c r="K164" s="244"/>
      <c r="L164" s="244"/>
      <c r="M164" s="244"/>
      <c r="N164" s="244"/>
      <c r="O164" s="244"/>
    </row>
    <row r="165" spans="1:15" ht="15.75" customHeight="1" x14ac:dyDescent="0.25">
      <c r="A165" s="244"/>
      <c r="B165" s="244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</row>
    <row r="166" spans="1:15" ht="15.75" customHeight="1" x14ac:dyDescent="0.25">
      <c r="A166" s="244"/>
      <c r="B166" s="244"/>
      <c r="C166" s="244"/>
      <c r="D166" s="244"/>
      <c r="E166" s="244"/>
      <c r="F166" s="244"/>
      <c r="G166" s="244"/>
      <c r="H166" s="244"/>
      <c r="I166" s="244"/>
      <c r="J166" s="244"/>
      <c r="K166" s="244"/>
      <c r="L166" s="244"/>
      <c r="M166" s="244"/>
      <c r="N166" s="244"/>
      <c r="O166" s="244"/>
    </row>
    <row r="167" spans="1:15" ht="15.75" customHeight="1" x14ac:dyDescent="0.25">
      <c r="A167" s="244"/>
      <c r="B167" s="244"/>
      <c r="C167" s="244"/>
      <c r="D167" s="244"/>
      <c r="E167" s="244"/>
      <c r="F167" s="244"/>
      <c r="G167" s="244"/>
      <c r="H167" s="244"/>
      <c r="I167" s="244"/>
      <c r="J167" s="244"/>
      <c r="K167" s="244"/>
      <c r="L167" s="244"/>
      <c r="M167" s="244"/>
      <c r="N167" s="244"/>
      <c r="O167" s="244"/>
    </row>
    <row r="168" spans="1:15" ht="15.75" customHeight="1" x14ac:dyDescent="0.25">
      <c r="A168" s="244"/>
      <c r="B168" s="244"/>
      <c r="C168" s="244"/>
      <c r="D168" s="244"/>
      <c r="E168" s="244"/>
      <c r="F168" s="244"/>
      <c r="G168" s="244"/>
      <c r="H168" s="244"/>
      <c r="I168" s="244"/>
      <c r="J168" s="244"/>
      <c r="K168" s="244"/>
      <c r="L168" s="244"/>
      <c r="M168" s="244"/>
      <c r="N168" s="244"/>
      <c r="O168" s="244"/>
    </row>
    <row r="169" spans="1:15" ht="15.75" customHeight="1" x14ac:dyDescent="0.25">
      <c r="A169" s="244"/>
      <c r="B169" s="244"/>
      <c r="C169" s="244"/>
      <c r="D169" s="244"/>
      <c r="E169" s="244"/>
      <c r="F169" s="244"/>
      <c r="G169" s="244"/>
      <c r="H169" s="244"/>
      <c r="I169" s="244"/>
      <c r="J169" s="244"/>
      <c r="K169" s="244"/>
      <c r="L169" s="244"/>
      <c r="M169" s="244"/>
      <c r="N169" s="244"/>
      <c r="O169" s="244"/>
    </row>
    <row r="170" spans="1:15" ht="15.75" customHeight="1" x14ac:dyDescent="0.25">
      <c r="A170" s="244"/>
      <c r="B170" s="244"/>
      <c r="C170" s="244"/>
      <c r="D170" s="244"/>
      <c r="E170" s="244"/>
      <c r="F170" s="244"/>
      <c r="G170" s="244"/>
      <c r="H170" s="244"/>
      <c r="I170" s="244"/>
      <c r="J170" s="244"/>
      <c r="K170" s="244"/>
      <c r="L170" s="244"/>
      <c r="M170" s="244"/>
      <c r="N170" s="244"/>
      <c r="O170" s="244"/>
    </row>
    <row r="171" spans="1:15" ht="15.75" customHeight="1" x14ac:dyDescent="0.25">
      <c r="A171" s="244"/>
      <c r="B171" s="244"/>
      <c r="C171" s="244"/>
      <c r="D171" s="244"/>
      <c r="E171" s="244"/>
      <c r="F171" s="244"/>
      <c r="G171" s="244"/>
      <c r="H171" s="244"/>
      <c r="I171" s="244"/>
      <c r="J171" s="244"/>
      <c r="K171" s="244"/>
      <c r="L171" s="244"/>
      <c r="M171" s="244"/>
      <c r="N171" s="244"/>
      <c r="O171" s="244"/>
    </row>
    <row r="172" spans="1:15" ht="15.75" customHeight="1" x14ac:dyDescent="0.25">
      <c r="A172" s="244"/>
      <c r="B172" s="244"/>
      <c r="C172" s="244"/>
      <c r="D172" s="244"/>
      <c r="E172" s="244"/>
      <c r="F172" s="244"/>
      <c r="G172" s="244"/>
      <c r="H172" s="244"/>
      <c r="I172" s="244"/>
      <c r="J172" s="244"/>
      <c r="K172" s="244"/>
      <c r="L172" s="244"/>
      <c r="M172" s="244"/>
      <c r="N172" s="244"/>
      <c r="O172" s="244"/>
    </row>
    <row r="173" spans="1:15" ht="15.75" customHeight="1" x14ac:dyDescent="0.25">
      <c r="A173" s="244"/>
      <c r="B173" s="244"/>
      <c r="C173" s="244"/>
      <c r="D173" s="244"/>
      <c r="E173" s="244"/>
      <c r="F173" s="244"/>
      <c r="G173" s="244"/>
      <c r="H173" s="244"/>
      <c r="I173" s="244"/>
      <c r="J173" s="244"/>
      <c r="K173" s="244"/>
      <c r="L173" s="244"/>
      <c r="M173" s="244"/>
      <c r="N173" s="244"/>
      <c r="O173" s="244"/>
    </row>
    <row r="174" spans="1:15" ht="15.75" customHeight="1" x14ac:dyDescent="0.25">
      <c r="A174" s="244"/>
      <c r="B174" s="244"/>
      <c r="C174" s="244"/>
      <c r="D174" s="244"/>
      <c r="E174" s="244"/>
      <c r="F174" s="244"/>
      <c r="G174" s="244"/>
      <c r="H174" s="244"/>
      <c r="I174" s="244"/>
      <c r="J174" s="244"/>
      <c r="K174" s="244"/>
      <c r="L174" s="244"/>
      <c r="M174" s="244"/>
      <c r="N174" s="244"/>
      <c r="O174" s="244"/>
    </row>
    <row r="175" spans="1:15" ht="15.75" customHeight="1" x14ac:dyDescent="0.25">
      <c r="A175" s="244"/>
      <c r="B175" s="244"/>
      <c r="C175" s="244"/>
      <c r="D175" s="244"/>
      <c r="E175" s="244"/>
      <c r="F175" s="244"/>
      <c r="G175" s="244"/>
      <c r="H175" s="244"/>
      <c r="I175" s="244"/>
      <c r="J175" s="244"/>
      <c r="K175" s="244"/>
      <c r="L175" s="244"/>
      <c r="M175" s="244"/>
      <c r="N175" s="244"/>
      <c r="O175" s="244"/>
    </row>
    <row r="176" spans="1:15" ht="15.75" customHeight="1" x14ac:dyDescent="0.25">
      <c r="A176" s="244"/>
      <c r="B176" s="244"/>
      <c r="C176" s="244"/>
      <c r="D176" s="244"/>
      <c r="E176" s="244"/>
      <c r="F176" s="244"/>
      <c r="G176" s="244"/>
      <c r="H176" s="244"/>
      <c r="I176" s="244"/>
      <c r="J176" s="244"/>
      <c r="K176" s="244"/>
      <c r="L176" s="244"/>
      <c r="M176" s="244"/>
      <c r="N176" s="244"/>
      <c r="O176" s="244"/>
    </row>
    <row r="177" spans="1:15" ht="15.75" customHeight="1" x14ac:dyDescent="0.25">
      <c r="A177" s="244"/>
      <c r="B177" s="244"/>
      <c r="C177" s="244"/>
      <c r="D177" s="244"/>
      <c r="E177" s="244"/>
      <c r="F177" s="244"/>
      <c r="G177" s="244"/>
      <c r="H177" s="244"/>
      <c r="I177" s="244"/>
      <c r="J177" s="244"/>
      <c r="K177" s="244"/>
      <c r="L177" s="244"/>
      <c r="M177" s="244"/>
      <c r="N177" s="244"/>
      <c r="O177" s="244"/>
    </row>
    <row r="178" spans="1:15" ht="15.75" customHeight="1" x14ac:dyDescent="0.25">
      <c r="A178" s="244"/>
      <c r="B178" s="244"/>
      <c r="C178" s="244"/>
      <c r="D178" s="244"/>
      <c r="E178" s="244"/>
      <c r="F178" s="244"/>
      <c r="G178" s="244"/>
      <c r="H178" s="244"/>
      <c r="I178" s="244"/>
      <c r="J178" s="244"/>
      <c r="K178" s="244"/>
      <c r="L178" s="244"/>
      <c r="M178" s="244"/>
      <c r="N178" s="244"/>
      <c r="O178" s="244"/>
    </row>
    <row r="179" spans="1:15" ht="15.75" customHeight="1" x14ac:dyDescent="0.25">
      <c r="A179" s="244"/>
      <c r="B179" s="244"/>
      <c r="C179" s="244"/>
      <c r="D179" s="244"/>
      <c r="E179" s="244"/>
      <c r="F179" s="244"/>
      <c r="G179" s="244"/>
      <c r="H179" s="244"/>
      <c r="I179" s="244"/>
      <c r="J179" s="244"/>
      <c r="K179" s="244"/>
      <c r="L179" s="244"/>
      <c r="M179" s="244"/>
      <c r="N179" s="244"/>
      <c r="O179" s="244"/>
    </row>
    <row r="180" spans="1:15" ht="15.75" customHeight="1" x14ac:dyDescent="0.25">
      <c r="A180" s="244"/>
      <c r="B180" s="244"/>
      <c r="C180" s="244"/>
      <c r="D180" s="244"/>
      <c r="E180" s="244"/>
      <c r="F180" s="244"/>
      <c r="G180" s="244"/>
      <c r="H180" s="244"/>
      <c r="I180" s="244"/>
      <c r="J180" s="244"/>
      <c r="K180" s="244"/>
      <c r="L180" s="244"/>
      <c r="M180" s="244"/>
      <c r="N180" s="244"/>
      <c r="O180" s="244"/>
    </row>
    <row r="181" spans="1:15" ht="15.75" customHeight="1" x14ac:dyDescent="0.25">
      <c r="A181" s="244"/>
      <c r="B181" s="244"/>
      <c r="C181" s="244"/>
      <c r="D181" s="244"/>
      <c r="E181" s="244"/>
      <c r="F181" s="244"/>
      <c r="G181" s="244"/>
      <c r="H181" s="244"/>
      <c r="I181" s="244"/>
      <c r="J181" s="244"/>
      <c r="K181" s="244"/>
      <c r="L181" s="244"/>
      <c r="M181" s="244"/>
      <c r="N181" s="244"/>
      <c r="O181" s="244"/>
    </row>
    <row r="182" spans="1:15" ht="15.75" customHeight="1" x14ac:dyDescent="0.25">
      <c r="A182" s="244"/>
      <c r="B182" s="244"/>
      <c r="C182" s="244"/>
      <c r="D182" s="244"/>
      <c r="E182" s="244"/>
      <c r="F182" s="244"/>
      <c r="G182" s="244"/>
      <c r="H182" s="244"/>
      <c r="I182" s="244"/>
      <c r="J182" s="244"/>
      <c r="K182" s="244"/>
      <c r="L182" s="244"/>
      <c r="M182" s="244"/>
      <c r="N182" s="244"/>
      <c r="O182" s="244"/>
    </row>
    <row r="183" spans="1:15" ht="15.75" customHeight="1" x14ac:dyDescent="0.25">
      <c r="A183" s="244"/>
      <c r="B183" s="244"/>
      <c r="C183" s="244"/>
      <c r="D183" s="244"/>
      <c r="E183" s="244"/>
      <c r="F183" s="244"/>
      <c r="G183" s="244"/>
      <c r="H183" s="244"/>
      <c r="I183" s="244"/>
      <c r="J183" s="244"/>
      <c r="K183" s="244"/>
      <c r="L183" s="244"/>
      <c r="M183" s="244"/>
      <c r="N183" s="244"/>
      <c r="O183" s="244"/>
    </row>
    <row r="184" spans="1:15" ht="15.75" customHeight="1" x14ac:dyDescent="0.25">
      <c r="A184" s="244"/>
      <c r="B184" s="244"/>
      <c r="C184" s="244"/>
      <c r="D184" s="244"/>
      <c r="E184" s="244"/>
      <c r="F184" s="244"/>
      <c r="G184" s="244"/>
      <c r="H184" s="244"/>
      <c r="I184" s="244"/>
      <c r="J184" s="244"/>
      <c r="K184" s="244"/>
      <c r="L184" s="244"/>
      <c r="M184" s="244"/>
      <c r="N184" s="244"/>
      <c r="O184" s="244"/>
    </row>
    <row r="185" spans="1:15" ht="15.75" customHeight="1" x14ac:dyDescent="0.25">
      <c r="A185" s="244"/>
      <c r="B185" s="244"/>
      <c r="C185" s="244"/>
      <c r="D185" s="244"/>
      <c r="E185" s="244"/>
      <c r="F185" s="244"/>
      <c r="G185" s="244"/>
      <c r="H185" s="244"/>
      <c r="I185" s="244"/>
      <c r="J185" s="244"/>
      <c r="K185" s="244"/>
      <c r="L185" s="244"/>
      <c r="M185" s="244"/>
      <c r="N185" s="244"/>
      <c r="O185" s="244"/>
    </row>
    <row r="186" spans="1:15" ht="15.75" customHeight="1" x14ac:dyDescent="0.25">
      <c r="A186" s="244"/>
      <c r="B186" s="244"/>
      <c r="C186" s="244"/>
      <c r="D186" s="244"/>
      <c r="E186" s="244"/>
      <c r="F186" s="244"/>
      <c r="G186" s="244"/>
      <c r="H186" s="244"/>
      <c r="I186" s="244"/>
      <c r="J186" s="244"/>
      <c r="K186" s="244"/>
      <c r="L186" s="244"/>
      <c r="M186" s="244"/>
      <c r="N186" s="244"/>
      <c r="O186" s="244"/>
    </row>
    <row r="187" spans="1:15" ht="15.75" customHeight="1" x14ac:dyDescent="0.25">
      <c r="A187" s="244"/>
      <c r="B187" s="244"/>
      <c r="C187" s="244"/>
      <c r="D187" s="244"/>
      <c r="E187" s="244"/>
      <c r="F187" s="244"/>
      <c r="G187" s="244"/>
      <c r="H187" s="244"/>
      <c r="I187" s="244"/>
      <c r="J187" s="244"/>
      <c r="K187" s="244"/>
      <c r="L187" s="244"/>
      <c r="M187" s="244"/>
      <c r="N187" s="244"/>
      <c r="O187" s="244"/>
    </row>
    <row r="188" spans="1:15" ht="15.75" customHeight="1" x14ac:dyDescent="0.25">
      <c r="A188" s="244"/>
      <c r="B188" s="244"/>
      <c r="C188" s="244"/>
      <c r="D188" s="244"/>
      <c r="E188" s="244"/>
      <c r="F188" s="244"/>
      <c r="G188" s="244"/>
      <c r="H188" s="244"/>
      <c r="I188" s="244"/>
      <c r="J188" s="244"/>
      <c r="K188" s="244"/>
      <c r="L188" s="244"/>
      <c r="M188" s="244"/>
      <c r="N188" s="244"/>
      <c r="O188" s="244"/>
    </row>
    <row r="189" spans="1:15" ht="15.75" customHeight="1" x14ac:dyDescent="0.25">
      <c r="A189" s="244"/>
      <c r="B189" s="244"/>
      <c r="C189" s="244"/>
      <c r="D189" s="244"/>
      <c r="E189" s="244"/>
      <c r="F189" s="244"/>
      <c r="G189" s="244"/>
      <c r="H189" s="244"/>
      <c r="I189" s="244"/>
      <c r="J189" s="244"/>
      <c r="K189" s="244"/>
      <c r="L189" s="244"/>
      <c r="M189" s="244"/>
      <c r="N189" s="244"/>
      <c r="O189" s="244"/>
    </row>
    <row r="190" spans="1:15" ht="15.75" customHeight="1" x14ac:dyDescent="0.25">
      <c r="A190" s="244"/>
      <c r="B190" s="244"/>
      <c r="C190" s="244"/>
      <c r="D190" s="244"/>
      <c r="E190" s="244"/>
      <c r="F190" s="244"/>
      <c r="G190" s="244"/>
      <c r="H190" s="244"/>
      <c r="I190" s="244"/>
      <c r="J190" s="244"/>
      <c r="K190" s="244"/>
      <c r="L190" s="244"/>
      <c r="M190" s="244"/>
      <c r="N190" s="244"/>
      <c r="O190" s="244"/>
    </row>
    <row r="191" spans="1:15" ht="15.75" customHeight="1" x14ac:dyDescent="0.25">
      <c r="A191" s="244"/>
      <c r="B191" s="244"/>
      <c r="C191" s="244"/>
      <c r="D191" s="244"/>
      <c r="E191" s="244"/>
      <c r="F191" s="244"/>
      <c r="G191" s="244"/>
      <c r="H191" s="244"/>
      <c r="I191" s="244"/>
      <c r="J191" s="244"/>
      <c r="K191" s="244"/>
      <c r="L191" s="244"/>
      <c r="M191" s="244"/>
      <c r="N191" s="244"/>
      <c r="O191" s="244"/>
    </row>
    <row r="192" spans="1:15" ht="15.75" customHeight="1" x14ac:dyDescent="0.25">
      <c r="A192" s="244"/>
      <c r="B192" s="244"/>
      <c r="C192" s="244"/>
      <c r="D192" s="244"/>
      <c r="E192" s="244"/>
      <c r="F192" s="244"/>
      <c r="G192" s="244"/>
      <c r="H192" s="244"/>
      <c r="I192" s="244"/>
      <c r="J192" s="244"/>
      <c r="K192" s="244"/>
      <c r="L192" s="244"/>
      <c r="M192" s="244"/>
      <c r="N192" s="244"/>
      <c r="O192" s="244"/>
    </row>
    <row r="193" spans="1:15" ht="15.75" customHeight="1" x14ac:dyDescent="0.25">
      <c r="A193" s="244"/>
      <c r="B193" s="244"/>
      <c r="C193" s="244"/>
      <c r="D193" s="244"/>
      <c r="E193" s="244"/>
      <c r="F193" s="244"/>
      <c r="G193" s="244"/>
      <c r="H193" s="244"/>
      <c r="I193" s="244"/>
      <c r="J193" s="244"/>
      <c r="K193" s="244"/>
      <c r="L193" s="244"/>
      <c r="M193" s="244"/>
      <c r="N193" s="244"/>
      <c r="O193" s="244"/>
    </row>
    <row r="194" spans="1:15" ht="15.75" customHeight="1" x14ac:dyDescent="0.25">
      <c r="A194" s="244"/>
      <c r="B194" s="244"/>
      <c r="C194" s="244"/>
      <c r="D194" s="244"/>
      <c r="E194" s="244"/>
      <c r="F194" s="244"/>
      <c r="G194" s="244"/>
      <c r="H194" s="244"/>
      <c r="I194" s="244"/>
      <c r="J194" s="244"/>
      <c r="K194" s="244"/>
      <c r="L194" s="244"/>
      <c r="M194" s="244"/>
      <c r="N194" s="244"/>
      <c r="O194" s="244"/>
    </row>
    <row r="195" spans="1:15" ht="15.75" customHeight="1" x14ac:dyDescent="0.25">
      <c r="A195" s="244"/>
      <c r="B195" s="244"/>
      <c r="C195" s="244"/>
      <c r="D195" s="244"/>
      <c r="E195" s="244"/>
      <c r="F195" s="244"/>
      <c r="G195" s="244"/>
      <c r="H195" s="244"/>
      <c r="I195" s="244"/>
      <c r="J195" s="244"/>
      <c r="K195" s="244"/>
      <c r="L195" s="244"/>
      <c r="M195" s="244"/>
      <c r="N195" s="244"/>
      <c r="O195" s="244"/>
    </row>
    <row r="196" spans="1:15" ht="15.75" customHeight="1" x14ac:dyDescent="0.25">
      <c r="A196" s="244"/>
      <c r="B196" s="244"/>
      <c r="C196" s="244"/>
      <c r="D196" s="244"/>
      <c r="E196" s="244"/>
      <c r="F196" s="244"/>
      <c r="G196" s="244"/>
      <c r="H196" s="244"/>
      <c r="I196" s="244"/>
      <c r="J196" s="244"/>
      <c r="K196" s="244"/>
      <c r="L196" s="244"/>
      <c r="M196" s="244"/>
      <c r="N196" s="244"/>
      <c r="O196" s="244"/>
    </row>
    <row r="197" spans="1:15" ht="15.75" customHeight="1" x14ac:dyDescent="0.25">
      <c r="A197" s="244"/>
      <c r="B197" s="244"/>
      <c r="C197" s="244"/>
      <c r="D197" s="244"/>
      <c r="E197" s="244"/>
      <c r="F197" s="244"/>
      <c r="G197" s="244"/>
      <c r="H197" s="244"/>
      <c r="I197" s="244"/>
      <c r="J197" s="244"/>
      <c r="K197" s="244"/>
      <c r="L197" s="244"/>
      <c r="M197" s="244"/>
      <c r="N197" s="244"/>
      <c r="O197" s="244"/>
    </row>
    <row r="198" spans="1:15" ht="15.75" customHeight="1" x14ac:dyDescent="0.25">
      <c r="A198" s="244"/>
      <c r="B198" s="244"/>
      <c r="C198" s="244"/>
      <c r="D198" s="244"/>
      <c r="E198" s="244"/>
      <c r="F198" s="244"/>
      <c r="G198" s="244"/>
      <c r="H198" s="244"/>
      <c r="I198" s="244"/>
      <c r="J198" s="244"/>
      <c r="K198" s="244"/>
      <c r="L198" s="244"/>
      <c r="M198" s="244"/>
      <c r="N198" s="244"/>
      <c r="O198" s="244"/>
    </row>
    <row r="199" spans="1:15" ht="15.75" customHeight="1" x14ac:dyDescent="0.25">
      <c r="A199" s="244"/>
      <c r="B199" s="244"/>
      <c r="C199" s="244"/>
      <c r="D199" s="244"/>
      <c r="E199" s="244"/>
      <c r="F199" s="244"/>
      <c r="G199" s="244"/>
      <c r="H199" s="244"/>
      <c r="I199" s="244"/>
      <c r="J199" s="244"/>
      <c r="K199" s="244"/>
      <c r="L199" s="244"/>
      <c r="M199" s="244"/>
      <c r="N199" s="244"/>
      <c r="O199" s="244"/>
    </row>
    <row r="200" spans="1:15" ht="15.75" customHeight="1" x14ac:dyDescent="0.25">
      <c r="A200" s="244"/>
      <c r="B200" s="244"/>
      <c r="C200" s="244"/>
      <c r="D200" s="244"/>
      <c r="E200" s="244"/>
      <c r="F200" s="244"/>
      <c r="G200" s="244"/>
      <c r="H200" s="244"/>
      <c r="I200" s="244"/>
      <c r="J200" s="244"/>
      <c r="K200" s="244"/>
      <c r="L200" s="244"/>
      <c r="M200" s="244"/>
      <c r="N200" s="244"/>
      <c r="O200" s="244"/>
    </row>
    <row r="201" spans="1:15" ht="15.75" customHeight="1" x14ac:dyDescent="0.25">
      <c r="A201" s="244"/>
      <c r="B201" s="244"/>
      <c r="C201" s="244"/>
      <c r="D201" s="244"/>
      <c r="E201" s="244"/>
      <c r="F201" s="244"/>
      <c r="G201" s="244"/>
      <c r="H201" s="244"/>
      <c r="I201" s="244"/>
      <c r="J201" s="244"/>
      <c r="K201" s="244"/>
      <c r="L201" s="244"/>
      <c r="M201" s="244"/>
      <c r="N201" s="244"/>
      <c r="O201" s="244"/>
    </row>
    <row r="202" spans="1:15" ht="15.75" customHeight="1" x14ac:dyDescent="0.25">
      <c r="A202" s="244"/>
      <c r="B202" s="244"/>
      <c r="C202" s="244"/>
      <c r="D202" s="244"/>
      <c r="E202" s="244"/>
      <c r="F202" s="244"/>
      <c r="G202" s="244"/>
      <c r="H202" s="244"/>
      <c r="I202" s="244"/>
      <c r="J202" s="244"/>
      <c r="K202" s="244"/>
      <c r="L202" s="244"/>
      <c r="M202" s="244"/>
      <c r="N202" s="244"/>
      <c r="O202" s="244"/>
    </row>
    <row r="203" spans="1:15" ht="15.75" customHeight="1" x14ac:dyDescent="0.25">
      <c r="A203" s="244"/>
      <c r="B203" s="244"/>
      <c r="C203" s="244"/>
      <c r="D203" s="244"/>
      <c r="E203" s="244"/>
      <c r="F203" s="244"/>
      <c r="G203" s="244"/>
      <c r="H203" s="244"/>
      <c r="I203" s="244"/>
      <c r="J203" s="244"/>
      <c r="K203" s="244"/>
      <c r="L203" s="244"/>
      <c r="M203" s="244"/>
      <c r="N203" s="244"/>
      <c r="O203" s="244"/>
    </row>
    <row r="204" spans="1:15" ht="15.75" customHeight="1" x14ac:dyDescent="0.25">
      <c r="A204" s="244"/>
      <c r="B204" s="244"/>
      <c r="C204" s="244"/>
      <c r="D204" s="244"/>
      <c r="E204" s="244"/>
      <c r="F204" s="244"/>
      <c r="G204" s="244"/>
      <c r="H204" s="244"/>
      <c r="I204" s="244"/>
      <c r="J204" s="244"/>
      <c r="K204" s="244"/>
      <c r="L204" s="244"/>
      <c r="M204" s="244"/>
      <c r="N204" s="244"/>
      <c r="O204" s="244"/>
    </row>
    <row r="205" spans="1:15" ht="15.75" customHeight="1" x14ac:dyDescent="0.25">
      <c r="A205" s="244"/>
      <c r="B205" s="244"/>
      <c r="C205" s="244"/>
      <c r="D205" s="244"/>
      <c r="E205" s="244"/>
      <c r="F205" s="244"/>
      <c r="G205" s="244"/>
      <c r="H205" s="244"/>
      <c r="I205" s="244"/>
      <c r="J205" s="244"/>
      <c r="K205" s="244"/>
      <c r="L205" s="244"/>
      <c r="M205" s="244"/>
      <c r="N205" s="244"/>
      <c r="O205" s="244"/>
    </row>
    <row r="206" spans="1:15" ht="15.75" customHeight="1" x14ac:dyDescent="0.25">
      <c r="A206" s="244"/>
      <c r="B206" s="244"/>
      <c r="C206" s="244"/>
      <c r="D206" s="244"/>
      <c r="E206" s="244"/>
      <c r="F206" s="244"/>
      <c r="G206" s="244"/>
      <c r="H206" s="244"/>
      <c r="I206" s="244"/>
      <c r="J206" s="244"/>
      <c r="K206" s="244"/>
      <c r="L206" s="244"/>
      <c r="M206" s="244"/>
      <c r="N206" s="244"/>
      <c r="O206" s="244"/>
    </row>
    <row r="207" spans="1:15" ht="15.75" customHeight="1" x14ac:dyDescent="0.25">
      <c r="A207" s="244"/>
      <c r="B207" s="244"/>
      <c r="C207" s="244"/>
      <c r="D207" s="244"/>
      <c r="E207" s="244"/>
      <c r="F207" s="244"/>
      <c r="G207" s="244"/>
      <c r="H207" s="244"/>
      <c r="I207" s="244"/>
      <c r="J207" s="244"/>
      <c r="K207" s="244"/>
      <c r="L207" s="244"/>
      <c r="M207" s="244"/>
      <c r="N207" s="244"/>
      <c r="O207" s="244"/>
    </row>
    <row r="208" spans="1:15" ht="15.75" customHeight="1" x14ac:dyDescent="0.25">
      <c r="A208" s="244"/>
      <c r="B208" s="244"/>
      <c r="C208" s="244"/>
      <c r="D208" s="244"/>
      <c r="E208" s="244"/>
      <c r="F208" s="244"/>
      <c r="G208" s="244"/>
      <c r="H208" s="244"/>
      <c r="I208" s="244"/>
      <c r="J208" s="244"/>
      <c r="K208" s="244"/>
      <c r="L208" s="244"/>
      <c r="M208" s="244"/>
      <c r="N208" s="244"/>
      <c r="O208" s="244"/>
    </row>
    <row r="209" spans="1:15" ht="15.75" customHeight="1" x14ac:dyDescent="0.25">
      <c r="A209" s="244"/>
      <c r="B209" s="244"/>
      <c r="C209" s="244"/>
      <c r="D209" s="244"/>
      <c r="E209" s="244"/>
      <c r="F209" s="244"/>
      <c r="G209" s="244"/>
      <c r="H209" s="244"/>
      <c r="I209" s="244"/>
      <c r="J209" s="244"/>
      <c r="K209" s="244"/>
      <c r="L209" s="244"/>
      <c r="M209" s="244"/>
      <c r="N209" s="244"/>
      <c r="O209" s="244"/>
    </row>
    <row r="210" spans="1:15" ht="15.75" customHeight="1" x14ac:dyDescent="0.25">
      <c r="A210" s="244"/>
      <c r="B210" s="244"/>
      <c r="C210" s="244"/>
      <c r="D210" s="244"/>
      <c r="E210" s="244"/>
      <c r="F210" s="244"/>
      <c r="G210" s="244"/>
      <c r="H210" s="244"/>
      <c r="I210" s="244"/>
      <c r="J210" s="244"/>
      <c r="K210" s="244"/>
      <c r="L210" s="244"/>
      <c r="M210" s="244"/>
      <c r="N210" s="244"/>
      <c r="O210" s="244"/>
    </row>
    <row r="211" spans="1:15" ht="15.75" customHeight="1" x14ac:dyDescent="0.25">
      <c r="A211" s="244"/>
      <c r="B211" s="244"/>
      <c r="C211" s="244"/>
      <c r="D211" s="244"/>
      <c r="E211" s="244"/>
      <c r="F211" s="244"/>
      <c r="G211" s="244"/>
      <c r="H211" s="244"/>
      <c r="I211" s="244"/>
      <c r="J211" s="244"/>
      <c r="K211" s="244"/>
      <c r="L211" s="244"/>
      <c r="M211" s="244"/>
      <c r="N211" s="244"/>
      <c r="O211" s="244"/>
    </row>
    <row r="212" spans="1:15" ht="15.75" customHeight="1" x14ac:dyDescent="0.25">
      <c r="A212" s="244"/>
      <c r="B212" s="244"/>
      <c r="C212" s="244"/>
      <c r="D212" s="244"/>
      <c r="E212" s="244"/>
      <c r="F212" s="244"/>
      <c r="G212" s="244"/>
      <c r="H212" s="244"/>
      <c r="I212" s="244"/>
      <c r="J212" s="244"/>
      <c r="K212" s="244"/>
      <c r="L212" s="244"/>
      <c r="M212" s="244"/>
      <c r="N212" s="244"/>
      <c r="O212" s="244"/>
    </row>
    <row r="213" spans="1:15" ht="15.75" customHeight="1" x14ac:dyDescent="0.25">
      <c r="A213" s="244"/>
      <c r="B213" s="244"/>
      <c r="C213" s="244"/>
      <c r="D213" s="244"/>
      <c r="E213" s="244"/>
      <c r="F213" s="244"/>
      <c r="G213" s="244"/>
      <c r="H213" s="244"/>
      <c r="I213" s="244"/>
      <c r="J213" s="244"/>
      <c r="K213" s="244"/>
      <c r="L213" s="244"/>
      <c r="M213" s="244"/>
      <c r="N213" s="244"/>
      <c r="O213" s="244"/>
    </row>
    <row r="214" spans="1:15" ht="15.75" customHeight="1" x14ac:dyDescent="0.25">
      <c r="A214" s="244"/>
      <c r="B214" s="244"/>
      <c r="C214" s="244"/>
      <c r="D214" s="244"/>
      <c r="E214" s="244"/>
      <c r="F214" s="244"/>
      <c r="G214" s="244"/>
      <c r="H214" s="244"/>
      <c r="I214" s="244"/>
      <c r="J214" s="244"/>
      <c r="K214" s="244"/>
      <c r="L214" s="244"/>
      <c r="M214" s="244"/>
      <c r="N214" s="244"/>
      <c r="O214" s="244"/>
    </row>
    <row r="215" spans="1:15" ht="15.75" customHeight="1" x14ac:dyDescent="0.25">
      <c r="A215" s="244"/>
      <c r="B215" s="244"/>
      <c r="C215" s="244"/>
      <c r="D215" s="244"/>
      <c r="E215" s="244"/>
      <c r="F215" s="244"/>
      <c r="G215" s="244"/>
      <c r="H215" s="244"/>
      <c r="I215" s="244"/>
      <c r="J215" s="244"/>
      <c r="K215" s="244"/>
      <c r="L215" s="244"/>
      <c r="M215" s="244"/>
      <c r="N215" s="244"/>
      <c r="O215" s="244"/>
    </row>
    <row r="216" spans="1:15" ht="15.75" customHeight="1" x14ac:dyDescent="0.25">
      <c r="A216" s="244"/>
      <c r="B216" s="244"/>
      <c r="C216" s="244"/>
      <c r="D216" s="244"/>
      <c r="E216" s="244"/>
      <c r="F216" s="244"/>
      <c r="G216" s="244"/>
      <c r="H216" s="244"/>
      <c r="I216" s="244"/>
      <c r="J216" s="244"/>
      <c r="K216" s="244"/>
      <c r="L216" s="244"/>
      <c r="M216" s="244"/>
      <c r="N216" s="244"/>
      <c r="O216" s="244"/>
    </row>
    <row r="217" spans="1:15" ht="15.75" customHeight="1" x14ac:dyDescent="0.25">
      <c r="A217" s="244"/>
      <c r="B217" s="244"/>
      <c r="C217" s="244"/>
      <c r="D217" s="244"/>
      <c r="E217" s="244"/>
      <c r="F217" s="244"/>
      <c r="G217" s="244"/>
      <c r="H217" s="244"/>
      <c r="I217" s="244"/>
      <c r="J217" s="244"/>
      <c r="K217" s="244"/>
      <c r="L217" s="244"/>
      <c r="M217" s="244"/>
      <c r="N217" s="244"/>
      <c r="O217" s="244"/>
    </row>
    <row r="218" spans="1:15" ht="15.75" customHeight="1" x14ac:dyDescent="0.25">
      <c r="A218" s="244"/>
      <c r="B218" s="244"/>
      <c r="C218" s="244"/>
      <c r="D218" s="244"/>
      <c r="E218" s="244"/>
      <c r="F218" s="244"/>
      <c r="G218" s="244"/>
      <c r="H218" s="244"/>
      <c r="I218" s="244"/>
      <c r="J218" s="244"/>
      <c r="K218" s="244"/>
      <c r="L218" s="244"/>
      <c r="M218" s="244"/>
      <c r="N218" s="244"/>
      <c r="O218" s="244"/>
    </row>
    <row r="219" spans="1:15" ht="15.75" customHeight="1" x14ac:dyDescent="0.25">
      <c r="A219" s="244"/>
      <c r="B219" s="244"/>
      <c r="C219" s="244"/>
      <c r="D219" s="244"/>
      <c r="E219" s="244"/>
      <c r="F219" s="244"/>
      <c r="G219" s="244"/>
      <c r="H219" s="244"/>
      <c r="I219" s="244"/>
      <c r="J219" s="244"/>
      <c r="K219" s="244"/>
      <c r="L219" s="244"/>
      <c r="M219" s="244"/>
      <c r="N219" s="244"/>
      <c r="O219" s="244"/>
    </row>
    <row r="220" spans="1:15" ht="15.75" customHeight="1" x14ac:dyDescent="0.25">
      <c r="A220" s="244"/>
      <c r="B220" s="244"/>
      <c r="C220" s="244"/>
      <c r="D220" s="244"/>
      <c r="E220" s="244"/>
      <c r="F220" s="244"/>
      <c r="G220" s="244"/>
      <c r="H220" s="244"/>
      <c r="I220" s="244"/>
      <c r="J220" s="244"/>
      <c r="K220" s="244"/>
      <c r="L220" s="244"/>
      <c r="M220" s="244"/>
      <c r="N220" s="244"/>
      <c r="O220" s="244"/>
    </row>
    <row r="221" spans="1:15" ht="15.75" customHeight="1" x14ac:dyDescent="0.25">
      <c r="A221" s="244"/>
      <c r="B221" s="244"/>
      <c r="C221" s="244"/>
      <c r="D221" s="244"/>
      <c r="E221" s="244"/>
      <c r="F221" s="244"/>
      <c r="G221" s="244"/>
      <c r="H221" s="244"/>
      <c r="I221" s="244"/>
      <c r="J221" s="244"/>
      <c r="K221" s="244"/>
      <c r="L221" s="244"/>
      <c r="M221" s="244"/>
      <c r="N221" s="244"/>
      <c r="O221" s="244"/>
    </row>
    <row r="222" spans="1:15" ht="15.75" customHeight="1" x14ac:dyDescent="0.25">
      <c r="A222" s="244"/>
      <c r="B222" s="244"/>
      <c r="C222" s="244"/>
      <c r="D222" s="244"/>
      <c r="E222" s="244"/>
      <c r="F222" s="244"/>
      <c r="G222" s="244"/>
      <c r="H222" s="244"/>
      <c r="I222" s="244"/>
      <c r="J222" s="244"/>
      <c r="K222" s="244"/>
      <c r="L222" s="244"/>
      <c r="M222" s="244"/>
      <c r="N222" s="244"/>
      <c r="O222" s="244"/>
    </row>
    <row r="223" spans="1:15" ht="15.75" customHeight="1" x14ac:dyDescent="0.25">
      <c r="A223" s="244"/>
      <c r="B223" s="244"/>
      <c r="C223" s="244"/>
      <c r="D223" s="244"/>
      <c r="E223" s="244"/>
      <c r="F223" s="244"/>
      <c r="G223" s="244"/>
      <c r="H223" s="244"/>
      <c r="I223" s="244"/>
      <c r="J223" s="244"/>
      <c r="K223" s="244"/>
      <c r="L223" s="244"/>
      <c r="M223" s="244"/>
      <c r="N223" s="244"/>
      <c r="O223" s="244"/>
    </row>
    <row r="224" spans="1:15" ht="15.75" customHeight="1" x14ac:dyDescent="0.25">
      <c r="A224" s="244"/>
      <c r="B224" s="244"/>
      <c r="C224" s="244"/>
      <c r="D224" s="244"/>
      <c r="E224" s="244"/>
      <c r="F224" s="244"/>
      <c r="G224" s="244"/>
      <c r="H224" s="244"/>
      <c r="I224" s="244"/>
      <c r="J224" s="244"/>
      <c r="K224" s="244"/>
      <c r="L224" s="244"/>
      <c r="M224" s="244"/>
      <c r="N224" s="244"/>
      <c r="O224" s="244"/>
    </row>
    <row r="225" spans="1:15" ht="15.75" customHeight="1" x14ac:dyDescent="0.25">
      <c r="A225" s="244"/>
      <c r="B225" s="244"/>
      <c r="C225" s="244"/>
      <c r="D225" s="244"/>
      <c r="E225" s="244"/>
      <c r="F225" s="244"/>
      <c r="G225" s="244"/>
      <c r="H225" s="244"/>
      <c r="I225" s="244"/>
      <c r="J225" s="244"/>
      <c r="K225" s="244"/>
      <c r="L225" s="244"/>
      <c r="M225" s="244"/>
      <c r="N225" s="244"/>
      <c r="O225" s="244"/>
    </row>
    <row r="226" spans="1:15" ht="15.75" customHeight="1" x14ac:dyDescent="0.25">
      <c r="A226" s="244"/>
      <c r="B226" s="244"/>
      <c r="C226" s="244"/>
      <c r="D226" s="244"/>
      <c r="E226" s="244"/>
      <c r="F226" s="244"/>
      <c r="G226" s="244"/>
      <c r="H226" s="244"/>
      <c r="I226" s="244"/>
      <c r="J226" s="244"/>
      <c r="K226" s="244"/>
      <c r="L226" s="244"/>
      <c r="M226" s="244"/>
      <c r="N226" s="244"/>
      <c r="O226" s="244"/>
    </row>
    <row r="227" spans="1:15" ht="15.75" customHeight="1" x14ac:dyDescent="0.25">
      <c r="A227" s="244"/>
      <c r="B227" s="244"/>
      <c r="C227" s="244"/>
      <c r="D227" s="244"/>
      <c r="E227" s="244"/>
      <c r="F227" s="244"/>
      <c r="G227" s="244"/>
      <c r="H227" s="244"/>
      <c r="I227" s="244"/>
      <c r="J227" s="244"/>
      <c r="K227" s="244"/>
      <c r="L227" s="244"/>
      <c r="M227" s="244"/>
      <c r="N227" s="244"/>
      <c r="O227" s="244"/>
    </row>
    <row r="228" spans="1:15" ht="15.75" customHeight="1" x14ac:dyDescent="0.25">
      <c r="A228" s="244"/>
      <c r="B228" s="244"/>
      <c r="C228" s="244"/>
      <c r="D228" s="244"/>
      <c r="E228" s="244"/>
      <c r="F228" s="244"/>
      <c r="G228" s="244"/>
      <c r="H228" s="244"/>
      <c r="I228" s="244"/>
      <c r="J228" s="244"/>
      <c r="K228" s="244"/>
      <c r="L228" s="244"/>
      <c r="M228" s="244"/>
      <c r="N228" s="244"/>
      <c r="O228" s="244"/>
    </row>
    <row r="229" spans="1:15" ht="15.75" customHeight="1" x14ac:dyDescent="0.25">
      <c r="A229" s="244"/>
      <c r="B229" s="244"/>
      <c r="C229" s="244"/>
      <c r="D229" s="244"/>
      <c r="E229" s="244"/>
      <c r="F229" s="244"/>
      <c r="G229" s="244"/>
      <c r="H229" s="244"/>
      <c r="I229" s="244"/>
      <c r="J229" s="244"/>
      <c r="K229" s="244"/>
      <c r="L229" s="244"/>
      <c r="M229" s="244"/>
      <c r="N229" s="244"/>
      <c r="O229" s="244"/>
    </row>
    <row r="230" spans="1:15" ht="15.75" customHeight="1" x14ac:dyDescent="0.25">
      <c r="A230" s="244"/>
      <c r="B230" s="244"/>
      <c r="C230" s="244"/>
      <c r="D230" s="244"/>
      <c r="E230" s="244"/>
      <c r="F230" s="244"/>
      <c r="G230" s="244"/>
      <c r="H230" s="244"/>
      <c r="I230" s="244"/>
      <c r="J230" s="244"/>
      <c r="K230" s="244"/>
      <c r="L230" s="244"/>
      <c r="M230" s="244"/>
      <c r="N230" s="244"/>
      <c r="O230" s="244"/>
    </row>
    <row r="231" spans="1:15" ht="15.75" customHeight="1" x14ac:dyDescent="0.25">
      <c r="A231" s="244"/>
      <c r="B231" s="244"/>
      <c r="C231" s="244"/>
      <c r="D231" s="244"/>
      <c r="E231" s="244"/>
      <c r="F231" s="244"/>
      <c r="G231" s="244"/>
      <c r="H231" s="244"/>
      <c r="I231" s="244"/>
      <c r="J231" s="244"/>
      <c r="K231" s="244"/>
      <c r="L231" s="244"/>
      <c r="M231" s="244"/>
      <c r="N231" s="244"/>
      <c r="O231" s="244"/>
    </row>
    <row r="232" spans="1:15" ht="15.75" customHeight="1" x14ac:dyDescent="0.25">
      <c r="A232" s="244"/>
      <c r="B232" s="244"/>
      <c r="C232" s="244"/>
      <c r="D232" s="244"/>
      <c r="E232" s="244"/>
      <c r="F232" s="244"/>
      <c r="G232" s="244"/>
      <c r="H232" s="244"/>
      <c r="I232" s="244"/>
      <c r="J232" s="244"/>
      <c r="K232" s="244"/>
      <c r="L232" s="244"/>
      <c r="M232" s="244"/>
      <c r="N232" s="244"/>
      <c r="O232" s="244"/>
    </row>
    <row r="233" spans="1:15" ht="15.75" customHeight="1" x14ac:dyDescent="0.25">
      <c r="A233" s="244"/>
      <c r="B233" s="244"/>
      <c r="C233" s="244"/>
      <c r="D233" s="244"/>
      <c r="E233" s="244"/>
      <c r="F233" s="244"/>
      <c r="G233" s="244"/>
      <c r="H233" s="244"/>
      <c r="I233" s="244"/>
      <c r="J233" s="244"/>
      <c r="K233" s="244"/>
      <c r="L233" s="244"/>
      <c r="M233" s="244"/>
      <c r="N233" s="244"/>
      <c r="O233" s="244"/>
    </row>
    <row r="234" spans="1:15" ht="15.75" customHeight="1" x14ac:dyDescent="0.25">
      <c r="A234" s="244"/>
      <c r="B234" s="244"/>
      <c r="C234" s="244"/>
      <c r="D234" s="244"/>
      <c r="E234" s="244"/>
      <c r="F234" s="244"/>
      <c r="G234" s="244"/>
      <c r="H234" s="244"/>
      <c r="I234" s="244"/>
      <c r="J234" s="244"/>
      <c r="K234" s="244"/>
      <c r="L234" s="244"/>
      <c r="M234" s="244"/>
      <c r="N234" s="244"/>
      <c r="O234" s="244"/>
    </row>
    <row r="235" spans="1:15" ht="15.75" customHeight="1" x14ac:dyDescent="0.25">
      <c r="A235" s="244"/>
      <c r="B235" s="244"/>
      <c r="C235" s="244"/>
      <c r="D235" s="244"/>
      <c r="E235" s="244"/>
      <c r="F235" s="244"/>
      <c r="G235" s="244"/>
      <c r="H235" s="244"/>
      <c r="I235" s="244"/>
      <c r="J235" s="244"/>
      <c r="K235" s="244"/>
      <c r="L235" s="244"/>
      <c r="M235" s="244"/>
      <c r="N235" s="244"/>
      <c r="O235" s="244"/>
    </row>
    <row r="236" spans="1:15" ht="15.75" customHeight="1" x14ac:dyDescent="0.25">
      <c r="A236" s="244"/>
      <c r="B236" s="244"/>
      <c r="C236" s="244"/>
      <c r="D236" s="244"/>
      <c r="E236" s="244"/>
      <c r="F236" s="244"/>
      <c r="G236" s="244"/>
      <c r="H236" s="244"/>
      <c r="I236" s="244"/>
      <c r="J236" s="244"/>
      <c r="K236" s="244"/>
      <c r="L236" s="244"/>
      <c r="M236" s="244"/>
      <c r="N236" s="244"/>
      <c r="O236" s="244"/>
    </row>
    <row r="237" spans="1:15" ht="15.75" customHeight="1" x14ac:dyDescent="0.25">
      <c r="A237" s="244"/>
      <c r="B237" s="244"/>
      <c r="C237" s="244"/>
      <c r="D237" s="244"/>
      <c r="E237" s="244"/>
      <c r="F237" s="244"/>
      <c r="G237" s="244"/>
      <c r="H237" s="244"/>
      <c r="I237" s="244"/>
      <c r="J237" s="244"/>
      <c r="K237" s="244"/>
      <c r="L237" s="244"/>
      <c r="M237" s="244"/>
      <c r="N237" s="244"/>
      <c r="O237" s="244"/>
    </row>
    <row r="238" spans="1:15" ht="15.75" customHeight="1" x14ac:dyDescent="0.25">
      <c r="A238" s="244"/>
      <c r="B238" s="244"/>
      <c r="C238" s="244"/>
      <c r="D238" s="244"/>
      <c r="E238" s="244"/>
      <c r="F238" s="244"/>
      <c r="G238" s="244"/>
      <c r="H238" s="244"/>
      <c r="I238" s="244"/>
      <c r="J238" s="244"/>
      <c r="K238" s="244"/>
      <c r="L238" s="244"/>
      <c r="M238" s="244"/>
      <c r="N238" s="244"/>
      <c r="O238" s="244"/>
    </row>
    <row r="239" spans="1:15" ht="15.75" customHeight="1" x14ac:dyDescent="0.25">
      <c r="A239" s="244"/>
      <c r="B239" s="244"/>
      <c r="C239" s="244"/>
      <c r="D239" s="244"/>
      <c r="E239" s="244"/>
      <c r="F239" s="244"/>
      <c r="G239" s="244"/>
      <c r="H239" s="244"/>
      <c r="I239" s="244"/>
      <c r="J239" s="244"/>
      <c r="K239" s="244"/>
      <c r="L239" s="244"/>
      <c r="M239" s="244"/>
      <c r="N239" s="244"/>
      <c r="O239" s="244"/>
    </row>
    <row r="240" spans="1:15" ht="15.75" customHeight="1" x14ac:dyDescent="0.25">
      <c r="A240" s="244"/>
      <c r="B240" s="244"/>
      <c r="C240" s="244"/>
      <c r="D240" s="244"/>
      <c r="E240" s="244"/>
      <c r="F240" s="244"/>
      <c r="G240" s="244"/>
      <c r="H240" s="244"/>
      <c r="I240" s="244"/>
      <c r="J240" s="244"/>
      <c r="K240" s="244"/>
      <c r="L240" s="244"/>
      <c r="M240" s="244"/>
      <c r="N240" s="244"/>
      <c r="O240" s="244"/>
    </row>
    <row r="241" spans="1:15" ht="15.75" customHeight="1" x14ac:dyDescent="0.25">
      <c r="A241" s="244"/>
      <c r="B241" s="244"/>
      <c r="C241" s="244"/>
      <c r="D241" s="244"/>
      <c r="E241" s="244"/>
      <c r="F241" s="244"/>
      <c r="G241" s="244"/>
      <c r="H241" s="244"/>
      <c r="I241" s="244"/>
      <c r="J241" s="244"/>
      <c r="K241" s="244"/>
      <c r="L241" s="244"/>
      <c r="M241" s="244"/>
      <c r="N241" s="244"/>
      <c r="O241" s="244"/>
    </row>
    <row r="242" spans="1:15" ht="15.75" customHeight="1" x14ac:dyDescent="0.25">
      <c r="A242" s="244"/>
      <c r="B242" s="244"/>
      <c r="C242" s="244"/>
      <c r="D242" s="244"/>
      <c r="E242" s="244"/>
      <c r="F242" s="244"/>
      <c r="G242" s="244"/>
      <c r="H242" s="244"/>
      <c r="I242" s="244"/>
      <c r="J242" s="244"/>
      <c r="K242" s="244"/>
      <c r="L242" s="244"/>
      <c r="M242" s="244"/>
      <c r="N242" s="244"/>
      <c r="O242" s="244"/>
    </row>
    <row r="243" spans="1:15" ht="15.75" customHeight="1" x14ac:dyDescent="0.25">
      <c r="A243" s="244"/>
      <c r="B243" s="244"/>
      <c r="C243" s="244"/>
      <c r="D243" s="244"/>
      <c r="E243" s="244"/>
      <c r="F243" s="244"/>
      <c r="G243" s="244"/>
      <c r="H243" s="244"/>
      <c r="I243" s="244"/>
      <c r="J243" s="244"/>
      <c r="K243" s="244"/>
      <c r="L243" s="244"/>
      <c r="M243" s="244"/>
      <c r="N243" s="244"/>
      <c r="O243" s="244"/>
    </row>
    <row r="244" spans="1:15" ht="15.75" customHeight="1" x14ac:dyDescent="0.25">
      <c r="A244" s="244"/>
      <c r="B244" s="244"/>
      <c r="C244" s="244"/>
      <c r="D244" s="244"/>
      <c r="E244" s="244"/>
      <c r="F244" s="244"/>
      <c r="G244" s="244"/>
      <c r="H244" s="244"/>
      <c r="I244" s="244"/>
      <c r="J244" s="244"/>
      <c r="K244" s="244"/>
      <c r="L244" s="244"/>
      <c r="M244" s="244"/>
      <c r="N244" s="244"/>
      <c r="O244" s="244"/>
    </row>
    <row r="245" spans="1:15" ht="15.75" customHeight="1" x14ac:dyDescent="0.25">
      <c r="A245" s="244"/>
      <c r="B245" s="244"/>
      <c r="C245" s="244"/>
      <c r="D245" s="244"/>
      <c r="E245" s="244"/>
      <c r="F245" s="244"/>
      <c r="G245" s="244"/>
      <c r="H245" s="244"/>
      <c r="I245" s="244"/>
      <c r="J245" s="244"/>
      <c r="K245" s="244"/>
      <c r="L245" s="244"/>
      <c r="M245" s="244"/>
      <c r="N245" s="244"/>
      <c r="O245" s="244"/>
    </row>
    <row r="246" spans="1:15" ht="15.75" customHeight="1" x14ac:dyDescent="0.25">
      <c r="A246" s="244"/>
      <c r="B246" s="244"/>
      <c r="C246" s="244"/>
      <c r="D246" s="244"/>
      <c r="E246" s="244"/>
      <c r="F246" s="244"/>
      <c r="G246" s="244"/>
      <c r="H246" s="244"/>
      <c r="I246" s="244"/>
      <c r="J246" s="244"/>
      <c r="K246" s="244"/>
      <c r="L246" s="244"/>
      <c r="M246" s="244"/>
      <c r="N246" s="244"/>
      <c r="O246" s="244"/>
    </row>
    <row r="247" spans="1:15" ht="15.75" customHeight="1" x14ac:dyDescent="0.25">
      <c r="A247" s="244"/>
      <c r="B247" s="244"/>
      <c r="C247" s="244"/>
      <c r="D247" s="244"/>
      <c r="E247" s="244"/>
      <c r="F247" s="244"/>
      <c r="G247" s="244"/>
      <c r="H247" s="244"/>
      <c r="I247" s="244"/>
      <c r="J247" s="244"/>
      <c r="K247" s="244"/>
      <c r="L247" s="244"/>
      <c r="M247" s="244"/>
      <c r="N247" s="244"/>
      <c r="O247" s="244"/>
    </row>
    <row r="248" spans="1:15" ht="15.75" customHeight="1" x14ac:dyDescent="0.25">
      <c r="A248" s="244"/>
      <c r="B248" s="244"/>
      <c r="C248" s="244"/>
      <c r="D248" s="244"/>
      <c r="E248" s="244"/>
      <c r="F248" s="244"/>
      <c r="G248" s="244"/>
      <c r="H248" s="244"/>
      <c r="I248" s="244"/>
      <c r="J248" s="244"/>
      <c r="K248" s="244"/>
      <c r="L248" s="244"/>
      <c r="M248" s="244"/>
      <c r="N248" s="244"/>
      <c r="O248" s="244"/>
    </row>
    <row r="249" spans="1:15" ht="15.75" customHeight="1" x14ac:dyDescent="0.25">
      <c r="A249" s="244"/>
      <c r="B249" s="244"/>
      <c r="C249" s="244"/>
      <c r="D249" s="244"/>
      <c r="E249" s="244"/>
      <c r="F249" s="244"/>
      <c r="G249" s="244"/>
      <c r="H249" s="244"/>
      <c r="I249" s="244"/>
      <c r="J249" s="244"/>
      <c r="K249" s="244"/>
      <c r="L249" s="244"/>
      <c r="M249" s="244"/>
      <c r="N249" s="244"/>
      <c r="O249" s="244"/>
    </row>
    <row r="250" spans="1:15" ht="15.75" customHeight="1" x14ac:dyDescent="0.25">
      <c r="A250" s="244"/>
      <c r="B250" s="244"/>
      <c r="C250" s="244"/>
      <c r="D250" s="244"/>
      <c r="E250" s="244"/>
      <c r="F250" s="244"/>
      <c r="G250" s="244"/>
      <c r="H250" s="244"/>
      <c r="I250" s="244"/>
      <c r="J250" s="244"/>
      <c r="K250" s="244"/>
      <c r="L250" s="244"/>
      <c r="M250" s="244"/>
      <c r="N250" s="244"/>
      <c r="O250" s="244"/>
    </row>
    <row r="251" spans="1:15" ht="15.75" customHeight="1" x14ac:dyDescent="0.25">
      <c r="A251" s="244"/>
      <c r="B251" s="244"/>
      <c r="C251" s="244"/>
      <c r="D251" s="244"/>
      <c r="E251" s="244"/>
      <c r="F251" s="244"/>
      <c r="G251" s="244"/>
      <c r="H251" s="244"/>
      <c r="I251" s="244"/>
      <c r="J251" s="244"/>
      <c r="K251" s="244"/>
      <c r="L251" s="244"/>
      <c r="M251" s="244"/>
      <c r="N251" s="244"/>
      <c r="O251" s="244"/>
    </row>
    <row r="252" spans="1:15" ht="15.75" customHeight="1" x14ac:dyDescent="0.25">
      <c r="A252" s="244"/>
      <c r="B252" s="244"/>
      <c r="C252" s="244"/>
      <c r="D252" s="244"/>
      <c r="E252" s="244"/>
      <c r="F252" s="244"/>
      <c r="G252" s="244"/>
      <c r="H252" s="244"/>
      <c r="I252" s="244"/>
      <c r="J252" s="244"/>
      <c r="K252" s="244"/>
      <c r="L252" s="244"/>
      <c r="M252" s="244"/>
      <c r="N252" s="244"/>
      <c r="O252" s="244"/>
    </row>
    <row r="253" spans="1:15" ht="15.75" customHeight="1" x14ac:dyDescent="0.25">
      <c r="A253" s="244"/>
      <c r="B253" s="244"/>
      <c r="C253" s="244"/>
      <c r="D253" s="244"/>
      <c r="E253" s="244"/>
      <c r="F253" s="244"/>
      <c r="G253" s="244"/>
      <c r="H253" s="244"/>
      <c r="I253" s="244"/>
      <c r="J253" s="244"/>
      <c r="K253" s="244"/>
      <c r="L253" s="244"/>
      <c r="M253" s="244"/>
      <c r="N253" s="244"/>
      <c r="O253" s="244"/>
    </row>
    <row r="254" spans="1:15" ht="15.75" customHeight="1" x14ac:dyDescent="0.25">
      <c r="A254" s="244"/>
      <c r="B254" s="244"/>
      <c r="C254" s="244"/>
      <c r="D254" s="244"/>
      <c r="E254" s="244"/>
      <c r="F254" s="244"/>
      <c r="G254" s="244"/>
      <c r="H254" s="244"/>
      <c r="I254" s="244"/>
      <c r="J254" s="244"/>
      <c r="K254" s="244"/>
      <c r="L254" s="244"/>
      <c r="M254" s="244"/>
      <c r="N254" s="244"/>
      <c r="O254" s="244"/>
    </row>
    <row r="255" spans="1:15" ht="15.75" customHeight="1" x14ac:dyDescent="0.25">
      <c r="A255" s="244"/>
      <c r="B255" s="244"/>
      <c r="C255" s="244"/>
      <c r="D255" s="244"/>
      <c r="E255" s="244"/>
      <c r="F255" s="244"/>
      <c r="G255" s="244"/>
      <c r="H255" s="244"/>
      <c r="I255" s="244"/>
      <c r="J255" s="244"/>
      <c r="K255" s="244"/>
      <c r="L255" s="244"/>
      <c r="M255" s="244"/>
      <c r="N255" s="244"/>
      <c r="O255" s="244"/>
    </row>
    <row r="256" spans="1:15" ht="15.75" customHeight="1" x14ac:dyDescent="0.25">
      <c r="A256" s="244"/>
      <c r="B256" s="244"/>
      <c r="C256" s="244"/>
      <c r="D256" s="244"/>
      <c r="E256" s="244"/>
      <c r="F256" s="244"/>
      <c r="G256" s="244"/>
      <c r="H256" s="244"/>
      <c r="I256" s="244"/>
      <c r="J256" s="244"/>
      <c r="K256" s="244"/>
      <c r="L256" s="244"/>
      <c r="M256" s="244"/>
      <c r="N256" s="244"/>
      <c r="O256" s="244"/>
    </row>
    <row r="257" spans="1:15" ht="15.75" customHeight="1" x14ac:dyDescent="0.25">
      <c r="A257" s="244"/>
      <c r="B257" s="244"/>
      <c r="C257" s="244"/>
      <c r="D257" s="244"/>
      <c r="E257" s="244"/>
      <c r="F257" s="244"/>
      <c r="G257" s="244"/>
      <c r="H257" s="244"/>
      <c r="I257" s="244"/>
      <c r="J257" s="244"/>
      <c r="K257" s="244"/>
      <c r="L257" s="244"/>
      <c r="M257" s="244"/>
      <c r="N257" s="244"/>
      <c r="O257" s="244"/>
    </row>
    <row r="258" spans="1:15" ht="15.75" customHeight="1" x14ac:dyDescent="0.25">
      <c r="A258" s="244"/>
      <c r="B258" s="244"/>
      <c r="C258" s="244"/>
      <c r="D258" s="244"/>
      <c r="E258" s="244"/>
      <c r="F258" s="244"/>
      <c r="G258" s="244"/>
      <c r="H258" s="244"/>
      <c r="I258" s="244"/>
      <c r="J258" s="244"/>
      <c r="K258" s="244"/>
      <c r="L258" s="244"/>
      <c r="M258" s="244"/>
      <c r="N258" s="244"/>
      <c r="O258" s="244"/>
    </row>
    <row r="259" spans="1:15" ht="15.75" customHeight="1" x14ac:dyDescent="0.25">
      <c r="A259" s="244"/>
      <c r="B259" s="244"/>
      <c r="C259" s="244"/>
      <c r="D259" s="244"/>
      <c r="E259" s="244"/>
      <c r="F259" s="244"/>
      <c r="G259" s="244"/>
      <c r="H259" s="244"/>
      <c r="I259" s="244"/>
      <c r="J259" s="244"/>
      <c r="K259" s="244"/>
      <c r="L259" s="244"/>
      <c r="M259" s="244"/>
      <c r="N259" s="244"/>
      <c r="O259" s="244"/>
    </row>
    <row r="260" spans="1:15" ht="15.75" customHeight="1" x14ac:dyDescent="0.25">
      <c r="A260" s="244"/>
      <c r="B260" s="244"/>
      <c r="C260" s="244"/>
      <c r="D260" s="244"/>
      <c r="E260" s="244"/>
      <c r="F260" s="244"/>
      <c r="G260" s="244"/>
      <c r="H260" s="244"/>
      <c r="I260" s="244"/>
      <c r="J260" s="244"/>
      <c r="K260" s="244"/>
      <c r="L260" s="244"/>
      <c r="M260" s="244"/>
      <c r="N260" s="244"/>
      <c r="O260" s="244"/>
    </row>
    <row r="261" spans="1:15" ht="15.75" customHeight="1" x14ac:dyDescent="0.25">
      <c r="A261" s="244"/>
      <c r="B261" s="244"/>
      <c r="C261" s="244"/>
      <c r="D261" s="244"/>
      <c r="E261" s="244"/>
      <c r="F261" s="244"/>
      <c r="G261" s="244"/>
      <c r="H261" s="244"/>
      <c r="I261" s="244"/>
      <c r="J261" s="244"/>
      <c r="K261" s="244"/>
      <c r="L261" s="244"/>
      <c r="M261" s="244"/>
      <c r="N261" s="244"/>
      <c r="O261" s="244"/>
    </row>
    <row r="262" spans="1:15" ht="15.75" customHeight="1" x14ac:dyDescent="0.25">
      <c r="A262" s="244"/>
      <c r="B262" s="244"/>
      <c r="C262" s="244"/>
      <c r="D262" s="244"/>
      <c r="E262" s="244"/>
      <c r="F262" s="244"/>
      <c r="G262" s="244"/>
      <c r="H262" s="244"/>
      <c r="I262" s="244"/>
      <c r="J262" s="244"/>
      <c r="K262" s="244"/>
      <c r="L262" s="244"/>
      <c r="M262" s="244"/>
      <c r="N262" s="244"/>
      <c r="O262" s="244"/>
    </row>
    <row r="263" spans="1:15" ht="15.75" customHeight="1" x14ac:dyDescent="0.25">
      <c r="A263" s="244"/>
      <c r="B263" s="244"/>
      <c r="C263" s="244"/>
      <c r="D263" s="244"/>
      <c r="E263" s="244"/>
      <c r="F263" s="244"/>
      <c r="G263" s="244"/>
      <c r="H263" s="244"/>
      <c r="I263" s="244"/>
      <c r="J263" s="244"/>
      <c r="K263" s="244"/>
      <c r="L263" s="244"/>
      <c r="M263" s="244"/>
      <c r="N263" s="244"/>
      <c r="O263" s="244"/>
    </row>
    <row r="264" spans="1:15" ht="15.75" customHeight="1" x14ac:dyDescent="0.25">
      <c r="A264" s="244"/>
      <c r="B264" s="244"/>
      <c r="C264" s="244"/>
      <c r="D264" s="244"/>
      <c r="E264" s="244"/>
      <c r="F264" s="244"/>
      <c r="G264" s="244"/>
      <c r="H264" s="244"/>
      <c r="I264" s="244"/>
      <c r="J264" s="244"/>
      <c r="K264" s="244"/>
      <c r="L264" s="244"/>
      <c r="M264" s="244"/>
      <c r="N264" s="244"/>
      <c r="O264" s="244"/>
    </row>
    <row r="265" spans="1:15" ht="15.75" customHeight="1" x14ac:dyDescent="0.25">
      <c r="A265" s="244"/>
      <c r="B265" s="244"/>
      <c r="C265" s="244"/>
      <c r="D265" s="244"/>
      <c r="E265" s="244"/>
      <c r="F265" s="244"/>
      <c r="G265" s="244"/>
      <c r="H265" s="244"/>
      <c r="I265" s="244"/>
      <c r="J265" s="244"/>
      <c r="K265" s="244"/>
      <c r="L265" s="244"/>
      <c r="M265" s="244"/>
      <c r="N265" s="244"/>
      <c r="O265" s="244"/>
    </row>
    <row r="266" spans="1:15" ht="15.75" customHeight="1" x14ac:dyDescent="0.25">
      <c r="A266" s="244"/>
      <c r="B266" s="244"/>
      <c r="C266" s="244"/>
      <c r="D266" s="244"/>
      <c r="E266" s="244"/>
      <c r="F266" s="244"/>
      <c r="G266" s="244"/>
      <c r="H266" s="244"/>
      <c r="I266" s="244"/>
      <c r="J266" s="244"/>
      <c r="K266" s="244"/>
      <c r="L266" s="244"/>
      <c r="M266" s="244"/>
      <c r="N266" s="244"/>
      <c r="O266" s="244"/>
    </row>
    <row r="267" spans="1:15" ht="15.75" customHeight="1" x14ac:dyDescent="0.25">
      <c r="A267" s="244"/>
      <c r="B267" s="244"/>
      <c r="C267" s="244"/>
      <c r="D267" s="244"/>
      <c r="E267" s="244"/>
      <c r="F267" s="244"/>
      <c r="G267" s="244"/>
      <c r="H267" s="244"/>
      <c r="I267" s="244"/>
      <c r="J267" s="244"/>
      <c r="K267" s="244"/>
      <c r="L267" s="244"/>
      <c r="M267" s="244"/>
      <c r="N267" s="244"/>
      <c r="O267" s="244"/>
    </row>
    <row r="268" spans="1:15" ht="15.75" customHeight="1" x14ac:dyDescent="0.25">
      <c r="A268" s="244"/>
      <c r="B268" s="244"/>
      <c r="C268" s="244"/>
      <c r="D268" s="244"/>
      <c r="E268" s="244"/>
      <c r="F268" s="244"/>
      <c r="G268" s="244"/>
      <c r="H268" s="244"/>
      <c r="I268" s="244"/>
      <c r="J268" s="244"/>
      <c r="K268" s="244"/>
      <c r="L268" s="244"/>
      <c r="M268" s="244"/>
      <c r="N268" s="244"/>
      <c r="O268" s="244"/>
    </row>
    <row r="269" spans="1:15" ht="15.75" customHeight="1" x14ac:dyDescent="0.25">
      <c r="A269" s="244"/>
      <c r="B269" s="244"/>
      <c r="C269" s="244"/>
      <c r="D269" s="244"/>
      <c r="E269" s="244"/>
      <c r="F269" s="244"/>
      <c r="G269" s="244"/>
      <c r="H269" s="244"/>
      <c r="I269" s="244"/>
      <c r="J269" s="244"/>
      <c r="K269" s="244"/>
      <c r="L269" s="244"/>
      <c r="M269" s="244"/>
      <c r="N269" s="244"/>
      <c r="O269" s="244"/>
    </row>
    <row r="270" spans="1:15" ht="15.75" customHeight="1" x14ac:dyDescent="0.25">
      <c r="A270" s="244"/>
      <c r="B270" s="244"/>
      <c r="C270" s="244"/>
      <c r="D270" s="244"/>
      <c r="E270" s="244"/>
      <c r="F270" s="244"/>
      <c r="G270" s="244"/>
      <c r="H270" s="244"/>
      <c r="I270" s="244"/>
      <c r="J270" s="244"/>
      <c r="K270" s="244"/>
      <c r="L270" s="244"/>
      <c r="M270" s="244"/>
      <c r="N270" s="244"/>
      <c r="O270" s="244"/>
    </row>
    <row r="271" spans="1:15" ht="15.75" customHeight="1" x14ac:dyDescent="0.25">
      <c r="A271" s="244"/>
      <c r="B271" s="244"/>
      <c r="C271" s="244"/>
      <c r="D271" s="244"/>
      <c r="E271" s="244"/>
      <c r="F271" s="244"/>
      <c r="G271" s="244"/>
      <c r="H271" s="244"/>
      <c r="I271" s="244"/>
      <c r="J271" s="244"/>
      <c r="K271" s="244"/>
      <c r="L271" s="244"/>
      <c r="M271" s="244"/>
      <c r="N271" s="244"/>
      <c r="O271" s="244"/>
    </row>
    <row r="272" spans="1:15" ht="15.75" customHeight="1" x14ac:dyDescent="0.25">
      <c r="A272" s="244"/>
      <c r="B272" s="244"/>
      <c r="C272" s="244"/>
      <c r="D272" s="244"/>
      <c r="E272" s="244"/>
      <c r="F272" s="244"/>
      <c r="G272" s="244"/>
      <c r="H272" s="244"/>
      <c r="I272" s="244"/>
      <c r="J272" s="244"/>
      <c r="K272" s="244"/>
      <c r="L272" s="244"/>
      <c r="M272" s="244"/>
      <c r="N272" s="244"/>
      <c r="O272" s="244"/>
    </row>
    <row r="273" spans="1:15" ht="15.75" customHeight="1" x14ac:dyDescent="0.25">
      <c r="A273" s="244"/>
      <c r="B273" s="244"/>
      <c r="C273" s="244"/>
      <c r="D273" s="244"/>
      <c r="E273" s="244"/>
      <c r="F273" s="244"/>
      <c r="G273" s="244"/>
      <c r="H273" s="244"/>
      <c r="I273" s="244"/>
      <c r="J273" s="244"/>
      <c r="K273" s="244"/>
      <c r="L273" s="244"/>
      <c r="M273" s="244"/>
      <c r="N273" s="244"/>
      <c r="O273" s="244"/>
    </row>
    <row r="274" spans="1:15" ht="15.75" customHeight="1" x14ac:dyDescent="0.25">
      <c r="A274" s="244"/>
      <c r="B274" s="244"/>
      <c r="C274" s="244"/>
      <c r="D274" s="244"/>
      <c r="E274" s="244"/>
      <c r="F274" s="244"/>
      <c r="G274" s="244"/>
      <c r="H274" s="244"/>
      <c r="I274" s="244"/>
      <c r="J274" s="244"/>
      <c r="K274" s="244"/>
      <c r="L274" s="244"/>
      <c r="M274" s="244"/>
      <c r="N274" s="244"/>
      <c r="O274" s="244"/>
    </row>
    <row r="275" spans="1:15" ht="15.75" customHeight="1" x14ac:dyDescent="0.25">
      <c r="A275" s="244"/>
      <c r="B275" s="244"/>
      <c r="C275" s="244"/>
      <c r="D275" s="244"/>
      <c r="E275" s="244"/>
      <c r="F275" s="244"/>
      <c r="G275" s="244"/>
      <c r="H275" s="244"/>
      <c r="I275" s="244"/>
      <c r="J275" s="244"/>
      <c r="K275" s="244"/>
      <c r="L275" s="244"/>
      <c r="M275" s="244"/>
      <c r="N275" s="244"/>
      <c r="O275" s="244"/>
    </row>
    <row r="276" spans="1:15" ht="15.75" customHeight="1" x14ac:dyDescent="0.25">
      <c r="A276" s="244"/>
      <c r="B276" s="244"/>
      <c r="C276" s="244"/>
      <c r="D276" s="244"/>
      <c r="E276" s="244"/>
      <c r="F276" s="244"/>
      <c r="G276" s="244"/>
      <c r="H276" s="244"/>
      <c r="I276" s="244"/>
      <c r="J276" s="244"/>
      <c r="K276" s="244"/>
      <c r="L276" s="244"/>
      <c r="M276" s="244"/>
      <c r="N276" s="244"/>
      <c r="O276" s="244"/>
    </row>
    <row r="277" spans="1:15" ht="15.75" customHeight="1" x14ac:dyDescent="0.25">
      <c r="A277" s="244"/>
      <c r="B277" s="244"/>
      <c r="C277" s="244"/>
      <c r="D277" s="244"/>
      <c r="E277" s="244"/>
      <c r="F277" s="244"/>
      <c r="G277" s="244"/>
      <c r="H277" s="244"/>
      <c r="I277" s="244"/>
      <c r="J277" s="244"/>
      <c r="K277" s="244"/>
      <c r="L277" s="244"/>
      <c r="M277" s="244"/>
      <c r="N277" s="244"/>
      <c r="O277" s="244"/>
    </row>
    <row r="278" spans="1:15" ht="15.75" customHeight="1" x14ac:dyDescent="0.25">
      <c r="A278" s="244"/>
      <c r="B278" s="244"/>
      <c r="C278" s="244"/>
      <c r="D278" s="244"/>
      <c r="E278" s="244"/>
      <c r="F278" s="244"/>
      <c r="G278" s="244"/>
      <c r="H278" s="244"/>
      <c r="I278" s="244"/>
      <c r="J278" s="244"/>
      <c r="K278" s="244"/>
      <c r="L278" s="244"/>
      <c r="M278" s="244"/>
      <c r="N278" s="244"/>
      <c r="O278" s="244"/>
    </row>
    <row r="279" spans="1:15" ht="15.75" customHeight="1" x14ac:dyDescent="0.25">
      <c r="A279" s="244"/>
      <c r="B279" s="244"/>
      <c r="C279" s="244"/>
      <c r="D279" s="244"/>
      <c r="E279" s="244"/>
      <c r="F279" s="244"/>
      <c r="G279" s="244"/>
      <c r="H279" s="244"/>
      <c r="I279" s="244"/>
      <c r="J279" s="244"/>
      <c r="K279" s="244"/>
      <c r="L279" s="244"/>
      <c r="M279" s="244"/>
      <c r="N279" s="244"/>
      <c r="O279" s="244"/>
    </row>
    <row r="280" spans="1:15" ht="15.75" customHeight="1" x14ac:dyDescent="0.25">
      <c r="A280" s="244"/>
      <c r="B280" s="244"/>
      <c r="C280" s="244"/>
      <c r="D280" s="244"/>
      <c r="E280" s="244"/>
      <c r="F280" s="244"/>
      <c r="G280" s="244"/>
      <c r="H280" s="244"/>
      <c r="I280" s="244"/>
      <c r="J280" s="244"/>
      <c r="K280" s="244"/>
      <c r="L280" s="244"/>
      <c r="M280" s="244"/>
      <c r="N280" s="244"/>
      <c r="O280" s="244"/>
    </row>
    <row r="281" spans="1:15" ht="15.75" customHeight="1" x14ac:dyDescent="0.25">
      <c r="A281" s="244"/>
      <c r="B281" s="244"/>
      <c r="C281" s="244"/>
      <c r="D281" s="244"/>
      <c r="E281" s="244"/>
      <c r="F281" s="244"/>
      <c r="G281" s="244"/>
      <c r="H281" s="244"/>
      <c r="I281" s="244"/>
      <c r="J281" s="244"/>
      <c r="K281" s="244"/>
      <c r="L281" s="244"/>
      <c r="M281" s="244"/>
      <c r="N281" s="244"/>
      <c r="O281" s="244"/>
    </row>
    <row r="282" spans="1:15" ht="15.75" customHeight="1" x14ac:dyDescent="0.25">
      <c r="A282" s="244"/>
      <c r="B282" s="244"/>
      <c r="C282" s="244"/>
      <c r="D282" s="244"/>
      <c r="E282" s="244"/>
      <c r="F282" s="244"/>
      <c r="G282" s="244"/>
      <c r="H282" s="244"/>
      <c r="I282" s="244"/>
      <c r="J282" s="244"/>
      <c r="K282" s="244"/>
      <c r="L282" s="244"/>
      <c r="M282" s="244"/>
      <c r="N282" s="244"/>
      <c r="O282" s="244"/>
    </row>
    <row r="283" spans="1:15" ht="15.75" customHeight="1" x14ac:dyDescent="0.25">
      <c r="A283" s="244"/>
      <c r="B283" s="244"/>
      <c r="C283" s="244"/>
      <c r="D283" s="244"/>
      <c r="E283" s="244"/>
      <c r="F283" s="244"/>
      <c r="G283" s="244"/>
      <c r="H283" s="244"/>
      <c r="I283" s="244"/>
      <c r="J283" s="244"/>
      <c r="K283" s="244"/>
      <c r="L283" s="244"/>
      <c r="M283" s="244"/>
      <c r="N283" s="244"/>
      <c r="O283" s="244"/>
    </row>
    <row r="284" spans="1:15" ht="15.75" customHeight="1" x14ac:dyDescent="0.25">
      <c r="A284" s="244"/>
      <c r="B284" s="244"/>
      <c r="C284" s="244"/>
      <c r="D284" s="244"/>
      <c r="E284" s="244"/>
      <c r="F284" s="244"/>
      <c r="G284" s="244"/>
      <c r="H284" s="244"/>
      <c r="I284" s="244"/>
      <c r="J284" s="244"/>
      <c r="K284" s="244"/>
      <c r="L284" s="244"/>
      <c r="M284" s="244"/>
      <c r="N284" s="244"/>
      <c r="O284" s="244"/>
    </row>
    <row r="285" spans="1:15" ht="15.75" customHeight="1" x14ac:dyDescent="0.25">
      <c r="A285" s="244"/>
      <c r="B285" s="244"/>
      <c r="C285" s="244"/>
      <c r="D285" s="244"/>
      <c r="E285" s="244"/>
      <c r="F285" s="244"/>
      <c r="G285" s="244"/>
      <c r="H285" s="244"/>
      <c r="I285" s="244"/>
      <c r="J285" s="244"/>
      <c r="K285" s="244"/>
      <c r="L285" s="244"/>
      <c r="M285" s="244"/>
      <c r="N285" s="244"/>
      <c r="O285" s="244"/>
    </row>
    <row r="286" spans="1:15" ht="15.75" customHeight="1" x14ac:dyDescent="0.25">
      <c r="A286" s="244"/>
      <c r="B286" s="244"/>
      <c r="C286" s="244"/>
      <c r="D286" s="244"/>
      <c r="E286" s="244"/>
      <c r="F286" s="244"/>
      <c r="G286" s="244"/>
      <c r="H286" s="244"/>
      <c r="I286" s="244"/>
      <c r="J286" s="244"/>
      <c r="K286" s="244"/>
      <c r="L286" s="244"/>
      <c r="M286" s="244"/>
      <c r="N286" s="244"/>
      <c r="O286" s="244"/>
    </row>
    <row r="287" spans="1:15" ht="15.75" customHeight="1" x14ac:dyDescent="0.25">
      <c r="A287" s="244"/>
      <c r="B287" s="244"/>
      <c r="C287" s="244"/>
      <c r="D287" s="244"/>
      <c r="E287" s="244"/>
      <c r="F287" s="244"/>
      <c r="G287" s="244"/>
      <c r="H287" s="244"/>
      <c r="I287" s="244"/>
      <c r="J287" s="244"/>
      <c r="K287" s="244"/>
      <c r="L287" s="244"/>
      <c r="M287" s="244"/>
      <c r="N287" s="244"/>
      <c r="O287" s="244"/>
    </row>
    <row r="288" spans="1:15" ht="15.75" customHeight="1" x14ac:dyDescent="0.25">
      <c r="A288" s="244"/>
      <c r="B288" s="244"/>
      <c r="C288" s="244"/>
      <c r="D288" s="244"/>
      <c r="E288" s="244"/>
      <c r="F288" s="244"/>
      <c r="G288" s="244"/>
      <c r="H288" s="244"/>
      <c r="I288" s="244"/>
      <c r="J288" s="244"/>
      <c r="K288" s="244"/>
      <c r="L288" s="244"/>
      <c r="M288" s="244"/>
      <c r="N288" s="244"/>
      <c r="O288" s="244"/>
    </row>
    <row r="289" spans="1:15" ht="15.75" customHeight="1" x14ac:dyDescent="0.25">
      <c r="A289" s="244"/>
      <c r="B289" s="244"/>
      <c r="C289" s="244"/>
      <c r="D289" s="244"/>
      <c r="E289" s="244"/>
      <c r="F289" s="244"/>
      <c r="G289" s="244"/>
      <c r="H289" s="244"/>
      <c r="I289" s="244"/>
      <c r="J289" s="244"/>
      <c r="K289" s="244"/>
      <c r="L289" s="244"/>
      <c r="M289" s="244"/>
      <c r="N289" s="244"/>
      <c r="O289" s="244"/>
    </row>
    <row r="290" spans="1:15" ht="15.75" customHeight="1" x14ac:dyDescent="0.25">
      <c r="A290" s="244"/>
      <c r="B290" s="244"/>
      <c r="C290" s="244"/>
      <c r="D290" s="244"/>
      <c r="E290" s="244"/>
      <c r="F290" s="244"/>
      <c r="G290" s="244"/>
      <c r="H290" s="244"/>
      <c r="I290" s="244"/>
      <c r="J290" s="244"/>
      <c r="K290" s="244"/>
      <c r="L290" s="244"/>
      <c r="M290" s="244"/>
      <c r="N290" s="244"/>
      <c r="O290" s="244"/>
    </row>
    <row r="291" spans="1:15" ht="15.75" customHeight="1" x14ac:dyDescent="0.25">
      <c r="A291" s="244"/>
      <c r="B291" s="244"/>
      <c r="C291" s="244"/>
      <c r="D291" s="244"/>
      <c r="E291" s="244"/>
      <c r="F291" s="244"/>
      <c r="G291" s="244"/>
      <c r="H291" s="244"/>
      <c r="I291" s="244"/>
      <c r="J291" s="244"/>
      <c r="K291" s="244"/>
      <c r="L291" s="244"/>
      <c r="M291" s="244"/>
      <c r="N291" s="244"/>
      <c r="O291" s="244"/>
    </row>
    <row r="292" spans="1:15" ht="15.75" customHeight="1" x14ac:dyDescent="0.25">
      <c r="A292" s="244"/>
      <c r="B292" s="244"/>
      <c r="C292" s="244"/>
      <c r="D292" s="244"/>
      <c r="E292" s="244"/>
      <c r="F292" s="244"/>
      <c r="G292" s="244"/>
      <c r="H292" s="244"/>
      <c r="I292" s="244"/>
      <c r="J292" s="244"/>
      <c r="K292" s="244"/>
      <c r="L292" s="244"/>
      <c r="M292" s="244"/>
      <c r="N292" s="244"/>
      <c r="O292" s="244"/>
    </row>
    <row r="293" spans="1:15" ht="15.75" customHeight="1" x14ac:dyDescent="0.25">
      <c r="A293" s="244"/>
      <c r="B293" s="244"/>
      <c r="C293" s="244"/>
      <c r="D293" s="244"/>
      <c r="E293" s="244"/>
      <c r="F293" s="244"/>
      <c r="G293" s="244"/>
      <c r="H293" s="244"/>
      <c r="I293" s="244"/>
      <c r="J293" s="244"/>
      <c r="K293" s="244"/>
      <c r="L293" s="244"/>
      <c r="M293" s="244"/>
      <c r="N293" s="244"/>
      <c r="O293" s="244"/>
    </row>
    <row r="294" spans="1:15" ht="15.75" customHeight="1" x14ac:dyDescent="0.25">
      <c r="A294" s="244"/>
      <c r="B294" s="244"/>
      <c r="C294" s="244"/>
      <c r="D294" s="244"/>
      <c r="E294" s="244"/>
      <c r="F294" s="244"/>
      <c r="G294" s="244"/>
      <c r="H294" s="244"/>
      <c r="I294" s="244"/>
      <c r="J294" s="244"/>
      <c r="K294" s="244"/>
      <c r="L294" s="244"/>
      <c r="M294" s="244"/>
      <c r="N294" s="244"/>
      <c r="O294" s="244"/>
    </row>
    <row r="295" spans="1:15" ht="15.75" customHeight="1" x14ac:dyDescent="0.25">
      <c r="A295" s="244"/>
      <c r="B295" s="244"/>
      <c r="C295" s="244"/>
      <c r="D295" s="244"/>
      <c r="E295" s="244"/>
      <c r="F295" s="244"/>
      <c r="G295" s="244"/>
      <c r="H295" s="244"/>
      <c r="I295" s="244"/>
      <c r="J295" s="244"/>
      <c r="K295" s="244"/>
      <c r="L295" s="244"/>
      <c r="M295" s="244"/>
      <c r="N295" s="244"/>
      <c r="O295" s="244"/>
    </row>
    <row r="296" spans="1:15" ht="15.75" customHeight="1" x14ac:dyDescent="0.25">
      <c r="A296" s="244"/>
      <c r="B296" s="244"/>
      <c r="C296" s="244"/>
      <c r="D296" s="244"/>
      <c r="E296" s="244"/>
      <c r="F296" s="244"/>
      <c r="G296" s="244"/>
      <c r="H296" s="244"/>
      <c r="I296" s="244"/>
      <c r="J296" s="244"/>
      <c r="K296" s="244"/>
      <c r="L296" s="244"/>
      <c r="M296" s="244"/>
      <c r="N296" s="244"/>
      <c r="O296" s="244"/>
    </row>
    <row r="297" spans="1:15" ht="15.75" customHeight="1" x14ac:dyDescent="0.25">
      <c r="A297" s="244"/>
      <c r="B297" s="244"/>
      <c r="C297" s="244"/>
      <c r="D297" s="244"/>
      <c r="E297" s="244"/>
      <c r="F297" s="244"/>
      <c r="G297" s="244"/>
      <c r="H297" s="244"/>
      <c r="I297" s="244"/>
      <c r="J297" s="244"/>
      <c r="K297" s="244"/>
      <c r="L297" s="244"/>
      <c r="M297" s="244"/>
      <c r="N297" s="244"/>
      <c r="O297" s="244"/>
    </row>
    <row r="298" spans="1:15" ht="15.75" customHeight="1" x14ac:dyDescent="0.25">
      <c r="A298" s="244"/>
      <c r="B298" s="244"/>
      <c r="C298" s="244"/>
      <c r="D298" s="244"/>
      <c r="E298" s="244"/>
      <c r="F298" s="244"/>
      <c r="G298" s="244"/>
      <c r="H298" s="244"/>
      <c r="I298" s="244"/>
      <c r="J298" s="244"/>
      <c r="K298" s="244"/>
      <c r="L298" s="244"/>
      <c r="M298" s="244"/>
      <c r="N298" s="244"/>
      <c r="O298" s="244"/>
    </row>
    <row r="299" spans="1:15" ht="15.75" customHeight="1" x14ac:dyDescent="0.25">
      <c r="A299" s="244"/>
      <c r="B299" s="244"/>
      <c r="C299" s="244"/>
      <c r="D299" s="244"/>
      <c r="E299" s="244"/>
      <c r="F299" s="244"/>
      <c r="G299" s="244"/>
      <c r="H299" s="244"/>
      <c r="I299" s="244"/>
      <c r="J299" s="244"/>
      <c r="K299" s="244"/>
      <c r="L299" s="244"/>
      <c r="M299" s="244"/>
      <c r="N299" s="244"/>
      <c r="O299" s="244"/>
    </row>
    <row r="300" spans="1:15" ht="15.75" customHeight="1" x14ac:dyDescent="0.25">
      <c r="A300" s="244"/>
      <c r="B300" s="244"/>
      <c r="C300" s="244"/>
      <c r="D300" s="244"/>
      <c r="E300" s="244"/>
      <c r="F300" s="244"/>
      <c r="G300" s="244"/>
      <c r="H300" s="244"/>
      <c r="I300" s="244"/>
      <c r="J300" s="244"/>
      <c r="K300" s="244"/>
      <c r="L300" s="244"/>
      <c r="M300" s="244"/>
      <c r="N300" s="244"/>
      <c r="O300" s="244"/>
    </row>
    <row r="301" spans="1:15" ht="15.75" customHeight="1" x14ac:dyDescent="0.25">
      <c r="A301" s="244"/>
      <c r="B301" s="244"/>
      <c r="C301" s="244"/>
      <c r="D301" s="244"/>
      <c r="E301" s="244"/>
      <c r="F301" s="244"/>
      <c r="G301" s="244"/>
      <c r="H301" s="244"/>
      <c r="I301" s="244"/>
      <c r="J301" s="244"/>
      <c r="K301" s="244"/>
      <c r="L301" s="244"/>
      <c r="M301" s="244"/>
      <c r="N301" s="244"/>
      <c r="O301" s="244"/>
    </row>
    <row r="302" spans="1:15" ht="15.75" customHeight="1" x14ac:dyDescent="0.25">
      <c r="A302" s="244"/>
      <c r="B302" s="244"/>
      <c r="C302" s="244"/>
      <c r="D302" s="244"/>
      <c r="E302" s="244"/>
      <c r="F302" s="244"/>
      <c r="G302" s="244"/>
      <c r="H302" s="244"/>
      <c r="I302" s="244"/>
      <c r="J302" s="244"/>
      <c r="K302" s="244"/>
      <c r="L302" s="244"/>
      <c r="M302" s="244"/>
      <c r="N302" s="244"/>
      <c r="O302" s="244"/>
    </row>
    <row r="303" spans="1:15" ht="15.75" customHeight="1" x14ac:dyDescent="0.25">
      <c r="A303" s="244"/>
      <c r="B303" s="244"/>
      <c r="C303" s="244"/>
      <c r="D303" s="244"/>
      <c r="E303" s="244"/>
      <c r="F303" s="244"/>
      <c r="G303" s="244"/>
      <c r="H303" s="244"/>
      <c r="I303" s="244"/>
      <c r="J303" s="244"/>
      <c r="K303" s="244"/>
      <c r="L303" s="244"/>
      <c r="M303" s="244"/>
      <c r="N303" s="244"/>
      <c r="O303" s="244"/>
    </row>
    <row r="304" spans="1:15" ht="15.75" customHeight="1" x14ac:dyDescent="0.25">
      <c r="A304" s="244"/>
      <c r="B304" s="244"/>
      <c r="C304" s="244"/>
      <c r="D304" s="244"/>
      <c r="E304" s="244"/>
      <c r="F304" s="244"/>
      <c r="G304" s="244"/>
      <c r="H304" s="244"/>
      <c r="I304" s="244"/>
      <c r="J304" s="244"/>
      <c r="K304" s="244"/>
      <c r="L304" s="244"/>
      <c r="M304" s="244"/>
      <c r="N304" s="244"/>
      <c r="O304" s="244"/>
    </row>
    <row r="305" spans="1:15" ht="15.75" customHeight="1" x14ac:dyDescent="0.25">
      <c r="A305" s="244"/>
      <c r="B305" s="244"/>
      <c r="C305" s="244"/>
      <c r="D305" s="244"/>
      <c r="E305" s="244"/>
      <c r="F305" s="244"/>
      <c r="G305" s="244"/>
      <c r="H305" s="244"/>
      <c r="I305" s="244"/>
      <c r="J305" s="244"/>
      <c r="K305" s="244"/>
      <c r="L305" s="244"/>
      <c r="M305" s="244"/>
      <c r="N305" s="244"/>
      <c r="O305" s="244"/>
    </row>
    <row r="306" spans="1:15" ht="15.75" customHeight="1" x14ac:dyDescent="0.25">
      <c r="A306" s="244"/>
      <c r="B306" s="244"/>
      <c r="C306" s="244"/>
      <c r="D306" s="244"/>
      <c r="E306" s="244"/>
      <c r="F306" s="244"/>
      <c r="G306" s="244"/>
      <c r="H306" s="244"/>
      <c r="I306" s="244"/>
      <c r="J306" s="244"/>
      <c r="K306" s="244"/>
      <c r="L306" s="244"/>
      <c r="M306" s="244"/>
      <c r="N306" s="244"/>
      <c r="O306" s="244"/>
    </row>
    <row r="307" spans="1:15" ht="15.75" customHeight="1" x14ac:dyDescent="0.25">
      <c r="A307" s="244"/>
      <c r="B307" s="244"/>
      <c r="C307" s="244"/>
      <c r="D307" s="244"/>
      <c r="E307" s="244"/>
      <c r="F307" s="244"/>
      <c r="G307" s="244"/>
      <c r="H307" s="244"/>
      <c r="I307" s="244"/>
      <c r="J307" s="244"/>
      <c r="K307" s="244"/>
      <c r="L307" s="244"/>
      <c r="M307" s="244"/>
      <c r="N307" s="244"/>
      <c r="O307" s="244"/>
    </row>
    <row r="308" spans="1:15" ht="15.75" customHeight="1" x14ac:dyDescent="0.25">
      <c r="A308" s="244"/>
      <c r="B308" s="244"/>
      <c r="C308" s="244"/>
      <c r="D308" s="244"/>
      <c r="E308" s="244"/>
      <c r="F308" s="244"/>
      <c r="G308" s="244"/>
      <c r="H308" s="244"/>
      <c r="I308" s="244"/>
      <c r="J308" s="244"/>
      <c r="K308" s="244"/>
      <c r="L308" s="244"/>
      <c r="M308" s="244"/>
      <c r="N308" s="244"/>
      <c r="O308" s="244"/>
    </row>
    <row r="309" spans="1:15" ht="15.75" customHeight="1" x14ac:dyDescent="0.25">
      <c r="A309" s="244"/>
      <c r="B309" s="244"/>
      <c r="C309" s="244"/>
      <c r="D309" s="244"/>
      <c r="E309" s="244"/>
      <c r="F309" s="244"/>
      <c r="G309" s="244"/>
      <c r="H309" s="244"/>
      <c r="I309" s="244"/>
      <c r="J309" s="244"/>
      <c r="K309" s="244"/>
      <c r="L309" s="244"/>
      <c r="M309" s="244"/>
      <c r="N309" s="244"/>
      <c r="O309" s="244"/>
    </row>
    <row r="310" spans="1:15" ht="15.75" customHeight="1" x14ac:dyDescent="0.25">
      <c r="A310" s="244"/>
      <c r="B310" s="244"/>
      <c r="C310" s="244"/>
      <c r="D310" s="244"/>
      <c r="E310" s="244"/>
      <c r="F310" s="244"/>
      <c r="G310" s="244"/>
      <c r="H310" s="244"/>
      <c r="I310" s="244"/>
      <c r="J310" s="244"/>
      <c r="K310" s="244"/>
      <c r="L310" s="244"/>
      <c r="M310" s="244"/>
      <c r="N310" s="244"/>
      <c r="O310" s="244"/>
    </row>
    <row r="311" spans="1:15" ht="15.75" customHeight="1" x14ac:dyDescent="0.25">
      <c r="A311" s="244"/>
      <c r="B311" s="244"/>
      <c r="C311" s="244"/>
      <c r="D311" s="244"/>
      <c r="E311" s="244"/>
      <c r="F311" s="244"/>
      <c r="G311" s="244"/>
      <c r="H311" s="244"/>
      <c r="I311" s="244"/>
      <c r="J311" s="244"/>
      <c r="K311" s="244"/>
      <c r="L311" s="244"/>
      <c r="M311" s="244"/>
      <c r="N311" s="244"/>
      <c r="O311" s="244"/>
    </row>
    <row r="312" spans="1:15" ht="15.75" customHeight="1" x14ac:dyDescent="0.25">
      <c r="A312" s="244"/>
      <c r="B312" s="244"/>
      <c r="C312" s="244"/>
      <c r="D312" s="244"/>
      <c r="E312" s="244"/>
      <c r="F312" s="244"/>
      <c r="G312" s="244"/>
      <c r="H312" s="244"/>
      <c r="I312" s="244"/>
      <c r="J312" s="244"/>
      <c r="K312" s="244"/>
      <c r="L312" s="244"/>
      <c r="M312" s="244"/>
      <c r="N312" s="244"/>
      <c r="O312" s="244"/>
    </row>
    <row r="313" spans="1:15" ht="15.75" customHeight="1" x14ac:dyDescent="0.25">
      <c r="A313" s="244"/>
      <c r="B313" s="244"/>
      <c r="C313" s="244"/>
      <c r="D313" s="244"/>
      <c r="E313" s="244"/>
      <c r="F313" s="244"/>
      <c r="G313" s="244"/>
      <c r="H313" s="244"/>
      <c r="I313" s="244"/>
      <c r="J313" s="244"/>
      <c r="K313" s="244"/>
      <c r="L313" s="244"/>
      <c r="M313" s="244"/>
      <c r="N313" s="244"/>
      <c r="O313" s="244"/>
    </row>
    <row r="314" spans="1:15" ht="15.75" customHeight="1" x14ac:dyDescent="0.25">
      <c r="A314" s="244"/>
      <c r="B314" s="244"/>
      <c r="C314" s="244"/>
      <c r="D314" s="244"/>
      <c r="E314" s="244"/>
      <c r="F314" s="244"/>
      <c r="G314" s="244"/>
      <c r="H314" s="244"/>
      <c r="I314" s="244"/>
      <c r="J314" s="244"/>
      <c r="K314" s="244"/>
      <c r="L314" s="244"/>
      <c r="M314" s="244"/>
      <c r="N314" s="244"/>
      <c r="O314" s="244"/>
    </row>
    <row r="315" spans="1:15" ht="15.75" customHeight="1" x14ac:dyDescent="0.25">
      <c r="A315" s="244"/>
      <c r="B315" s="244"/>
      <c r="C315" s="244"/>
      <c r="D315" s="244"/>
      <c r="E315" s="244"/>
      <c r="F315" s="244"/>
      <c r="G315" s="244"/>
      <c r="H315" s="244"/>
      <c r="I315" s="244"/>
      <c r="J315" s="244"/>
      <c r="K315" s="244"/>
      <c r="L315" s="244"/>
      <c r="M315" s="244"/>
      <c r="N315" s="244"/>
      <c r="O315" s="244"/>
    </row>
    <row r="316" spans="1:15" ht="15.75" customHeight="1" x14ac:dyDescent="0.25">
      <c r="A316" s="244"/>
      <c r="B316" s="244"/>
      <c r="C316" s="244"/>
      <c r="D316" s="244"/>
      <c r="E316" s="244"/>
      <c r="F316" s="244"/>
      <c r="G316" s="244"/>
      <c r="H316" s="244"/>
      <c r="I316" s="244"/>
      <c r="J316" s="244"/>
      <c r="K316" s="244"/>
      <c r="L316" s="244"/>
      <c r="M316" s="244"/>
      <c r="N316" s="244"/>
      <c r="O316" s="244"/>
    </row>
    <row r="317" spans="1:15" ht="15.75" customHeight="1" x14ac:dyDescent="0.25">
      <c r="A317" s="244"/>
      <c r="B317" s="244"/>
      <c r="C317" s="244"/>
      <c r="D317" s="244"/>
      <c r="E317" s="244"/>
      <c r="F317" s="244"/>
      <c r="G317" s="244"/>
      <c r="H317" s="244"/>
      <c r="I317" s="244"/>
      <c r="J317" s="244"/>
      <c r="K317" s="244"/>
      <c r="L317" s="244"/>
      <c r="M317" s="244"/>
      <c r="N317" s="244"/>
      <c r="O317" s="244"/>
    </row>
    <row r="318" spans="1:15" ht="15.75" customHeight="1" x14ac:dyDescent="0.25">
      <c r="A318" s="244"/>
      <c r="B318" s="244"/>
      <c r="C318" s="244"/>
      <c r="D318" s="244"/>
      <c r="E318" s="244"/>
      <c r="F318" s="244"/>
      <c r="G318" s="244"/>
      <c r="H318" s="244"/>
      <c r="I318" s="244"/>
      <c r="J318" s="244"/>
      <c r="K318" s="244"/>
      <c r="L318" s="244"/>
      <c r="M318" s="244"/>
      <c r="N318" s="244"/>
      <c r="O318" s="244"/>
    </row>
    <row r="319" spans="1:15" ht="15.75" customHeight="1" x14ac:dyDescent="0.25">
      <c r="A319" s="244"/>
      <c r="B319" s="244"/>
      <c r="C319" s="244"/>
      <c r="D319" s="244"/>
      <c r="E319" s="244"/>
      <c r="F319" s="244"/>
      <c r="G319" s="244"/>
      <c r="H319" s="244"/>
      <c r="I319" s="244"/>
      <c r="J319" s="244"/>
      <c r="K319" s="244"/>
      <c r="L319" s="244"/>
      <c r="M319" s="244"/>
      <c r="N319" s="244"/>
      <c r="O319" s="244"/>
    </row>
    <row r="320" spans="1:15" ht="15.75" customHeight="1" x14ac:dyDescent="0.25">
      <c r="A320" s="244"/>
      <c r="B320" s="244"/>
      <c r="C320" s="244"/>
      <c r="D320" s="244"/>
      <c r="E320" s="244"/>
      <c r="F320" s="244"/>
      <c r="G320" s="244"/>
      <c r="H320" s="244"/>
      <c r="I320" s="244"/>
      <c r="J320" s="244"/>
      <c r="K320" s="244"/>
      <c r="L320" s="244"/>
      <c r="M320" s="244"/>
      <c r="N320" s="244"/>
      <c r="O320" s="244"/>
    </row>
    <row r="321" spans="1:15" ht="15.75" customHeight="1" x14ac:dyDescent="0.25">
      <c r="A321" s="244"/>
      <c r="B321" s="244"/>
      <c r="C321" s="244"/>
      <c r="D321" s="244"/>
      <c r="E321" s="244"/>
      <c r="F321" s="244"/>
      <c r="G321" s="244"/>
      <c r="H321" s="244"/>
      <c r="I321" s="244"/>
      <c r="J321" s="244"/>
      <c r="K321" s="244"/>
      <c r="L321" s="244"/>
      <c r="M321" s="244"/>
      <c r="N321" s="244"/>
      <c r="O321" s="244"/>
    </row>
    <row r="322" spans="1:15" ht="15.75" customHeight="1" x14ac:dyDescent="0.25">
      <c r="A322" s="244"/>
      <c r="B322" s="244"/>
      <c r="C322" s="244"/>
      <c r="D322" s="244"/>
      <c r="E322" s="244"/>
      <c r="F322" s="244"/>
      <c r="G322" s="244"/>
      <c r="H322" s="244"/>
      <c r="I322" s="244"/>
      <c r="J322" s="244"/>
      <c r="K322" s="244"/>
      <c r="L322" s="244"/>
      <c r="M322" s="244"/>
      <c r="N322" s="244"/>
      <c r="O322" s="244"/>
    </row>
    <row r="323" spans="1:15" ht="15.75" customHeight="1" x14ac:dyDescent="0.25">
      <c r="A323" s="244"/>
      <c r="B323" s="244"/>
      <c r="C323" s="244"/>
      <c r="D323" s="244"/>
      <c r="E323" s="244"/>
      <c r="F323" s="244"/>
      <c r="G323" s="244"/>
      <c r="H323" s="244"/>
      <c r="I323" s="244"/>
      <c r="J323" s="244"/>
      <c r="K323" s="244"/>
      <c r="L323" s="244"/>
      <c r="M323" s="244"/>
      <c r="N323" s="244"/>
      <c r="O323" s="244"/>
    </row>
    <row r="324" spans="1:15" ht="15.75" customHeight="1" x14ac:dyDescent="0.2"/>
    <row r="325" spans="1:15" ht="15.75" customHeight="1" x14ac:dyDescent="0.2"/>
    <row r="326" spans="1:15" ht="15.75" customHeight="1" x14ac:dyDescent="0.2"/>
    <row r="327" spans="1:15" ht="15.75" customHeight="1" x14ac:dyDescent="0.2"/>
    <row r="328" spans="1:15" ht="15.75" customHeight="1" x14ac:dyDescent="0.2"/>
    <row r="329" spans="1:15" ht="15.75" customHeight="1" x14ac:dyDescent="0.2"/>
    <row r="330" spans="1:15" ht="15.75" customHeight="1" x14ac:dyDescent="0.2"/>
    <row r="331" spans="1:15" ht="15.75" customHeight="1" x14ac:dyDescent="0.2"/>
    <row r="332" spans="1:15" ht="15.75" customHeight="1" x14ac:dyDescent="0.2"/>
    <row r="333" spans="1:15" ht="15.75" customHeight="1" x14ac:dyDescent="0.2"/>
    <row r="334" spans="1:15" ht="15.75" customHeight="1" x14ac:dyDescent="0.2"/>
    <row r="335" spans="1:15" ht="15.75" customHeight="1" x14ac:dyDescent="0.2"/>
    <row r="336" spans="1:15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4:B5"/>
    <mergeCell ref="C4:C5"/>
    <mergeCell ref="D4:I4"/>
    <mergeCell ref="J4:O4"/>
  </mergeCells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1000"/>
  <sheetViews>
    <sheetView workbookViewId="0">
      <pane xSplit="3" ySplit="14" topLeftCell="D96" activePane="bottomRight" state="frozen"/>
      <selection pane="topRight" activeCell="D1" sqref="D1"/>
      <selection pane="bottomLeft" activeCell="A15" sqref="A15"/>
      <selection pane="bottomRight" activeCell="D106" sqref="D106"/>
    </sheetView>
  </sheetViews>
  <sheetFormatPr defaultColWidth="12.5703125" defaultRowHeight="15" customHeight="1" x14ac:dyDescent="0.2"/>
  <cols>
    <col min="1" max="1" width="5.5703125" customWidth="1"/>
    <col min="2" max="2" width="20.140625" customWidth="1"/>
    <col min="3" max="3" width="55" customWidth="1"/>
    <col min="4" max="4" width="13.140625" customWidth="1"/>
    <col min="5" max="5" width="9.28515625" hidden="1" customWidth="1"/>
    <col min="6" max="6" width="11" hidden="1" customWidth="1"/>
    <col min="7" max="7" width="8.28515625" hidden="1" customWidth="1"/>
    <col min="8" max="8" width="12.42578125" hidden="1" customWidth="1"/>
    <col min="9" max="9" width="9.42578125" hidden="1" customWidth="1"/>
    <col min="10" max="10" width="13.140625" customWidth="1"/>
    <col min="11" max="11" width="9.28515625" hidden="1" customWidth="1"/>
    <col min="12" max="12" width="11" hidden="1" customWidth="1"/>
    <col min="13" max="13" width="8.28515625" hidden="1" customWidth="1"/>
    <col min="14" max="14" width="12.42578125" hidden="1" customWidth="1"/>
    <col min="15" max="15" width="9.42578125" hidden="1" customWidth="1"/>
    <col min="16" max="16" width="12.5703125" customWidth="1"/>
  </cols>
  <sheetData>
    <row r="1" spans="1:16" ht="15.75" customHeight="1" x14ac:dyDescent="0.25">
      <c r="A1" s="245"/>
      <c r="B1" s="245" t="s">
        <v>0</v>
      </c>
      <c r="C1" s="244"/>
      <c r="D1" s="303"/>
      <c r="E1" s="244"/>
      <c r="F1" s="303"/>
      <c r="G1" s="244"/>
      <c r="H1" s="303"/>
      <c r="I1" s="244"/>
      <c r="J1" s="303"/>
      <c r="K1" s="244"/>
      <c r="L1" s="303"/>
      <c r="M1" s="244"/>
      <c r="N1" s="303"/>
      <c r="O1" s="244"/>
      <c r="P1" s="244"/>
    </row>
    <row r="2" spans="1:16" ht="15.75" customHeight="1" x14ac:dyDescent="0.25">
      <c r="A2" s="244"/>
      <c r="B2" s="304" t="s">
        <v>259</v>
      </c>
      <c r="C2" s="244"/>
      <c r="D2" s="303"/>
      <c r="E2" s="244"/>
      <c r="F2" s="303"/>
      <c r="G2" s="244"/>
      <c r="H2" s="303"/>
      <c r="I2" s="244"/>
      <c r="J2" s="303"/>
      <c r="K2" s="244"/>
      <c r="L2" s="303"/>
      <c r="M2" s="244"/>
      <c r="N2" s="303"/>
      <c r="O2" s="244"/>
      <c r="P2" s="244"/>
    </row>
    <row r="3" spans="1:16" ht="15.75" customHeight="1" x14ac:dyDescent="0.25">
      <c r="A3" s="244"/>
      <c r="B3" s="244"/>
      <c r="C3" s="244"/>
      <c r="D3" s="303"/>
      <c r="E3" s="244"/>
      <c r="F3" s="303"/>
      <c r="G3" s="244"/>
      <c r="H3" s="303"/>
      <c r="I3" s="244"/>
      <c r="J3" s="303"/>
      <c r="K3" s="244"/>
      <c r="L3" s="303"/>
      <c r="M3" s="244"/>
      <c r="N3" s="303"/>
      <c r="O3" s="244"/>
      <c r="P3" s="244"/>
    </row>
    <row r="4" spans="1:16" ht="15.75" customHeight="1" x14ac:dyDescent="0.25">
      <c r="A4" s="244"/>
      <c r="B4" s="950" t="s">
        <v>167</v>
      </c>
      <c r="C4" s="952" t="s">
        <v>46</v>
      </c>
      <c r="D4" s="954" t="s">
        <v>168</v>
      </c>
      <c r="E4" s="930"/>
      <c r="F4" s="930"/>
      <c r="G4" s="930"/>
      <c r="H4" s="930"/>
      <c r="I4" s="931"/>
      <c r="J4" s="954" t="s">
        <v>169</v>
      </c>
      <c r="K4" s="930"/>
      <c r="L4" s="930"/>
      <c r="M4" s="930"/>
      <c r="N4" s="930"/>
      <c r="O4" s="931"/>
      <c r="P4" s="305"/>
    </row>
    <row r="5" spans="1:16" ht="31.5" customHeight="1" x14ac:dyDescent="0.2">
      <c r="A5" s="306"/>
      <c r="B5" s="951"/>
      <c r="C5" s="953"/>
      <c r="D5" s="307" t="s">
        <v>170</v>
      </c>
      <c r="E5" s="308" t="s">
        <v>18</v>
      </c>
      <c r="F5" s="309" t="s">
        <v>171</v>
      </c>
      <c r="G5" s="308" t="s">
        <v>18</v>
      </c>
      <c r="H5" s="309" t="s">
        <v>172</v>
      </c>
      <c r="I5" s="310" t="s">
        <v>260</v>
      </c>
      <c r="J5" s="307" t="s">
        <v>170</v>
      </c>
      <c r="K5" s="308" t="s">
        <v>18</v>
      </c>
      <c r="L5" s="309" t="s">
        <v>171</v>
      </c>
      <c r="M5" s="308" t="s">
        <v>18</v>
      </c>
      <c r="N5" s="309" t="s">
        <v>172</v>
      </c>
      <c r="O5" s="310" t="s">
        <v>260</v>
      </c>
      <c r="P5" s="311"/>
    </row>
    <row r="6" spans="1:16" ht="15.75" hidden="1" customHeight="1" x14ac:dyDescent="0.25">
      <c r="A6" s="244"/>
      <c r="B6" s="270"/>
      <c r="C6" s="312" t="s">
        <v>78</v>
      </c>
      <c r="D6" s="265">
        <v>4700</v>
      </c>
      <c r="E6" s="313"/>
      <c r="F6" s="296"/>
      <c r="G6" s="313"/>
      <c r="H6" s="296"/>
      <c r="I6" s="271"/>
      <c r="J6" s="265">
        <v>4700</v>
      </c>
      <c r="K6" s="313"/>
      <c r="L6" s="296"/>
      <c r="M6" s="313"/>
      <c r="N6" s="296"/>
      <c r="O6" s="271"/>
      <c r="P6" s="244"/>
    </row>
    <row r="7" spans="1:16" ht="15.75" hidden="1" customHeight="1" x14ac:dyDescent="0.25">
      <c r="A7" s="244"/>
      <c r="B7" s="270"/>
      <c r="C7" s="312" t="s">
        <v>85</v>
      </c>
      <c r="D7" s="265">
        <v>348</v>
      </c>
      <c r="E7" s="313"/>
      <c r="F7" s="296"/>
      <c r="G7" s="313"/>
      <c r="H7" s="296"/>
      <c r="I7" s="271"/>
      <c r="J7" s="265">
        <v>348</v>
      </c>
      <c r="K7" s="313"/>
      <c r="L7" s="296"/>
      <c r="M7" s="313"/>
      <c r="N7" s="296"/>
      <c r="O7" s="271"/>
      <c r="P7" s="244"/>
    </row>
    <row r="8" spans="1:16" ht="15.75" hidden="1" customHeight="1" x14ac:dyDescent="0.25">
      <c r="A8" s="244"/>
      <c r="B8" s="270"/>
      <c r="C8" s="312" t="s">
        <v>92</v>
      </c>
      <c r="D8" s="265">
        <f>D24+D25+D28+D16</f>
        <v>19734167.609999999</v>
      </c>
      <c r="E8" s="313"/>
      <c r="F8" s="296"/>
      <c r="G8" s="313"/>
      <c r="H8" s="296"/>
      <c r="I8" s="271"/>
      <c r="J8" s="265">
        <f>J24+J25+J28+J16</f>
        <v>18325199</v>
      </c>
      <c r="K8" s="313"/>
      <c r="L8" s="296"/>
      <c r="M8" s="313"/>
      <c r="N8" s="296"/>
      <c r="O8" s="271"/>
      <c r="P8" s="244"/>
    </row>
    <row r="9" spans="1:16" ht="15.75" hidden="1" customHeight="1" x14ac:dyDescent="0.25">
      <c r="A9" s="244"/>
      <c r="B9" s="270"/>
      <c r="C9" s="312" t="s">
        <v>99</v>
      </c>
      <c r="D9" s="265">
        <f>D17+D19+D20+D21</f>
        <v>792545.26</v>
      </c>
      <c r="E9" s="313"/>
      <c r="F9" s="296"/>
      <c r="G9" s="313"/>
      <c r="H9" s="296"/>
      <c r="I9" s="271"/>
      <c r="J9" s="265">
        <f>J17+J19+J20+J21</f>
        <v>2082381</v>
      </c>
      <c r="K9" s="313"/>
      <c r="L9" s="296"/>
      <c r="M9" s="313"/>
      <c r="N9" s="296"/>
      <c r="O9" s="271"/>
      <c r="P9" s="244"/>
    </row>
    <row r="10" spans="1:16" ht="15.75" hidden="1" customHeight="1" x14ac:dyDescent="0.25">
      <c r="A10" s="244"/>
      <c r="B10" s="270"/>
      <c r="C10" s="312" t="s">
        <v>106</v>
      </c>
      <c r="D10" s="265">
        <f>SUM(D8:D9)-D29</f>
        <v>0</v>
      </c>
      <c r="E10" s="313"/>
      <c r="F10" s="296"/>
      <c r="G10" s="313"/>
      <c r="H10" s="296"/>
      <c r="I10" s="271"/>
      <c r="J10" s="265">
        <f>SUM(J8:J9)-J29</f>
        <v>0</v>
      </c>
      <c r="K10" s="313"/>
      <c r="L10" s="296"/>
      <c r="M10" s="313"/>
      <c r="N10" s="296"/>
      <c r="O10" s="271"/>
      <c r="P10" s="244"/>
    </row>
    <row r="11" spans="1:16" ht="15.75" hidden="1" customHeight="1" x14ac:dyDescent="0.25">
      <c r="A11" s="244"/>
      <c r="B11" s="270"/>
      <c r="C11" s="312" t="s">
        <v>113</v>
      </c>
      <c r="D11" s="265">
        <f t="shared" ref="D11:D12" si="0">D8/D6</f>
        <v>4198.7590659574471</v>
      </c>
      <c r="E11" s="313"/>
      <c r="F11" s="296"/>
      <c r="G11" s="313"/>
      <c r="H11" s="296"/>
      <c r="I11" s="271"/>
      <c r="J11" s="265">
        <f t="shared" ref="J11:J12" si="1">J8/J6</f>
        <v>3898.9785106382978</v>
      </c>
      <c r="K11" s="313"/>
      <c r="L11" s="296"/>
      <c r="M11" s="313"/>
      <c r="N11" s="296"/>
      <c r="O11" s="271"/>
      <c r="P11" s="244"/>
    </row>
    <row r="12" spans="1:16" ht="15.75" hidden="1" customHeight="1" x14ac:dyDescent="0.25">
      <c r="A12" s="244"/>
      <c r="B12" s="270"/>
      <c r="C12" s="312" t="s">
        <v>120</v>
      </c>
      <c r="D12" s="265">
        <f t="shared" si="0"/>
        <v>2277.4289080459771</v>
      </c>
      <c r="E12" s="313"/>
      <c r="F12" s="296"/>
      <c r="G12" s="313"/>
      <c r="H12" s="296"/>
      <c r="I12" s="271"/>
      <c r="J12" s="265">
        <f t="shared" si="1"/>
        <v>5983.8534482758623</v>
      </c>
      <c r="K12" s="313"/>
      <c r="L12" s="296"/>
      <c r="M12" s="313"/>
      <c r="N12" s="296"/>
      <c r="O12" s="271"/>
      <c r="P12" s="244"/>
    </row>
    <row r="13" spans="1:16" ht="15.75" hidden="1" customHeight="1" x14ac:dyDescent="0.25">
      <c r="A13" s="244"/>
      <c r="B13" s="270"/>
      <c r="C13" s="312"/>
      <c r="D13" s="265"/>
      <c r="E13" s="313"/>
      <c r="F13" s="296"/>
      <c r="G13" s="313"/>
      <c r="H13" s="296"/>
      <c r="I13" s="271"/>
      <c r="J13" s="265"/>
      <c r="K13" s="313"/>
      <c r="L13" s="296"/>
      <c r="M13" s="313"/>
      <c r="N13" s="296"/>
      <c r="O13" s="271"/>
      <c r="P13" s="244"/>
    </row>
    <row r="14" spans="1:16" ht="15.75" hidden="1" customHeight="1" x14ac:dyDescent="0.25">
      <c r="A14" s="244"/>
      <c r="B14" s="314"/>
      <c r="C14" s="315"/>
      <c r="D14" s="276"/>
      <c r="E14" s="316"/>
      <c r="F14" s="317"/>
      <c r="G14" s="316"/>
      <c r="H14" s="317"/>
      <c r="I14" s="318"/>
      <c r="J14" s="276"/>
      <c r="K14" s="316"/>
      <c r="L14" s="317"/>
      <c r="M14" s="316"/>
      <c r="N14" s="317"/>
      <c r="O14" s="318"/>
      <c r="P14" s="244"/>
    </row>
    <row r="15" spans="1:16" ht="15.75" customHeight="1" x14ac:dyDescent="0.25">
      <c r="A15" s="244"/>
      <c r="B15" s="319" t="s">
        <v>173</v>
      </c>
      <c r="C15" s="320"/>
      <c r="D15" s="257">
        <f t="shared" ref="D15:E15" si="2">SUM(D16:D22)</f>
        <v>12668923.869999999</v>
      </c>
      <c r="E15" s="321">
        <f t="shared" si="2"/>
        <v>20400.997699508633</v>
      </c>
      <c r="F15" s="322">
        <f t="shared" ref="F15:H15" si="3">SUM(F16:F21)</f>
        <v>0</v>
      </c>
      <c r="G15" s="321" t="e">
        <f t="shared" si="3"/>
        <v>#DIV/0!</v>
      </c>
      <c r="H15" s="322">
        <f t="shared" si="3"/>
        <v>12668923.869999999</v>
      </c>
      <c r="I15" s="323" t="e">
        <f>(H15/F15)</f>
        <v>#DIV/0!</v>
      </c>
      <c r="J15" s="257">
        <f t="shared" ref="J15:K15" si="4">SUM(J16:J22)</f>
        <v>14320635</v>
      </c>
      <c r="K15" s="321">
        <f t="shared" si="4"/>
        <v>20401.017347750447</v>
      </c>
      <c r="L15" s="322">
        <f t="shared" ref="L15:N15" si="5">SUM(L16:L21)</f>
        <v>0</v>
      </c>
      <c r="M15" s="321" t="e">
        <f t="shared" si="5"/>
        <v>#DIV/0!</v>
      </c>
      <c r="N15" s="322">
        <f t="shared" si="5"/>
        <v>14320635</v>
      </c>
      <c r="O15" s="323" t="e">
        <f>(N15/L15)</f>
        <v>#DIV/0!</v>
      </c>
      <c r="P15" s="246"/>
    </row>
    <row r="16" spans="1:16" ht="15.75" customHeight="1" x14ac:dyDescent="0.25">
      <c r="A16" s="244"/>
      <c r="B16" s="324" t="s">
        <v>23</v>
      </c>
      <c r="C16" s="325" t="s">
        <v>175</v>
      </c>
      <c r="D16" s="261">
        <v>11876378.609999999</v>
      </c>
      <c r="E16" s="326">
        <f>D16/D$15</f>
        <v>0.93744178525875066</v>
      </c>
      <c r="F16" s="327"/>
      <c r="G16" s="326" t="e">
        <f t="shared" ref="G16:G21" si="6">F16/$F$15</f>
        <v>#DIV/0!</v>
      </c>
      <c r="H16" s="327">
        <f t="shared" ref="H16:H22" si="7">D16-F16</f>
        <v>11876378.609999999</v>
      </c>
      <c r="I16" s="328" t="e">
        <f t="shared" ref="I16:I17" si="8">H16/F16</f>
        <v>#DIV/0!</v>
      </c>
      <c r="J16" s="21">
        <v>12238254</v>
      </c>
      <c r="K16" s="329">
        <f>J16/J$15</f>
        <v>0.85458878045561526</v>
      </c>
      <c r="L16" s="327"/>
      <c r="M16" s="326" t="e">
        <f t="shared" ref="M16:M21" si="9">L16/$F$15</f>
        <v>#DIV/0!</v>
      </c>
      <c r="N16" s="327">
        <f t="shared" ref="N16:N22" si="10">J16-L16</f>
        <v>12238254</v>
      </c>
      <c r="O16" s="330" t="e">
        <f t="shared" ref="O16:O17" si="11">N16/L16</f>
        <v>#DIV/0!</v>
      </c>
      <c r="P16" s="244"/>
    </row>
    <row r="17" spans="1:16" ht="15.75" customHeight="1" x14ac:dyDescent="0.25">
      <c r="A17" s="244"/>
      <c r="B17" s="331"/>
      <c r="C17" s="312" t="s">
        <v>176</v>
      </c>
      <c r="D17" s="265">
        <f>131070+455241+127679</f>
        <v>713990</v>
      </c>
      <c r="E17" s="332">
        <f t="shared" ref="E17:E20" si="12">D17/$D$15</f>
        <v>5.6357588641820458E-2</v>
      </c>
      <c r="F17" s="296"/>
      <c r="G17" s="332" t="e">
        <f t="shared" si="6"/>
        <v>#DIV/0!</v>
      </c>
      <c r="H17" s="296">
        <f t="shared" si="7"/>
        <v>713990</v>
      </c>
      <c r="I17" s="333" t="e">
        <f t="shared" si="8"/>
        <v>#DIV/0!</v>
      </c>
      <c r="J17" s="334">
        <f>564963+154618</f>
        <v>719581</v>
      </c>
      <c r="K17" s="335">
        <f t="shared" ref="K17:K20" si="13">J17/$D$15</f>
        <v>5.6798904736018438E-2</v>
      </c>
      <c r="L17" s="296"/>
      <c r="M17" s="332" t="e">
        <f t="shared" si="9"/>
        <v>#DIV/0!</v>
      </c>
      <c r="N17" s="296">
        <f t="shared" si="10"/>
        <v>719581</v>
      </c>
      <c r="O17" s="336" t="e">
        <f t="shared" si="11"/>
        <v>#DIV/0!</v>
      </c>
      <c r="P17" s="244"/>
    </row>
    <row r="18" spans="1:16" ht="15.75" customHeight="1" x14ac:dyDescent="0.25">
      <c r="A18" s="244"/>
      <c r="B18" s="331"/>
      <c r="C18" s="312" t="s">
        <v>261</v>
      </c>
      <c r="D18" s="265">
        <v>0</v>
      </c>
      <c r="E18" s="332">
        <f t="shared" si="12"/>
        <v>0</v>
      </c>
      <c r="F18" s="296"/>
      <c r="G18" s="332" t="e">
        <f t="shared" si="6"/>
        <v>#DIV/0!</v>
      </c>
      <c r="H18" s="296">
        <f t="shared" si="7"/>
        <v>0</v>
      </c>
      <c r="I18" s="333"/>
      <c r="J18" s="265">
        <v>0</v>
      </c>
      <c r="K18" s="335">
        <f t="shared" si="13"/>
        <v>0</v>
      </c>
      <c r="L18" s="296"/>
      <c r="M18" s="332" t="e">
        <f t="shared" si="9"/>
        <v>#DIV/0!</v>
      </c>
      <c r="N18" s="296">
        <f t="shared" si="10"/>
        <v>0</v>
      </c>
      <c r="O18" s="336"/>
      <c r="P18" s="244"/>
    </row>
    <row r="19" spans="1:16" ht="15.75" customHeight="1" x14ac:dyDescent="0.25">
      <c r="A19" s="244"/>
      <c r="B19" s="331"/>
      <c r="C19" s="312" t="s">
        <v>262</v>
      </c>
      <c r="D19" s="265">
        <v>42857</v>
      </c>
      <c r="E19" s="332">
        <f t="shared" si="12"/>
        <v>3.382844544632977E-3</v>
      </c>
      <c r="F19" s="296"/>
      <c r="G19" s="332" t="e">
        <f t="shared" si="6"/>
        <v>#DIV/0!</v>
      </c>
      <c r="H19" s="296">
        <f t="shared" si="7"/>
        <v>42857</v>
      </c>
      <c r="I19" s="333"/>
      <c r="J19" s="33">
        <v>1342400</v>
      </c>
      <c r="K19" s="335">
        <f t="shared" si="13"/>
        <v>0.10596006525690806</v>
      </c>
      <c r="L19" s="296"/>
      <c r="M19" s="332" t="e">
        <f t="shared" si="9"/>
        <v>#DIV/0!</v>
      </c>
      <c r="N19" s="296">
        <f t="shared" si="10"/>
        <v>1342400</v>
      </c>
      <c r="O19" s="336"/>
      <c r="P19" s="244"/>
    </row>
    <row r="20" spans="1:16" ht="15.75" customHeight="1" x14ac:dyDescent="0.25">
      <c r="A20" s="244"/>
      <c r="B20" s="331"/>
      <c r="C20" s="312" t="s">
        <v>178</v>
      </c>
      <c r="D20" s="276">
        <v>6553.51</v>
      </c>
      <c r="E20" s="337">
        <f t="shared" si="12"/>
        <v>5.172901871735694E-4</v>
      </c>
      <c r="F20" s="317"/>
      <c r="G20" s="337" t="e">
        <f t="shared" si="6"/>
        <v>#DIV/0!</v>
      </c>
      <c r="H20" s="317">
        <f t="shared" si="7"/>
        <v>6553.51</v>
      </c>
      <c r="I20" s="338" t="e">
        <f t="shared" ref="I20:I21" si="14">H20/F20</f>
        <v>#DIV/0!</v>
      </c>
      <c r="J20" s="294"/>
      <c r="K20" s="332">
        <f t="shared" si="13"/>
        <v>0</v>
      </c>
      <c r="L20" s="296"/>
      <c r="M20" s="332" t="e">
        <f t="shared" si="9"/>
        <v>#DIV/0!</v>
      </c>
      <c r="N20" s="296">
        <f t="shared" si="10"/>
        <v>0</v>
      </c>
      <c r="O20" s="336" t="e">
        <f t="shared" ref="O20:O21" si="15">N20/L20</f>
        <v>#DIV/0!</v>
      </c>
      <c r="P20" s="244"/>
    </row>
    <row r="21" spans="1:16" ht="15.75" customHeight="1" x14ac:dyDescent="0.25">
      <c r="A21" s="244"/>
      <c r="B21" s="331"/>
      <c r="C21" s="339" t="s">
        <v>179</v>
      </c>
      <c r="D21" s="340">
        <v>29144.75</v>
      </c>
      <c r="E21" s="341">
        <v>20400</v>
      </c>
      <c r="F21" s="296"/>
      <c r="G21" s="332" t="e">
        <f t="shared" si="6"/>
        <v>#DIV/0!</v>
      </c>
      <c r="H21" s="296">
        <f t="shared" si="7"/>
        <v>29144.75</v>
      </c>
      <c r="I21" s="333" t="e">
        <f t="shared" si="14"/>
        <v>#DIV/0!</v>
      </c>
      <c r="J21" s="334">
        <v>20400</v>
      </c>
      <c r="K21" s="114">
        <v>20400</v>
      </c>
      <c r="L21" s="296"/>
      <c r="M21" s="332" t="e">
        <f t="shared" si="9"/>
        <v>#DIV/0!</v>
      </c>
      <c r="N21" s="296">
        <f t="shared" si="10"/>
        <v>20400</v>
      </c>
      <c r="O21" s="336" t="e">
        <f t="shared" si="15"/>
        <v>#DIV/0!</v>
      </c>
      <c r="P21" s="244"/>
    </row>
    <row r="22" spans="1:16" ht="15.75" customHeight="1" x14ac:dyDescent="0.25">
      <c r="A22" s="244"/>
      <c r="B22" s="331"/>
      <c r="C22" s="312" t="s">
        <v>263</v>
      </c>
      <c r="D22" s="261"/>
      <c r="E22" s="326">
        <f>D22/$D$15</f>
        <v>0</v>
      </c>
      <c r="F22" s="327"/>
      <c r="G22" s="326"/>
      <c r="H22" s="327">
        <f t="shared" si="7"/>
        <v>0</v>
      </c>
      <c r="I22" s="342" t="str">
        <f>IFERROR(H22/F22,"")</f>
        <v/>
      </c>
      <c r="J22" s="261"/>
      <c r="K22" s="332">
        <f>J22/$D$15</f>
        <v>0</v>
      </c>
      <c r="L22" s="296"/>
      <c r="M22" s="332"/>
      <c r="N22" s="296">
        <f t="shared" si="10"/>
        <v>0</v>
      </c>
      <c r="O22" s="343" t="str">
        <f>IFERROR(N22/L22,"")</f>
        <v/>
      </c>
      <c r="P22" s="244"/>
    </row>
    <row r="23" spans="1:16" ht="15.75" customHeight="1" x14ac:dyDescent="0.25">
      <c r="A23" s="244"/>
      <c r="B23" s="270"/>
      <c r="C23" s="312"/>
      <c r="D23" s="265"/>
      <c r="E23" s="313"/>
      <c r="F23" s="296"/>
      <c r="G23" s="313"/>
      <c r="H23" s="296"/>
      <c r="I23" s="344"/>
      <c r="J23" s="265"/>
      <c r="K23" s="313"/>
      <c r="L23" s="296"/>
      <c r="M23" s="313"/>
      <c r="N23" s="296"/>
      <c r="O23" s="271"/>
      <c r="P23" s="244"/>
    </row>
    <row r="24" spans="1:16" ht="15.75" customHeight="1" x14ac:dyDescent="0.25">
      <c r="A24" s="244"/>
      <c r="B24" s="270" t="s">
        <v>21</v>
      </c>
      <c r="C24" s="312" t="s">
        <v>21</v>
      </c>
      <c r="D24" s="265">
        <v>1172105</v>
      </c>
      <c r="E24" s="332">
        <f>D24/D29</f>
        <v>5.7101446657493983E-2</v>
      </c>
      <c r="F24" s="296"/>
      <c r="G24" s="332" t="e">
        <f>F24/F29</f>
        <v>#DIV/0!</v>
      </c>
      <c r="H24" s="296">
        <f t="shared" ref="H24:H25" si="16">D24-F24</f>
        <v>1172105</v>
      </c>
      <c r="I24" s="333" t="e">
        <f t="shared" ref="I24:I26" si="17">H24/F24</f>
        <v>#DIV/0!</v>
      </c>
      <c r="J24" s="33">
        <v>1235475</v>
      </c>
      <c r="K24" s="332">
        <f>J24/J29</f>
        <v>6.054000523334957E-2</v>
      </c>
      <c r="L24" s="296"/>
      <c r="M24" s="332" t="e">
        <f>L24/L29</f>
        <v>#DIV/0!</v>
      </c>
      <c r="N24" s="296">
        <f t="shared" ref="N24:N25" si="18">J24-L24</f>
        <v>1235475</v>
      </c>
      <c r="O24" s="336" t="e">
        <f t="shared" ref="O24:O26" si="19">N24/L24</f>
        <v>#DIV/0!</v>
      </c>
      <c r="P24" s="244"/>
    </row>
    <row r="25" spans="1:16" ht="15.75" customHeight="1" x14ac:dyDescent="0.25">
      <c r="A25" s="244"/>
      <c r="B25" s="270" t="s">
        <v>22</v>
      </c>
      <c r="C25" s="312" t="s">
        <v>22</v>
      </c>
      <c r="D25" s="265">
        <v>4966546</v>
      </c>
      <c r="E25" s="332">
        <f>D25/D29</f>
        <v>0.24195525272137744</v>
      </c>
      <c r="F25" s="296"/>
      <c r="G25" s="332" t="e">
        <f>F25/F29</f>
        <v>#DIV/0!</v>
      </c>
      <c r="H25" s="296">
        <f t="shared" si="16"/>
        <v>4966546</v>
      </c>
      <c r="I25" s="333" t="e">
        <f t="shared" si="17"/>
        <v>#DIV/0!</v>
      </c>
      <c r="J25" s="33">
        <v>4851470</v>
      </c>
      <c r="K25" s="332">
        <f>J25/J29</f>
        <v>0.23772882428979819</v>
      </c>
      <c r="L25" s="296"/>
      <c r="M25" s="332" t="e">
        <f>L25/L29</f>
        <v>#DIV/0!</v>
      </c>
      <c r="N25" s="296">
        <f t="shared" si="18"/>
        <v>4851470</v>
      </c>
      <c r="O25" s="336" t="e">
        <f t="shared" si="19"/>
        <v>#DIV/0!</v>
      </c>
      <c r="P25" s="244"/>
    </row>
    <row r="26" spans="1:16" ht="15.75" customHeight="1" x14ac:dyDescent="0.25">
      <c r="A26" s="244"/>
      <c r="B26" s="270" t="s">
        <v>23</v>
      </c>
      <c r="C26" s="312" t="s">
        <v>180</v>
      </c>
      <c r="D26" s="268">
        <f>SUM(D16:D22)</f>
        <v>12668923.869999999</v>
      </c>
      <c r="E26" s="332">
        <f>D26/D29</f>
        <v>0.61719204386181881</v>
      </c>
      <c r="F26" s="296"/>
      <c r="G26" s="332" t="e">
        <f>F26/F29</f>
        <v>#DIV/0!</v>
      </c>
      <c r="H26" s="345">
        <f>SUM(H16:H21)</f>
        <v>12668923.869999999</v>
      </c>
      <c r="I26" s="336" t="e">
        <f t="shared" si="17"/>
        <v>#DIV/0!</v>
      </c>
      <c r="J26" s="268">
        <f>SUM(J16:J22)</f>
        <v>14320635</v>
      </c>
      <c r="K26" s="332">
        <f>J26/J29</f>
        <v>0.70173117047685218</v>
      </c>
      <c r="L26" s="296"/>
      <c r="M26" s="332" t="e">
        <f>L26/L29</f>
        <v>#DIV/0!</v>
      </c>
      <c r="N26" s="345">
        <f>SUM(N16:N21)</f>
        <v>14320635</v>
      </c>
      <c r="O26" s="336" t="e">
        <f t="shared" si="19"/>
        <v>#DIV/0!</v>
      </c>
      <c r="P26" s="244"/>
    </row>
    <row r="27" spans="1:16" ht="15.75" customHeight="1" x14ac:dyDescent="0.25">
      <c r="A27" s="244"/>
      <c r="B27" s="331"/>
      <c r="C27" s="312"/>
      <c r="D27" s="265"/>
      <c r="E27" s="313"/>
      <c r="F27" s="296"/>
      <c r="G27" s="332"/>
      <c r="H27" s="296"/>
      <c r="I27" s="271"/>
      <c r="J27" s="265"/>
      <c r="K27" s="313"/>
      <c r="L27" s="296"/>
      <c r="M27" s="332"/>
      <c r="N27" s="296"/>
      <c r="O27" s="271"/>
      <c r="P27" s="244"/>
    </row>
    <row r="28" spans="1:16" ht="15.75" customHeight="1" x14ac:dyDescent="0.25">
      <c r="A28" s="244"/>
      <c r="B28" s="346"/>
      <c r="C28" s="315" t="s">
        <v>181</v>
      </c>
      <c r="D28" s="276">
        <v>1719138</v>
      </c>
      <c r="E28" s="337">
        <f>D28/D29</f>
        <v>8.3751256759309861E-2</v>
      </c>
      <c r="F28" s="317"/>
      <c r="G28" s="337" t="e">
        <f>F28/F29</f>
        <v>#DIV/0!</v>
      </c>
      <c r="H28" s="317">
        <f>D28-F28</f>
        <v>1719138</v>
      </c>
      <c r="I28" s="338" t="e">
        <f>H28/F28</f>
        <v>#DIV/0!</v>
      </c>
      <c r="J28" s="276"/>
      <c r="K28" s="337">
        <f>J28/J29</f>
        <v>0</v>
      </c>
      <c r="L28" s="317"/>
      <c r="M28" s="337" t="e">
        <f>L28/L29</f>
        <v>#DIV/0!</v>
      </c>
      <c r="N28" s="317">
        <f>J28-L28</f>
        <v>0</v>
      </c>
      <c r="O28" s="338" t="e">
        <f>N28/L28</f>
        <v>#DIV/0!</v>
      </c>
      <c r="P28" s="244"/>
    </row>
    <row r="29" spans="1:16" ht="15.75" customHeight="1" x14ac:dyDescent="0.25">
      <c r="A29" s="244"/>
      <c r="B29" s="347"/>
      <c r="C29" s="320" t="s">
        <v>182</v>
      </c>
      <c r="D29" s="257">
        <f>D24+D25+D26+D28</f>
        <v>20526712.869999997</v>
      </c>
      <c r="E29" s="348"/>
      <c r="F29" s="257">
        <f>F24+F25+F26+F28</f>
        <v>0</v>
      </c>
      <c r="G29" s="348"/>
      <c r="H29" s="257">
        <f>H24+H25+H26+H28</f>
        <v>20526712.869999997</v>
      </c>
      <c r="I29" s="349"/>
      <c r="J29" s="257">
        <f>J24+J25+J26+J28</f>
        <v>20407580</v>
      </c>
      <c r="K29" s="348"/>
      <c r="L29" s="257">
        <f>L24+L25+L26+L28</f>
        <v>0</v>
      </c>
      <c r="M29" s="348"/>
      <c r="N29" s="257">
        <f>N24+N25+N26+N28</f>
        <v>20407580</v>
      </c>
      <c r="O29" s="349"/>
      <c r="P29" s="246"/>
    </row>
    <row r="30" spans="1:16" ht="15.75" customHeight="1" x14ac:dyDescent="0.25">
      <c r="A30" s="244"/>
      <c r="B30" s="270"/>
      <c r="C30" s="344"/>
      <c r="D30" s="265"/>
      <c r="E30" s="313"/>
      <c r="F30" s="296"/>
      <c r="G30" s="313"/>
      <c r="H30" s="296"/>
      <c r="I30" s="271"/>
      <c r="J30" s="265"/>
      <c r="K30" s="313"/>
      <c r="L30" s="296"/>
      <c r="M30" s="313"/>
      <c r="N30" s="296"/>
      <c r="O30" s="271"/>
      <c r="P30" s="244"/>
    </row>
    <row r="31" spans="1:16" ht="15.75" customHeight="1" x14ac:dyDescent="0.25">
      <c r="A31" s="244"/>
      <c r="B31" s="350" t="s">
        <v>186</v>
      </c>
      <c r="C31" s="312"/>
      <c r="D31" s="265"/>
      <c r="E31" s="313"/>
      <c r="F31" s="296"/>
      <c r="G31" s="313"/>
      <c r="H31" s="296"/>
      <c r="I31" s="271"/>
      <c r="J31" s="265"/>
      <c r="K31" s="313"/>
      <c r="L31" s="296"/>
      <c r="M31" s="313"/>
      <c r="N31" s="296"/>
      <c r="O31" s="271"/>
      <c r="P31" s="244"/>
    </row>
    <row r="32" spans="1:16" ht="15.75" customHeight="1" x14ac:dyDescent="0.25">
      <c r="A32" s="244"/>
      <c r="B32" s="270" t="s">
        <v>28</v>
      </c>
      <c r="C32" s="312"/>
      <c r="D32" s="265"/>
      <c r="E32" s="313"/>
      <c r="F32" s="296"/>
      <c r="G32" s="313"/>
      <c r="H32" s="296"/>
      <c r="I32" s="271"/>
      <c r="J32" s="265"/>
      <c r="K32" s="313"/>
      <c r="L32" s="296"/>
      <c r="M32" s="313"/>
      <c r="N32" s="296"/>
      <c r="O32" s="271"/>
      <c r="P32" s="244"/>
    </row>
    <row r="33" spans="1:16" ht="15.75" customHeight="1" x14ac:dyDescent="0.25">
      <c r="A33" s="244"/>
      <c r="B33" s="331"/>
      <c r="C33" s="351" t="s">
        <v>187</v>
      </c>
      <c r="D33" s="265"/>
      <c r="E33" s="313"/>
      <c r="F33" s="296"/>
      <c r="G33" s="313"/>
      <c r="H33" s="296"/>
      <c r="I33" s="271"/>
      <c r="J33" s="276"/>
      <c r="K33" s="313"/>
      <c r="L33" s="296"/>
      <c r="M33" s="313"/>
      <c r="N33" s="296"/>
      <c r="O33" s="271"/>
      <c r="P33" s="244"/>
    </row>
    <row r="34" spans="1:16" ht="15.75" customHeight="1" x14ac:dyDescent="0.25">
      <c r="A34" s="244"/>
      <c r="B34" s="331"/>
      <c r="C34" s="312" t="s">
        <v>188</v>
      </c>
      <c r="D34" s="265">
        <f>'MSBC CK Allocation'!C30</f>
        <v>245241.97902016263</v>
      </c>
      <c r="E34" s="332">
        <f t="shared" ref="E34:E37" si="20">D34/D26</f>
        <v>1.9357759312209257E-2</v>
      </c>
      <c r="F34" s="296"/>
      <c r="G34" s="352" t="e">
        <f t="shared" ref="G34:G38" si="21">F34/$F$29</f>
        <v>#DIV/0!</v>
      </c>
      <c r="H34" s="296">
        <f t="shared" ref="H34:H38" si="22">D34-F34</f>
        <v>245241.97902016263</v>
      </c>
      <c r="I34" s="333" t="e">
        <f t="shared" ref="I34:I41" si="23">H34/F34</f>
        <v>#DIV/0!</v>
      </c>
      <c r="J34" s="265">
        <f>'MSBC CK Allocation'!C30</f>
        <v>245241.97902016263</v>
      </c>
      <c r="K34" s="335">
        <f t="shared" ref="K34:K37" si="24">J34/J26</f>
        <v>1.712507713660481E-2</v>
      </c>
      <c r="L34" s="296"/>
      <c r="M34" s="352" t="e">
        <f t="shared" ref="M34:M38" si="25">L34/$F$29</f>
        <v>#DIV/0!</v>
      </c>
      <c r="N34" s="296">
        <f t="shared" ref="N34:N38" si="26">J34-L34</f>
        <v>245241.97902016263</v>
      </c>
      <c r="O34" s="336" t="e">
        <f t="shared" ref="O34:O41" si="27">N34/L34</f>
        <v>#DIV/0!</v>
      </c>
      <c r="P34" s="244"/>
    </row>
    <row r="35" spans="1:16" ht="15.75" customHeight="1" x14ac:dyDescent="0.25">
      <c r="A35" s="244"/>
      <c r="B35" s="331"/>
      <c r="C35" s="312" t="s">
        <v>264</v>
      </c>
      <c r="D35" s="265">
        <v>4596849.0221972894</v>
      </c>
      <c r="E35" s="332" t="e">
        <f t="shared" si="20"/>
        <v>#DIV/0!</v>
      </c>
      <c r="F35" s="296"/>
      <c r="G35" s="352" t="e">
        <f t="shared" si="21"/>
        <v>#DIV/0!</v>
      </c>
      <c r="H35" s="296">
        <f t="shared" si="22"/>
        <v>4596849.0221972894</v>
      </c>
      <c r="I35" s="333" t="e">
        <f t="shared" si="23"/>
        <v>#DIV/0!</v>
      </c>
      <c r="J35" s="334">
        <f>4832237.07</f>
        <v>4832237.07</v>
      </c>
      <c r="K35" s="335" t="e">
        <f t="shared" si="24"/>
        <v>#DIV/0!</v>
      </c>
      <c r="L35" s="296"/>
      <c r="M35" s="352" t="e">
        <f t="shared" si="25"/>
        <v>#DIV/0!</v>
      </c>
      <c r="N35" s="296">
        <f t="shared" si="26"/>
        <v>4832237.07</v>
      </c>
      <c r="O35" s="336" t="e">
        <f t="shared" si="27"/>
        <v>#DIV/0!</v>
      </c>
      <c r="P35" s="244"/>
    </row>
    <row r="36" spans="1:16" ht="15.75" customHeight="1" x14ac:dyDescent="0.25">
      <c r="A36" s="244"/>
      <c r="B36" s="331"/>
      <c r="C36" s="312" t="s">
        <v>21</v>
      </c>
      <c r="D36" s="265">
        <v>238857.90367941</v>
      </c>
      <c r="E36" s="332">
        <f t="shared" si="20"/>
        <v>0.13894050604396505</v>
      </c>
      <c r="F36" s="296"/>
      <c r="G36" s="352" t="e">
        <f t="shared" si="21"/>
        <v>#DIV/0!</v>
      </c>
      <c r="H36" s="296">
        <f t="shared" si="22"/>
        <v>238857.90367941</v>
      </c>
      <c r="I36" s="333" t="e">
        <f t="shared" si="23"/>
        <v>#DIV/0!</v>
      </c>
      <c r="J36" s="353">
        <f>(223850.18)+33973.87</f>
        <v>257824.05</v>
      </c>
      <c r="K36" s="335" t="e">
        <f t="shared" si="24"/>
        <v>#DIV/0!</v>
      </c>
      <c r="L36" s="296"/>
      <c r="M36" s="352" t="e">
        <f t="shared" si="25"/>
        <v>#DIV/0!</v>
      </c>
      <c r="N36" s="296">
        <f t="shared" si="26"/>
        <v>257824.05</v>
      </c>
      <c r="O36" s="336" t="e">
        <f t="shared" si="27"/>
        <v>#DIV/0!</v>
      </c>
      <c r="P36" s="244"/>
    </row>
    <row r="37" spans="1:16" ht="15.75" customHeight="1" x14ac:dyDescent="0.25">
      <c r="A37" s="244"/>
      <c r="B37" s="331"/>
      <c r="C37" s="312" t="s">
        <v>22</v>
      </c>
      <c r="D37" s="265">
        <v>1707488.82</v>
      </c>
      <c r="E37" s="332">
        <f t="shared" si="20"/>
        <v>8.3183743583976982E-2</v>
      </c>
      <c r="F37" s="296"/>
      <c r="G37" s="352" t="e">
        <f t="shared" si="21"/>
        <v>#DIV/0!</v>
      </c>
      <c r="H37" s="296">
        <f t="shared" si="22"/>
        <v>1707488.82</v>
      </c>
      <c r="I37" s="333" t="e">
        <f t="shared" si="23"/>
        <v>#DIV/0!</v>
      </c>
      <c r="J37" s="353">
        <v>1586470.35</v>
      </c>
      <c r="K37" s="335">
        <f t="shared" si="24"/>
        <v>7.7739268938306266E-2</v>
      </c>
      <c r="L37" s="296"/>
      <c r="M37" s="352" t="e">
        <f t="shared" si="25"/>
        <v>#DIV/0!</v>
      </c>
      <c r="N37" s="296">
        <f t="shared" si="26"/>
        <v>1586470.35</v>
      </c>
      <c r="O37" s="336" t="e">
        <f t="shared" si="27"/>
        <v>#DIV/0!</v>
      </c>
      <c r="P37" s="244"/>
    </row>
    <row r="38" spans="1:16" ht="15.75" customHeight="1" x14ac:dyDescent="0.25">
      <c r="A38" s="244"/>
      <c r="B38" s="346"/>
      <c r="C38" s="315" t="s">
        <v>265</v>
      </c>
      <c r="D38" s="276">
        <f>'Calculation Sheet for GST on Pu'!C21</f>
        <v>275059.90285609191</v>
      </c>
      <c r="E38" s="337">
        <f>D38/D29</f>
        <v>1.3400095017556114E-2</v>
      </c>
      <c r="F38" s="317"/>
      <c r="G38" s="352" t="e">
        <f t="shared" si="21"/>
        <v>#DIV/0!</v>
      </c>
      <c r="H38" s="317">
        <f t="shared" si="22"/>
        <v>275059.90285609191</v>
      </c>
      <c r="I38" s="338" t="e">
        <f t="shared" si="23"/>
        <v>#DIV/0!</v>
      </c>
      <c r="J38" s="276">
        <f>'Calculation Sheet for GST on Pu'!D21</f>
        <v>274601.47448230337</v>
      </c>
      <c r="K38" s="337">
        <f>J38/J29</f>
        <v>1.3455856818020724E-2</v>
      </c>
      <c r="L38" s="317"/>
      <c r="M38" s="352" t="e">
        <f t="shared" si="25"/>
        <v>#DIV/0!</v>
      </c>
      <c r="N38" s="317">
        <f t="shared" si="26"/>
        <v>274601.47448230337</v>
      </c>
      <c r="O38" s="338" t="e">
        <f t="shared" si="27"/>
        <v>#DIV/0!</v>
      </c>
      <c r="P38" s="244"/>
    </row>
    <row r="39" spans="1:16" ht="15.75" customHeight="1" x14ac:dyDescent="0.25">
      <c r="A39" s="244"/>
      <c r="B39" s="347"/>
      <c r="C39" s="320" t="s">
        <v>191</v>
      </c>
      <c r="D39" s="257">
        <f>SUM(D34:D38)</f>
        <v>7063497.6277529541</v>
      </c>
      <c r="E39" s="321">
        <f>D39/D29</f>
        <v>0.3441124583603607</v>
      </c>
      <c r="F39" s="322">
        <f>SUM(F34:F38)</f>
        <v>0</v>
      </c>
      <c r="G39" s="321" t="e">
        <f>F39/F29</f>
        <v>#DIV/0!</v>
      </c>
      <c r="H39" s="322">
        <f>SUM(H34:H38)</f>
        <v>7063497.6277529541</v>
      </c>
      <c r="I39" s="323" t="e">
        <f t="shared" si="23"/>
        <v>#DIV/0!</v>
      </c>
      <c r="J39" s="257">
        <f>SUM(J34:J38)</f>
        <v>7196374.9235024657</v>
      </c>
      <c r="K39" s="321">
        <f>J39/J29</f>
        <v>0.35263244948702716</v>
      </c>
      <c r="L39" s="322">
        <f>SUM(L34:L38)</f>
        <v>0</v>
      </c>
      <c r="M39" s="321" t="e">
        <f>L39/L29</f>
        <v>#DIV/0!</v>
      </c>
      <c r="N39" s="322">
        <f>SUM(N34:N38)</f>
        <v>7196374.9235024657</v>
      </c>
      <c r="O39" s="323" t="e">
        <f t="shared" si="27"/>
        <v>#DIV/0!</v>
      </c>
      <c r="P39" s="246"/>
    </row>
    <row r="40" spans="1:16" ht="15.75" customHeight="1" x14ac:dyDescent="0.25">
      <c r="A40" s="244"/>
      <c r="B40" s="354"/>
      <c r="C40" s="355" t="s">
        <v>192</v>
      </c>
      <c r="D40" s="294">
        <v>47598.75</v>
      </c>
      <c r="E40" s="356">
        <f>D40/D$29</f>
        <v>2.3188686031442502E-3</v>
      </c>
      <c r="F40" s="357">
        <f>G40*SUM(F24:F26)</f>
        <v>0</v>
      </c>
      <c r="G40" s="356"/>
      <c r="H40" s="357">
        <f>D40-F40</f>
        <v>47598.75</v>
      </c>
      <c r="I40" s="358" t="e">
        <f t="shared" si="23"/>
        <v>#DIV/0!</v>
      </c>
      <c r="J40" s="359">
        <f>57274.25+1675</f>
        <v>58949.25</v>
      </c>
      <c r="K40" s="360">
        <f>J40/J$29</f>
        <v>2.8885958060681375E-3</v>
      </c>
      <c r="L40" s="357">
        <f>M40*SUM(L24:L26)</f>
        <v>0</v>
      </c>
      <c r="M40" s="356"/>
      <c r="N40" s="357">
        <f>J40-L40</f>
        <v>58949.25</v>
      </c>
      <c r="O40" s="358" t="e">
        <f t="shared" si="27"/>
        <v>#DIV/0!</v>
      </c>
      <c r="P40" s="244"/>
    </row>
    <row r="41" spans="1:16" ht="15.75" customHeight="1" x14ac:dyDescent="0.25">
      <c r="A41" s="244"/>
      <c r="B41" s="361"/>
      <c r="C41" s="362" t="s">
        <v>193</v>
      </c>
      <c r="D41" s="363">
        <f>D39+D40</f>
        <v>7111096.3777529541</v>
      </c>
      <c r="E41" s="364">
        <f>D41/D29</f>
        <v>0.34643132696350493</v>
      </c>
      <c r="F41" s="365">
        <f>F39+F40</f>
        <v>0</v>
      </c>
      <c r="G41" s="364" t="e">
        <f>F41/F29</f>
        <v>#DIV/0!</v>
      </c>
      <c r="H41" s="365">
        <f>H39+H40</f>
        <v>7111096.3777529541</v>
      </c>
      <c r="I41" s="366" t="e">
        <f t="shared" si="23"/>
        <v>#DIV/0!</v>
      </c>
      <c r="J41" s="367">
        <f>J39+J40</f>
        <v>7255324.1735024657</v>
      </c>
      <c r="K41" s="368">
        <f>J41/J29</f>
        <v>0.35552104529309531</v>
      </c>
      <c r="L41" s="365">
        <f>L39+L40</f>
        <v>0</v>
      </c>
      <c r="M41" s="364" t="e">
        <f>L41/L29</f>
        <v>#DIV/0!</v>
      </c>
      <c r="N41" s="365">
        <f>N39+N40</f>
        <v>7255324.1735024657</v>
      </c>
      <c r="O41" s="366" t="e">
        <f t="shared" si="27"/>
        <v>#DIV/0!</v>
      </c>
      <c r="P41" s="246"/>
    </row>
    <row r="42" spans="1:16" ht="15.75" customHeight="1" x14ac:dyDescent="0.25">
      <c r="A42" s="244"/>
      <c r="B42" s="347"/>
      <c r="C42" s="320" t="s">
        <v>32</v>
      </c>
      <c r="D42" s="257">
        <f>D29-D41</f>
        <v>13415616.492247043</v>
      </c>
      <c r="E42" s="321">
        <f>D42/D29</f>
        <v>0.65356867303649502</v>
      </c>
      <c r="F42" s="322">
        <f>F29-F41</f>
        <v>0</v>
      </c>
      <c r="G42" s="321" t="e">
        <f>F42/F29</f>
        <v>#DIV/0!</v>
      </c>
      <c r="H42" s="322">
        <f>H29-H41</f>
        <v>13415616.492247043</v>
      </c>
      <c r="I42" s="323"/>
      <c r="J42" s="367">
        <f>J29-J41</f>
        <v>13152255.826497534</v>
      </c>
      <c r="K42" s="369">
        <f>J42/J29</f>
        <v>0.64447895470690475</v>
      </c>
      <c r="L42" s="322">
        <f>L29-L41</f>
        <v>0</v>
      </c>
      <c r="M42" s="321" t="e">
        <f>L42/L29</f>
        <v>#DIV/0!</v>
      </c>
      <c r="N42" s="322">
        <f>N29-N41</f>
        <v>13152255.826497534</v>
      </c>
      <c r="O42" s="323"/>
      <c r="P42" s="246"/>
    </row>
    <row r="43" spans="1:16" ht="15.75" customHeight="1" x14ac:dyDescent="0.25">
      <c r="A43" s="244"/>
      <c r="B43" s="331"/>
      <c r="C43" s="312"/>
      <c r="D43" s="265"/>
      <c r="E43" s="332"/>
      <c r="F43" s="296"/>
      <c r="G43" s="332"/>
      <c r="H43" s="296"/>
      <c r="I43" s="336"/>
      <c r="J43" s="261"/>
      <c r="K43" s="332"/>
      <c r="L43" s="296"/>
      <c r="M43" s="332"/>
      <c r="N43" s="296"/>
      <c r="O43" s="336"/>
      <c r="P43" s="244"/>
    </row>
    <row r="44" spans="1:16" ht="15.75" customHeight="1" x14ac:dyDescent="0.25">
      <c r="A44" s="244"/>
      <c r="B44" s="331"/>
      <c r="C44" s="370" t="s">
        <v>194</v>
      </c>
      <c r="D44" s="265"/>
      <c r="E44" s="313"/>
      <c r="F44" s="296"/>
      <c r="G44" s="313"/>
      <c r="H44" s="296"/>
      <c r="I44" s="271"/>
      <c r="J44" s="276"/>
      <c r="K44" s="313"/>
      <c r="L44" s="296"/>
      <c r="M44" s="313"/>
      <c r="N44" s="296"/>
      <c r="O44" s="271"/>
      <c r="P44" s="244"/>
    </row>
    <row r="45" spans="1:16" ht="15.75" customHeight="1" x14ac:dyDescent="0.25">
      <c r="A45" s="244"/>
      <c r="B45" s="331"/>
      <c r="C45" s="312" t="s">
        <v>195</v>
      </c>
      <c r="D45" s="265">
        <v>70347.38</v>
      </c>
      <c r="E45" s="332">
        <f t="shared" ref="E45:E50" si="28">D45/D$29</f>
        <v>3.4271137539422314E-3</v>
      </c>
      <c r="F45" s="296"/>
      <c r="G45" s="352" t="e">
        <f t="shared" ref="G45:G50" si="29">F45/$F$29</f>
        <v>#DIV/0!</v>
      </c>
      <c r="H45" s="296"/>
      <c r="I45" s="333" t="e">
        <f t="shared" ref="I45:I50" si="30">H45/F45</f>
        <v>#DIV/0!</v>
      </c>
      <c r="J45" s="334">
        <v>88270.94</v>
      </c>
      <c r="K45" s="335">
        <f t="shared" ref="K45:K50" si="31">J45/J$29</f>
        <v>4.3253996799228521E-3</v>
      </c>
      <c r="L45" s="296"/>
      <c r="M45" s="352" t="e">
        <f t="shared" ref="M45:M50" si="32">L45/$F$29</f>
        <v>#DIV/0!</v>
      </c>
      <c r="N45" s="296"/>
      <c r="O45" s="336" t="e">
        <f t="shared" ref="O45:O50" si="33">N45/L45</f>
        <v>#DIV/0!</v>
      </c>
      <c r="P45" s="244"/>
    </row>
    <row r="46" spans="1:16" ht="15.75" customHeight="1" x14ac:dyDescent="0.25">
      <c r="A46" s="244"/>
      <c r="B46" s="331"/>
      <c r="C46" s="312" t="s">
        <v>196</v>
      </c>
      <c r="D46" s="265">
        <v>152439.45000000001</v>
      </c>
      <c r="E46" s="332">
        <f t="shared" si="28"/>
        <v>7.4263936444880973E-3</v>
      </c>
      <c r="F46" s="296"/>
      <c r="G46" s="352" t="e">
        <f t="shared" si="29"/>
        <v>#DIV/0!</v>
      </c>
      <c r="H46" s="296"/>
      <c r="I46" s="336" t="e">
        <f t="shared" si="30"/>
        <v>#DIV/0!</v>
      </c>
      <c r="J46" s="261">
        <v>180825</v>
      </c>
      <c r="K46" s="332">
        <f t="shared" si="31"/>
        <v>8.8606782381840474E-3</v>
      </c>
      <c r="L46" s="296"/>
      <c r="M46" s="352" t="e">
        <f t="shared" si="32"/>
        <v>#DIV/0!</v>
      </c>
      <c r="N46" s="296"/>
      <c r="O46" s="336" t="e">
        <f t="shared" si="33"/>
        <v>#DIV/0!</v>
      </c>
      <c r="P46" s="244"/>
    </row>
    <row r="47" spans="1:16" ht="15.75" customHeight="1" x14ac:dyDescent="0.25">
      <c r="A47" s="244"/>
      <c r="B47" s="331"/>
      <c r="C47" s="312" t="s">
        <v>266</v>
      </c>
      <c r="D47" s="265">
        <v>0</v>
      </c>
      <c r="E47" s="332">
        <f t="shared" si="28"/>
        <v>0</v>
      </c>
      <c r="F47" s="296"/>
      <c r="G47" s="352" t="e">
        <f t="shared" si="29"/>
        <v>#DIV/0!</v>
      </c>
      <c r="H47" s="296"/>
      <c r="I47" s="336" t="e">
        <f t="shared" si="30"/>
        <v>#DIV/0!</v>
      </c>
      <c r="J47" s="265">
        <v>0</v>
      </c>
      <c r="K47" s="332">
        <f t="shared" si="31"/>
        <v>0</v>
      </c>
      <c r="L47" s="296"/>
      <c r="M47" s="352" t="e">
        <f t="shared" si="32"/>
        <v>#DIV/0!</v>
      </c>
      <c r="N47" s="296"/>
      <c r="O47" s="336" t="e">
        <f t="shared" si="33"/>
        <v>#DIV/0!</v>
      </c>
      <c r="P47" s="244"/>
    </row>
    <row r="48" spans="1:16" ht="15.75" customHeight="1" x14ac:dyDescent="0.25">
      <c r="A48" s="244"/>
      <c r="B48" s="331"/>
      <c r="C48" s="312" t="s">
        <v>267</v>
      </c>
      <c r="D48" s="265">
        <v>92239.96</v>
      </c>
      <c r="E48" s="332">
        <f t="shared" si="28"/>
        <v>4.4936547115056917E-3</v>
      </c>
      <c r="F48" s="296"/>
      <c r="G48" s="352" t="e">
        <f t="shared" si="29"/>
        <v>#DIV/0!</v>
      </c>
      <c r="H48" s="296"/>
      <c r="I48" s="336" t="e">
        <f t="shared" si="30"/>
        <v>#DIV/0!</v>
      </c>
      <c r="J48" s="265">
        <v>105159</v>
      </c>
      <c r="K48" s="332">
        <f t="shared" si="31"/>
        <v>5.1529382709757845E-3</v>
      </c>
      <c r="L48" s="296"/>
      <c r="M48" s="352" t="e">
        <f t="shared" si="32"/>
        <v>#DIV/0!</v>
      </c>
      <c r="N48" s="296"/>
      <c r="O48" s="336" t="e">
        <f t="shared" si="33"/>
        <v>#DIV/0!</v>
      </c>
      <c r="P48" s="244"/>
    </row>
    <row r="49" spans="1:16" ht="15.75" customHeight="1" x14ac:dyDescent="0.25">
      <c r="A49" s="244"/>
      <c r="B49" s="331"/>
      <c r="C49" s="312" t="s">
        <v>198</v>
      </c>
      <c r="D49" s="265">
        <v>209615.5</v>
      </c>
      <c r="E49" s="332">
        <f t="shared" si="28"/>
        <v>1.0211839631973184E-2</v>
      </c>
      <c r="F49" s="296"/>
      <c r="G49" s="352" t="e">
        <f t="shared" si="29"/>
        <v>#DIV/0!</v>
      </c>
      <c r="H49" s="296"/>
      <c r="I49" s="336" t="e">
        <f t="shared" si="30"/>
        <v>#DIV/0!</v>
      </c>
      <c r="J49" s="265">
        <v>46519</v>
      </c>
      <c r="K49" s="332">
        <f t="shared" si="31"/>
        <v>2.2794961479999098E-3</v>
      </c>
      <c r="L49" s="296"/>
      <c r="M49" s="352" t="e">
        <f t="shared" si="32"/>
        <v>#DIV/0!</v>
      </c>
      <c r="N49" s="296"/>
      <c r="O49" s="336" t="e">
        <f t="shared" si="33"/>
        <v>#DIV/0!</v>
      </c>
      <c r="P49" s="244"/>
    </row>
    <row r="50" spans="1:16" ht="15.75" customHeight="1" x14ac:dyDescent="0.25">
      <c r="A50" s="244"/>
      <c r="B50" s="346"/>
      <c r="C50" s="315" t="s">
        <v>199</v>
      </c>
      <c r="D50" s="276">
        <v>3553.3333333333335</v>
      </c>
      <c r="E50" s="337">
        <f t="shared" si="28"/>
        <v>1.7310776235032581E-4</v>
      </c>
      <c r="F50" s="317"/>
      <c r="G50" s="352" t="e">
        <f t="shared" si="29"/>
        <v>#DIV/0!</v>
      </c>
      <c r="H50" s="317"/>
      <c r="I50" s="338" t="e">
        <f t="shared" si="30"/>
        <v>#DIV/0!</v>
      </c>
      <c r="J50" s="276">
        <v>611</v>
      </c>
      <c r="K50" s="337">
        <f t="shared" si="31"/>
        <v>2.9939855681075366E-5</v>
      </c>
      <c r="L50" s="317"/>
      <c r="M50" s="352" t="e">
        <f t="shared" si="32"/>
        <v>#DIV/0!</v>
      </c>
      <c r="N50" s="317"/>
      <c r="O50" s="338" t="e">
        <f t="shared" si="33"/>
        <v>#DIV/0!</v>
      </c>
      <c r="P50" s="244"/>
    </row>
    <row r="51" spans="1:16" ht="15.75" customHeight="1" x14ac:dyDescent="0.25">
      <c r="A51" s="244"/>
      <c r="B51" s="347"/>
      <c r="C51" s="320" t="s">
        <v>200</v>
      </c>
      <c r="D51" s="257">
        <f>SUM(D45:D50)</f>
        <v>528195.62333333341</v>
      </c>
      <c r="E51" s="321">
        <f>D51/D29</f>
        <v>2.5732109504259533E-2</v>
      </c>
      <c r="F51" s="322">
        <f>SUM(F45:F50)</f>
        <v>0</v>
      </c>
      <c r="G51" s="321" t="e">
        <f>F51/F29</f>
        <v>#DIV/0!</v>
      </c>
      <c r="H51" s="322">
        <f>SUM(H45:H50)</f>
        <v>0</v>
      </c>
      <c r="I51" s="323">
        <f>H51/H29</f>
        <v>0</v>
      </c>
      <c r="J51" s="257">
        <f>SUM(J45:J50)</f>
        <v>421384.94</v>
      </c>
      <c r="K51" s="321">
        <f>J51/J29</f>
        <v>2.0648452192763671E-2</v>
      </c>
      <c r="L51" s="322">
        <f>SUM(L45:L50)</f>
        <v>0</v>
      </c>
      <c r="M51" s="321" t="e">
        <f>L51/L29</f>
        <v>#DIV/0!</v>
      </c>
      <c r="N51" s="322">
        <f>SUM(N45:N50)</f>
        <v>0</v>
      </c>
      <c r="O51" s="323">
        <f>N51/N29</f>
        <v>0</v>
      </c>
      <c r="P51" s="246"/>
    </row>
    <row r="52" spans="1:16" ht="15.75" hidden="1" customHeight="1" x14ac:dyDescent="0.25">
      <c r="A52" s="244"/>
      <c r="B52" s="371"/>
      <c r="C52" s="325"/>
      <c r="D52" s="261"/>
      <c r="E52" s="372"/>
      <c r="F52" s="327"/>
      <c r="G52" s="372"/>
      <c r="H52" s="327"/>
      <c r="I52" s="373"/>
      <c r="J52" s="261"/>
      <c r="K52" s="372"/>
      <c r="L52" s="327"/>
      <c r="M52" s="372"/>
      <c r="N52" s="327"/>
      <c r="O52" s="373"/>
      <c r="P52" s="244"/>
    </row>
    <row r="53" spans="1:16" ht="15.75" hidden="1" customHeight="1" x14ac:dyDescent="0.25">
      <c r="A53" s="244"/>
      <c r="B53" s="331"/>
      <c r="C53" s="312"/>
      <c r="D53" s="265"/>
      <c r="E53" s="332"/>
      <c r="F53" s="296"/>
      <c r="G53" s="313"/>
      <c r="H53" s="296"/>
      <c r="I53" s="271"/>
      <c r="J53" s="265"/>
      <c r="K53" s="332"/>
      <c r="L53" s="296"/>
      <c r="M53" s="313"/>
      <c r="N53" s="296"/>
      <c r="O53" s="271"/>
      <c r="P53" s="244"/>
    </row>
    <row r="54" spans="1:16" ht="15.75" hidden="1" customHeight="1" x14ac:dyDescent="0.25">
      <c r="A54" s="244"/>
      <c r="B54" s="331"/>
      <c r="C54" s="312"/>
      <c r="D54" s="265"/>
      <c r="E54" s="332"/>
      <c r="F54" s="296"/>
      <c r="G54" s="313"/>
      <c r="H54" s="296"/>
      <c r="I54" s="271"/>
      <c r="J54" s="265"/>
      <c r="K54" s="332"/>
      <c r="L54" s="296"/>
      <c r="M54" s="313"/>
      <c r="N54" s="296"/>
      <c r="O54" s="271"/>
      <c r="P54" s="244"/>
    </row>
    <row r="55" spans="1:16" ht="15.75" hidden="1" customHeight="1" x14ac:dyDescent="0.25">
      <c r="A55" s="244"/>
      <c r="B55" s="331"/>
      <c r="C55" s="312"/>
      <c r="D55" s="265"/>
      <c r="E55" s="313"/>
      <c r="F55" s="296"/>
      <c r="G55" s="313"/>
      <c r="H55" s="296"/>
      <c r="I55" s="271"/>
      <c r="J55" s="265"/>
      <c r="K55" s="313"/>
      <c r="L55" s="296"/>
      <c r="M55" s="313"/>
      <c r="N55" s="296"/>
      <c r="O55" s="271"/>
      <c r="P55" s="244"/>
    </row>
    <row r="56" spans="1:16" ht="15.75" hidden="1" customHeight="1" x14ac:dyDescent="0.25">
      <c r="A56" s="244"/>
      <c r="B56" s="331"/>
      <c r="C56" s="312"/>
      <c r="D56" s="265"/>
      <c r="E56" s="313"/>
      <c r="F56" s="296"/>
      <c r="G56" s="313"/>
      <c r="H56" s="296"/>
      <c r="I56" s="271"/>
      <c r="J56" s="265"/>
      <c r="K56" s="313"/>
      <c r="L56" s="296"/>
      <c r="M56" s="313"/>
      <c r="N56" s="296"/>
      <c r="O56" s="271"/>
      <c r="P56" s="244"/>
    </row>
    <row r="57" spans="1:16" ht="15.75" hidden="1" customHeight="1" x14ac:dyDescent="0.25">
      <c r="A57" s="244"/>
      <c r="B57" s="331"/>
      <c r="C57" s="312"/>
      <c r="D57" s="265"/>
      <c r="E57" s="313"/>
      <c r="F57" s="296"/>
      <c r="G57" s="313"/>
      <c r="H57" s="296"/>
      <c r="I57" s="271"/>
      <c r="J57" s="265"/>
      <c r="K57" s="313"/>
      <c r="L57" s="296"/>
      <c r="M57" s="313"/>
      <c r="N57" s="296"/>
      <c r="O57" s="271"/>
      <c r="P57" s="244"/>
    </row>
    <row r="58" spans="1:16" ht="15.75" hidden="1" customHeight="1" x14ac:dyDescent="0.25">
      <c r="A58" s="244"/>
      <c r="B58" s="331"/>
      <c r="C58" s="312"/>
      <c r="D58" s="265"/>
      <c r="E58" s="313"/>
      <c r="F58" s="296"/>
      <c r="G58" s="313"/>
      <c r="H58" s="296"/>
      <c r="I58" s="271"/>
      <c r="J58" s="265"/>
      <c r="K58" s="313"/>
      <c r="L58" s="296"/>
      <c r="M58" s="313"/>
      <c r="N58" s="296"/>
      <c r="O58" s="271"/>
      <c r="P58" s="244"/>
    </row>
    <row r="59" spans="1:16" ht="15.75" customHeight="1" x14ac:dyDescent="0.25">
      <c r="A59" s="244"/>
      <c r="B59" s="955" t="s">
        <v>204</v>
      </c>
      <c r="C59" s="956"/>
      <c r="D59" s="276"/>
      <c r="E59" s="316"/>
      <c r="F59" s="317"/>
      <c r="G59" s="316"/>
      <c r="H59" s="317"/>
      <c r="I59" s="318"/>
      <c r="J59" s="276"/>
      <c r="K59" s="316"/>
      <c r="L59" s="317"/>
      <c r="M59" s="316"/>
      <c r="N59" s="317"/>
      <c r="O59" s="318"/>
      <c r="P59" s="244"/>
    </row>
    <row r="60" spans="1:16" ht="15.75" customHeight="1" x14ac:dyDescent="0.25">
      <c r="A60" s="244"/>
      <c r="B60" s="347"/>
      <c r="C60" s="374" t="s">
        <v>205</v>
      </c>
      <c r="D60" s="257">
        <f>SUM(D61:D67)</f>
        <v>72049</v>
      </c>
      <c r="E60" s="321">
        <f t="shared" ref="E60:E67" si="34">D60/D$29</f>
        <v>3.5100115861853537E-3</v>
      </c>
      <c r="F60" s="322">
        <f>SUM(F61:F67)</f>
        <v>0</v>
      </c>
      <c r="G60" s="321" t="e">
        <f t="shared" ref="G60:G67" si="35">F60/F$29</f>
        <v>#DIV/0!</v>
      </c>
      <c r="H60" s="322">
        <f>SUM(H61:H67)</f>
        <v>72049</v>
      </c>
      <c r="I60" s="323">
        <f>H60/H$29</f>
        <v>3.5100115861853537E-3</v>
      </c>
      <c r="J60" s="257">
        <f>SUM(J61:J67)</f>
        <v>0</v>
      </c>
      <c r="K60" s="321">
        <f t="shared" ref="K60:K67" si="36">J60/J$29</f>
        <v>0</v>
      </c>
      <c r="L60" s="322">
        <f>SUM(L61:L67)</f>
        <v>0</v>
      </c>
      <c r="M60" s="321" t="e">
        <f t="shared" ref="M60:M67" si="37">L60/L$29</f>
        <v>#DIV/0!</v>
      </c>
      <c r="N60" s="322">
        <f>SUM(N61:N67)</f>
        <v>0</v>
      </c>
      <c r="O60" s="323">
        <f>N60/N$29</f>
        <v>0</v>
      </c>
      <c r="P60" s="246"/>
    </row>
    <row r="61" spans="1:16" ht="15.75" customHeight="1" x14ac:dyDescent="0.25">
      <c r="A61" s="244"/>
      <c r="B61" s="371"/>
      <c r="C61" s="325" t="s">
        <v>268</v>
      </c>
      <c r="D61" s="261">
        <v>72049</v>
      </c>
      <c r="E61" s="326">
        <f t="shared" si="34"/>
        <v>3.5100115861853537E-3</v>
      </c>
      <c r="F61" s="327"/>
      <c r="G61" s="326" t="e">
        <f t="shared" si="35"/>
        <v>#DIV/0!</v>
      </c>
      <c r="H61" s="327">
        <f t="shared" ref="H61:H63" si="38">D61-F61</f>
        <v>72049</v>
      </c>
      <c r="I61" s="336" t="e">
        <f t="shared" ref="I61:I67" si="39">H61/F61</f>
        <v>#DIV/0!</v>
      </c>
      <c r="J61" s="261"/>
      <c r="K61" s="326">
        <f t="shared" si="36"/>
        <v>0</v>
      </c>
      <c r="L61" s="327"/>
      <c r="M61" s="326" t="e">
        <f t="shared" si="37"/>
        <v>#DIV/0!</v>
      </c>
      <c r="N61" s="327">
        <f t="shared" ref="N61:N63" si="40">J61-L61</f>
        <v>0</v>
      </c>
      <c r="O61" s="336" t="e">
        <f t="shared" ref="O61:O67" si="41">N61/L61</f>
        <v>#DIV/0!</v>
      </c>
      <c r="P61" s="244"/>
    </row>
    <row r="62" spans="1:16" ht="15.75" customHeight="1" x14ac:dyDescent="0.25">
      <c r="A62" s="244"/>
      <c r="B62" s="331"/>
      <c r="C62" s="312" t="s">
        <v>269</v>
      </c>
      <c r="D62" s="265"/>
      <c r="E62" s="332">
        <f t="shared" si="34"/>
        <v>0</v>
      </c>
      <c r="F62" s="296"/>
      <c r="G62" s="332" t="e">
        <f t="shared" si="35"/>
        <v>#DIV/0!</v>
      </c>
      <c r="H62" s="296">
        <f t="shared" si="38"/>
        <v>0</v>
      </c>
      <c r="I62" s="336" t="e">
        <f t="shared" si="39"/>
        <v>#DIV/0!</v>
      </c>
      <c r="J62" s="265"/>
      <c r="K62" s="332">
        <f t="shared" si="36"/>
        <v>0</v>
      </c>
      <c r="L62" s="296"/>
      <c r="M62" s="332" t="e">
        <f t="shared" si="37"/>
        <v>#DIV/0!</v>
      </c>
      <c r="N62" s="296">
        <f t="shared" si="40"/>
        <v>0</v>
      </c>
      <c r="O62" s="336" t="e">
        <f t="shared" si="41"/>
        <v>#DIV/0!</v>
      </c>
      <c r="P62" s="244"/>
    </row>
    <row r="63" spans="1:16" ht="15.75" customHeight="1" x14ac:dyDescent="0.25">
      <c r="A63" s="244"/>
      <c r="B63" s="331"/>
      <c r="C63" s="312" t="s">
        <v>213</v>
      </c>
      <c r="D63" s="265"/>
      <c r="E63" s="332">
        <f t="shared" si="34"/>
        <v>0</v>
      </c>
      <c r="F63" s="296"/>
      <c r="G63" s="332" t="e">
        <f t="shared" si="35"/>
        <v>#DIV/0!</v>
      </c>
      <c r="H63" s="296">
        <f t="shared" si="38"/>
        <v>0</v>
      </c>
      <c r="I63" s="336" t="e">
        <f t="shared" si="39"/>
        <v>#DIV/0!</v>
      </c>
      <c r="J63" s="265"/>
      <c r="K63" s="332">
        <f t="shared" si="36"/>
        <v>0</v>
      </c>
      <c r="L63" s="296"/>
      <c r="M63" s="332" t="e">
        <f t="shared" si="37"/>
        <v>#DIV/0!</v>
      </c>
      <c r="N63" s="296">
        <f t="shared" si="40"/>
        <v>0</v>
      </c>
      <c r="O63" s="336" t="e">
        <f t="shared" si="41"/>
        <v>#DIV/0!</v>
      </c>
      <c r="P63" s="244"/>
    </row>
    <row r="64" spans="1:16" ht="15.75" customHeight="1" x14ac:dyDescent="0.25">
      <c r="A64" s="244"/>
      <c r="B64" s="331"/>
      <c r="C64" s="312" t="s">
        <v>212</v>
      </c>
      <c r="D64" s="265"/>
      <c r="E64" s="332">
        <f t="shared" si="34"/>
        <v>0</v>
      </c>
      <c r="F64" s="296"/>
      <c r="G64" s="332" t="e">
        <f t="shared" si="35"/>
        <v>#DIV/0!</v>
      </c>
      <c r="H64" s="296"/>
      <c r="I64" s="336" t="e">
        <f t="shared" si="39"/>
        <v>#DIV/0!</v>
      </c>
      <c r="J64" s="265"/>
      <c r="K64" s="332">
        <f t="shared" si="36"/>
        <v>0</v>
      </c>
      <c r="L64" s="296"/>
      <c r="M64" s="332" t="e">
        <f t="shared" si="37"/>
        <v>#DIV/0!</v>
      </c>
      <c r="N64" s="296"/>
      <c r="O64" s="336" t="e">
        <f t="shared" si="41"/>
        <v>#DIV/0!</v>
      </c>
      <c r="P64" s="244"/>
    </row>
    <row r="65" spans="1:16" ht="15.75" customHeight="1" x14ac:dyDescent="0.25">
      <c r="A65" s="244"/>
      <c r="B65" s="331"/>
      <c r="C65" s="312" t="s">
        <v>207</v>
      </c>
      <c r="D65" s="265"/>
      <c r="E65" s="332">
        <f t="shared" si="34"/>
        <v>0</v>
      </c>
      <c r="F65" s="296"/>
      <c r="G65" s="332" t="e">
        <f t="shared" si="35"/>
        <v>#DIV/0!</v>
      </c>
      <c r="H65" s="296">
        <f t="shared" ref="H65:H67" si="42">D65-F65</f>
        <v>0</v>
      </c>
      <c r="I65" s="336" t="e">
        <f t="shared" si="39"/>
        <v>#DIV/0!</v>
      </c>
      <c r="J65" s="265"/>
      <c r="K65" s="332">
        <f t="shared" si="36"/>
        <v>0</v>
      </c>
      <c r="L65" s="296"/>
      <c r="M65" s="332" t="e">
        <f t="shared" si="37"/>
        <v>#DIV/0!</v>
      </c>
      <c r="N65" s="296">
        <f t="shared" ref="N65:N67" si="43">J65-L65</f>
        <v>0</v>
      </c>
      <c r="O65" s="336" t="e">
        <f t="shared" si="41"/>
        <v>#DIV/0!</v>
      </c>
      <c r="P65" s="244"/>
    </row>
    <row r="66" spans="1:16" ht="15.75" customHeight="1" x14ac:dyDescent="0.25">
      <c r="A66" s="244"/>
      <c r="B66" s="331"/>
      <c r="C66" s="312" t="s">
        <v>270</v>
      </c>
      <c r="D66" s="265"/>
      <c r="E66" s="332">
        <f t="shared" si="34"/>
        <v>0</v>
      </c>
      <c r="F66" s="296"/>
      <c r="G66" s="332" t="e">
        <f t="shared" si="35"/>
        <v>#DIV/0!</v>
      </c>
      <c r="H66" s="296">
        <f t="shared" si="42"/>
        <v>0</v>
      </c>
      <c r="I66" s="336" t="e">
        <f t="shared" si="39"/>
        <v>#DIV/0!</v>
      </c>
      <c r="J66" s="265"/>
      <c r="K66" s="332">
        <f t="shared" si="36"/>
        <v>0</v>
      </c>
      <c r="L66" s="296"/>
      <c r="M66" s="332" t="e">
        <f t="shared" si="37"/>
        <v>#DIV/0!</v>
      </c>
      <c r="N66" s="296">
        <f t="shared" si="43"/>
        <v>0</v>
      </c>
      <c r="O66" s="336" t="e">
        <f t="shared" si="41"/>
        <v>#DIV/0!</v>
      </c>
      <c r="P66" s="244"/>
    </row>
    <row r="67" spans="1:16" ht="15.75" customHeight="1" x14ac:dyDescent="0.25">
      <c r="A67" s="244"/>
      <c r="B67" s="331"/>
      <c r="C67" s="312" t="s">
        <v>271</v>
      </c>
      <c r="D67" s="265"/>
      <c r="E67" s="332">
        <f t="shared" si="34"/>
        <v>0</v>
      </c>
      <c r="F67" s="296"/>
      <c r="G67" s="332" t="e">
        <f t="shared" si="35"/>
        <v>#DIV/0!</v>
      </c>
      <c r="H67" s="296">
        <f t="shared" si="42"/>
        <v>0</v>
      </c>
      <c r="I67" s="336" t="e">
        <f t="shared" si="39"/>
        <v>#DIV/0!</v>
      </c>
      <c r="J67" s="265"/>
      <c r="K67" s="332">
        <f t="shared" si="36"/>
        <v>0</v>
      </c>
      <c r="L67" s="296"/>
      <c r="M67" s="332" t="e">
        <f t="shared" si="37"/>
        <v>#DIV/0!</v>
      </c>
      <c r="N67" s="296">
        <f t="shared" si="43"/>
        <v>0</v>
      </c>
      <c r="O67" s="336" t="e">
        <f t="shared" si="41"/>
        <v>#DIV/0!</v>
      </c>
      <c r="P67" s="244"/>
    </row>
    <row r="68" spans="1:16" ht="15.75" customHeight="1" x14ac:dyDescent="0.25">
      <c r="A68" s="244"/>
      <c r="B68" s="346"/>
      <c r="C68" s="375"/>
      <c r="D68" s="276"/>
      <c r="E68" s="316"/>
      <c r="F68" s="317"/>
      <c r="G68" s="316"/>
      <c r="H68" s="317"/>
      <c r="I68" s="318"/>
      <c r="J68" s="276"/>
      <c r="K68" s="316"/>
      <c r="L68" s="317"/>
      <c r="M68" s="316"/>
      <c r="N68" s="317"/>
      <c r="O68" s="318"/>
      <c r="P68" s="244"/>
    </row>
    <row r="69" spans="1:16" ht="15.75" customHeight="1" x14ac:dyDescent="0.25">
      <c r="A69" s="244"/>
      <c r="B69" s="347"/>
      <c r="C69" s="374" t="s">
        <v>35</v>
      </c>
      <c r="D69" s="257">
        <f>SUM(D70:D73)</f>
        <v>89699.51</v>
      </c>
      <c r="E69" s="321">
        <f>D69/D29</f>
        <v>4.3698915928763616E-3</v>
      </c>
      <c r="F69" s="322">
        <f>SUM(F70:F73)</f>
        <v>0</v>
      </c>
      <c r="G69" s="321" t="e">
        <f>F69/F29</f>
        <v>#DIV/0!</v>
      </c>
      <c r="H69" s="322">
        <f>SUM(H70:H73)</f>
        <v>89699.51</v>
      </c>
      <c r="I69" s="323">
        <f>H69/H29</f>
        <v>4.3698915928763616E-3</v>
      </c>
      <c r="J69" s="257">
        <f>SUM(J70:J73)</f>
        <v>83781</v>
      </c>
      <c r="K69" s="321">
        <f>J69/J29</f>
        <v>4.1053863319413667E-3</v>
      </c>
      <c r="L69" s="322">
        <f>SUM(L70:L73)</f>
        <v>0</v>
      </c>
      <c r="M69" s="321" t="e">
        <f>L69/L29</f>
        <v>#DIV/0!</v>
      </c>
      <c r="N69" s="322">
        <f>SUM(N70:N73)</f>
        <v>83781</v>
      </c>
      <c r="O69" s="323">
        <f>N69/N29</f>
        <v>4.1053863319413667E-3</v>
      </c>
      <c r="P69" s="246"/>
    </row>
    <row r="70" spans="1:16" ht="15.75" customHeight="1" x14ac:dyDescent="0.25">
      <c r="A70" s="244"/>
      <c r="B70" s="371"/>
      <c r="C70" s="376" t="s">
        <v>215</v>
      </c>
      <c r="D70" s="261"/>
      <c r="E70" s="326">
        <f t="shared" ref="E70:E71" si="44">D70/D$29</f>
        <v>0</v>
      </c>
      <c r="F70" s="327"/>
      <c r="G70" s="332" t="e">
        <f t="shared" ref="G70:G73" si="45">F70/F$29</f>
        <v>#DIV/0!</v>
      </c>
      <c r="H70" s="327">
        <f t="shared" ref="H70:H73" si="46">D70-F70</f>
        <v>0</v>
      </c>
      <c r="I70" s="330" t="str">
        <f t="shared" ref="I70:I73" si="47">IFERROR((H70/F70),"")</f>
        <v/>
      </c>
      <c r="J70" s="261"/>
      <c r="K70" s="326">
        <f t="shared" ref="K70:K71" si="48">J70/J$29</f>
        <v>0</v>
      </c>
      <c r="L70" s="327"/>
      <c r="M70" s="332" t="e">
        <f t="shared" ref="M70:M73" si="49">L70/L$29</f>
        <v>#DIV/0!</v>
      </c>
      <c r="N70" s="327">
        <f t="shared" ref="N70:N73" si="50">J70-L70</f>
        <v>0</v>
      </c>
      <c r="O70" s="330" t="str">
        <f t="shared" ref="O70:O73" si="51">IFERROR((N70/L70),"")</f>
        <v/>
      </c>
      <c r="P70" s="244"/>
    </row>
    <row r="71" spans="1:16" ht="15.75" customHeight="1" x14ac:dyDescent="0.25">
      <c r="A71" s="244"/>
      <c r="B71" s="331"/>
      <c r="C71" s="312" t="s">
        <v>216</v>
      </c>
      <c r="D71" s="265"/>
      <c r="E71" s="332">
        <f t="shared" si="44"/>
        <v>0</v>
      </c>
      <c r="F71" s="296"/>
      <c r="G71" s="332" t="e">
        <f t="shared" si="45"/>
        <v>#DIV/0!</v>
      </c>
      <c r="H71" s="296">
        <f t="shared" si="46"/>
        <v>0</v>
      </c>
      <c r="I71" s="336" t="str">
        <f t="shared" si="47"/>
        <v/>
      </c>
      <c r="J71" s="265"/>
      <c r="K71" s="332">
        <f t="shared" si="48"/>
        <v>0</v>
      </c>
      <c r="L71" s="296"/>
      <c r="M71" s="332" t="e">
        <f t="shared" si="49"/>
        <v>#DIV/0!</v>
      </c>
      <c r="N71" s="296">
        <f t="shared" si="50"/>
        <v>0</v>
      </c>
      <c r="O71" s="336" t="str">
        <f t="shared" si="51"/>
        <v/>
      </c>
      <c r="P71" s="244"/>
    </row>
    <row r="72" spans="1:16" ht="15.75" customHeight="1" x14ac:dyDescent="0.25">
      <c r="A72" s="244"/>
      <c r="B72" s="331"/>
      <c r="C72" s="312" t="s">
        <v>272</v>
      </c>
      <c r="D72" s="265">
        <v>18875.009999999998</v>
      </c>
      <c r="E72" s="332">
        <f>D72/D17</f>
        <v>2.643595848681354E-2</v>
      </c>
      <c r="F72" s="296"/>
      <c r="G72" s="332" t="e">
        <f t="shared" si="45"/>
        <v>#DIV/0!</v>
      </c>
      <c r="H72" s="296">
        <f t="shared" si="46"/>
        <v>18875.009999999998</v>
      </c>
      <c r="I72" s="336" t="str">
        <f t="shared" si="47"/>
        <v/>
      </c>
      <c r="J72" s="265">
        <v>19960</v>
      </c>
      <c r="K72" s="332">
        <f>J72/J17</f>
        <v>2.7738364409288185E-2</v>
      </c>
      <c r="L72" s="296"/>
      <c r="M72" s="332" t="e">
        <f t="shared" si="49"/>
        <v>#DIV/0!</v>
      </c>
      <c r="N72" s="296">
        <f t="shared" si="50"/>
        <v>19960</v>
      </c>
      <c r="O72" s="336" t="str">
        <f t="shared" si="51"/>
        <v/>
      </c>
      <c r="P72" s="244"/>
    </row>
    <row r="73" spans="1:16" ht="15.75" customHeight="1" x14ac:dyDescent="0.25">
      <c r="A73" s="244"/>
      <c r="B73" s="331"/>
      <c r="C73" s="312" t="s">
        <v>273</v>
      </c>
      <c r="D73" s="265">
        <v>70824.5</v>
      </c>
      <c r="E73" s="332">
        <f>D73/D$29</f>
        <v>3.4503576119832972E-3</v>
      </c>
      <c r="F73" s="296"/>
      <c r="G73" s="332" t="e">
        <f t="shared" si="45"/>
        <v>#DIV/0!</v>
      </c>
      <c r="H73" s="296">
        <f t="shared" si="46"/>
        <v>70824.5</v>
      </c>
      <c r="I73" s="336" t="str">
        <f t="shared" si="47"/>
        <v/>
      </c>
      <c r="J73" s="265">
        <v>63821</v>
      </c>
      <c r="K73" s="332">
        <f>J73/J$29</f>
        <v>3.1273183787592649E-3</v>
      </c>
      <c r="L73" s="296"/>
      <c r="M73" s="332" t="e">
        <f t="shared" si="49"/>
        <v>#DIV/0!</v>
      </c>
      <c r="N73" s="296">
        <f t="shared" si="50"/>
        <v>63821</v>
      </c>
      <c r="O73" s="336" t="str">
        <f t="shared" si="51"/>
        <v/>
      </c>
      <c r="P73" s="244"/>
    </row>
    <row r="74" spans="1:16" ht="15.75" customHeight="1" x14ac:dyDescent="0.25">
      <c r="A74" s="244"/>
      <c r="B74" s="346"/>
      <c r="C74" s="315"/>
      <c r="D74" s="276"/>
      <c r="E74" s="316"/>
      <c r="F74" s="317"/>
      <c r="G74" s="316"/>
      <c r="H74" s="317"/>
      <c r="I74" s="318"/>
      <c r="J74" s="276"/>
      <c r="K74" s="316"/>
      <c r="L74" s="317"/>
      <c r="M74" s="316"/>
      <c r="N74" s="317"/>
      <c r="O74" s="318"/>
      <c r="P74" s="244"/>
    </row>
    <row r="75" spans="1:16" ht="15.75" customHeight="1" x14ac:dyDescent="0.25">
      <c r="A75" s="244"/>
      <c r="B75" s="347"/>
      <c r="C75" s="374" t="s">
        <v>36</v>
      </c>
      <c r="D75" s="257">
        <f>SUM(D76:D79)</f>
        <v>1817305.8333333333</v>
      </c>
      <c r="E75" s="321">
        <f>D75/D$29</f>
        <v>8.8533699713281636E-2</v>
      </c>
      <c r="F75" s="322">
        <f>SUM(F76:F79)</f>
        <v>1419717</v>
      </c>
      <c r="G75" s="321" t="e">
        <f>F75/F$29</f>
        <v>#DIV/0!</v>
      </c>
      <c r="H75" s="322">
        <f>SUM(H76:H79)</f>
        <v>1817305.8333333333</v>
      </c>
      <c r="I75" s="323">
        <f>H75/H$29</f>
        <v>8.8533699713281636E-2</v>
      </c>
      <c r="J75" s="257">
        <f>SUM(J76:J79)</f>
        <v>1848628</v>
      </c>
      <c r="K75" s="321">
        <f t="shared" ref="K75:K79" si="52">J75/J$29</f>
        <v>9.0585360929615374E-2</v>
      </c>
      <c r="L75" s="322">
        <f>SUM(L76:L79)</f>
        <v>0</v>
      </c>
      <c r="M75" s="321" t="e">
        <f t="shared" ref="M75:M79" si="53">L75/L$29</f>
        <v>#DIV/0!</v>
      </c>
      <c r="N75" s="322">
        <f>SUM(N76:N79)</f>
        <v>1848628</v>
      </c>
      <c r="O75" s="323">
        <f>N75/N$29</f>
        <v>9.0585360929615374E-2</v>
      </c>
      <c r="P75" s="246"/>
    </row>
    <row r="76" spans="1:16" ht="15.75" customHeight="1" x14ac:dyDescent="0.25">
      <c r="A76" s="244"/>
      <c r="B76" s="371"/>
      <c r="C76" s="325" t="s">
        <v>220</v>
      </c>
      <c r="D76" s="261">
        <v>1419717</v>
      </c>
      <c r="E76" s="261">
        <v>1419717</v>
      </c>
      <c r="F76" s="261">
        <v>1419717</v>
      </c>
      <c r="G76" s="261">
        <v>1419717</v>
      </c>
      <c r="H76" s="261">
        <v>1419717</v>
      </c>
      <c r="I76" s="377">
        <v>1419717</v>
      </c>
      <c r="J76" s="378">
        <v>1468467</v>
      </c>
      <c r="K76" s="326">
        <f t="shared" si="52"/>
        <v>7.1956939529331743E-2</v>
      </c>
      <c r="L76" s="327"/>
      <c r="M76" s="326" t="e">
        <f t="shared" si="53"/>
        <v>#DIV/0!</v>
      </c>
      <c r="N76" s="327">
        <f t="shared" ref="N76:N79" si="54">J76-L76</f>
        <v>1468467</v>
      </c>
      <c r="O76" s="330" t="str">
        <f t="shared" ref="O76:O79" si="55">IFERROR((N76/L76),"")</f>
        <v/>
      </c>
      <c r="P76" s="244"/>
    </row>
    <row r="77" spans="1:16" ht="15.75" customHeight="1" x14ac:dyDescent="0.25">
      <c r="A77" s="244"/>
      <c r="B77" s="331"/>
      <c r="C77" s="312" t="s">
        <v>221</v>
      </c>
      <c r="D77" s="265">
        <v>344541.5</v>
      </c>
      <c r="E77" s="332">
        <f t="shared" ref="E77:E79" si="56">D77/D$29</f>
        <v>1.6785030422652374E-2</v>
      </c>
      <c r="F77" s="296"/>
      <c r="G77" s="332" t="e">
        <f t="shared" ref="G77:G79" si="57">F77/F$29</f>
        <v>#DIV/0!</v>
      </c>
      <c r="H77" s="296">
        <f t="shared" ref="H77:H79" si="58">D77-F77</f>
        <v>344541.5</v>
      </c>
      <c r="I77" s="336" t="str">
        <f t="shared" ref="I77:I79" si="59">IFERROR((H77/F77),"")</f>
        <v/>
      </c>
      <c r="J77" s="265">
        <v>340560</v>
      </c>
      <c r="K77" s="332">
        <f t="shared" si="52"/>
        <v>1.6687916940666164E-2</v>
      </c>
      <c r="L77" s="296"/>
      <c r="M77" s="332" t="e">
        <f t="shared" si="53"/>
        <v>#DIV/0!</v>
      </c>
      <c r="N77" s="296">
        <f t="shared" si="54"/>
        <v>340560</v>
      </c>
      <c r="O77" s="336" t="str">
        <f t="shared" si="55"/>
        <v/>
      </c>
      <c r="P77" s="244"/>
    </row>
    <row r="78" spans="1:16" ht="15.75" customHeight="1" x14ac:dyDescent="0.25">
      <c r="A78" s="244"/>
      <c r="B78" s="331"/>
      <c r="C78" s="312" t="s">
        <v>222</v>
      </c>
      <c r="D78" s="265">
        <v>50096</v>
      </c>
      <c r="E78" s="332">
        <f t="shared" si="56"/>
        <v>2.4405271471018538E-3</v>
      </c>
      <c r="F78" s="296"/>
      <c r="G78" s="332" t="e">
        <f t="shared" si="57"/>
        <v>#DIV/0!</v>
      </c>
      <c r="H78" s="296">
        <f t="shared" si="58"/>
        <v>50096</v>
      </c>
      <c r="I78" s="336" t="str">
        <f t="shared" si="59"/>
        <v/>
      </c>
      <c r="J78" s="265">
        <v>36100</v>
      </c>
      <c r="K78" s="332">
        <f t="shared" si="52"/>
        <v>1.7689505566069077E-3</v>
      </c>
      <c r="L78" s="296"/>
      <c r="M78" s="332" t="e">
        <f t="shared" si="53"/>
        <v>#DIV/0!</v>
      </c>
      <c r="N78" s="296">
        <f t="shared" si="54"/>
        <v>36100</v>
      </c>
      <c r="O78" s="336" t="str">
        <f t="shared" si="55"/>
        <v/>
      </c>
      <c r="P78" s="244"/>
    </row>
    <row r="79" spans="1:16" ht="15.75" customHeight="1" x14ac:dyDescent="0.25">
      <c r="A79" s="244"/>
      <c r="B79" s="331"/>
      <c r="C79" s="312" t="s">
        <v>223</v>
      </c>
      <c r="D79" s="265">
        <v>2951.333333333333</v>
      </c>
      <c r="E79" s="332">
        <f t="shared" si="56"/>
        <v>1.4378012456376963E-4</v>
      </c>
      <c r="F79" s="296"/>
      <c r="G79" s="332" t="e">
        <f t="shared" si="57"/>
        <v>#DIV/0!</v>
      </c>
      <c r="H79" s="296">
        <f t="shared" si="58"/>
        <v>2951.333333333333</v>
      </c>
      <c r="I79" s="336" t="str">
        <f t="shared" si="59"/>
        <v/>
      </c>
      <c r="J79" s="265">
        <v>3501</v>
      </c>
      <c r="K79" s="332">
        <f t="shared" si="52"/>
        <v>1.7155390301054805E-4</v>
      </c>
      <c r="L79" s="296"/>
      <c r="M79" s="332" t="e">
        <f t="shared" si="53"/>
        <v>#DIV/0!</v>
      </c>
      <c r="N79" s="296">
        <f t="shared" si="54"/>
        <v>3501</v>
      </c>
      <c r="O79" s="336" t="str">
        <f t="shared" si="55"/>
        <v/>
      </c>
      <c r="P79" s="244"/>
    </row>
    <row r="80" spans="1:16" ht="15.75" customHeight="1" x14ac:dyDescent="0.25">
      <c r="A80" s="244"/>
      <c r="B80" s="346"/>
      <c r="C80" s="375"/>
      <c r="D80" s="276"/>
      <c r="E80" s="316"/>
      <c r="F80" s="317"/>
      <c r="G80" s="316"/>
      <c r="H80" s="317"/>
      <c r="I80" s="318"/>
      <c r="J80" s="276"/>
      <c r="K80" s="316"/>
      <c r="L80" s="317"/>
      <c r="M80" s="316"/>
      <c r="N80" s="317"/>
      <c r="O80" s="318"/>
      <c r="P80" s="244"/>
    </row>
    <row r="81" spans="1:16" ht="15.75" customHeight="1" x14ac:dyDescent="0.25">
      <c r="A81" s="244"/>
      <c r="B81" s="347"/>
      <c r="C81" s="374" t="s">
        <v>37</v>
      </c>
      <c r="D81" s="257">
        <f>SUM(D82:D90)</f>
        <v>5546943.6600000001</v>
      </c>
      <c r="E81" s="321">
        <f>D81/D$29</f>
        <v>0.27023048917427572</v>
      </c>
      <c r="F81" s="322">
        <f>SUM(F82:F90)</f>
        <v>663750</v>
      </c>
      <c r="G81" s="321" t="e">
        <f>F81/F$29</f>
        <v>#DIV/0!</v>
      </c>
      <c r="H81" s="322">
        <f>SUM(H82:H90)</f>
        <v>5546943.6600000001</v>
      </c>
      <c r="I81" s="323">
        <f>H81/H$29</f>
        <v>0.27023048917427572</v>
      </c>
      <c r="J81" s="363">
        <f>SUM(J82:J90)</f>
        <v>5055129.75</v>
      </c>
      <c r="K81" s="321">
        <f>J81/J$29</f>
        <v>0.24770843725713682</v>
      </c>
      <c r="L81" s="322">
        <f>SUM(L82:L90)</f>
        <v>0</v>
      </c>
      <c r="M81" s="321" t="e">
        <f>L81/L$29</f>
        <v>#DIV/0!</v>
      </c>
      <c r="N81" s="322">
        <f>SUM(N82:N90)</f>
        <v>4391271.75</v>
      </c>
      <c r="O81" s="323">
        <f>N81/N$29</f>
        <v>0.21517846555054543</v>
      </c>
      <c r="P81" s="246"/>
    </row>
    <row r="82" spans="1:16" ht="15.75" customHeight="1" x14ac:dyDescent="0.25">
      <c r="A82" s="244"/>
      <c r="B82" s="371"/>
      <c r="C82" s="325" t="s">
        <v>225</v>
      </c>
      <c r="D82" s="261">
        <f>4341104.5</f>
        <v>4341104.5</v>
      </c>
      <c r="E82" s="326" t="e">
        <f>D82/$F$29</f>
        <v>#DIV/0!</v>
      </c>
      <c r="F82" s="327"/>
      <c r="G82" s="326" t="e">
        <f>F82/$F$29</f>
        <v>#DIV/0!</v>
      </c>
      <c r="H82" s="327">
        <f>D82-F82</f>
        <v>4341104.5</v>
      </c>
      <c r="I82" s="328" t="str">
        <f>IFERROR((H82/F82),"")</f>
        <v/>
      </c>
      <c r="J82" s="334">
        <v>4007465.75</v>
      </c>
      <c r="K82" s="329" t="e">
        <f t="shared" ref="K82:K89" si="60">J82/$F$29</f>
        <v>#DIV/0!</v>
      </c>
      <c r="L82" s="327"/>
      <c r="M82" s="326" t="e">
        <f>L82/$F$29</f>
        <v>#DIV/0!</v>
      </c>
      <c r="N82" s="327">
        <f>J82-L82</f>
        <v>4007465.75</v>
      </c>
      <c r="O82" s="330" t="str">
        <f>IFERROR((N82/L82),"")</f>
        <v/>
      </c>
      <c r="P82" s="244"/>
    </row>
    <row r="83" spans="1:16" ht="15.75" customHeight="1" x14ac:dyDescent="0.25">
      <c r="A83" s="244"/>
      <c r="B83" s="371"/>
      <c r="C83" s="325" t="s">
        <v>274</v>
      </c>
      <c r="D83" s="261">
        <v>663750</v>
      </c>
      <c r="E83" s="261">
        <v>663750</v>
      </c>
      <c r="F83" s="261">
        <v>663750</v>
      </c>
      <c r="G83" s="261">
        <v>663750</v>
      </c>
      <c r="H83" s="261">
        <v>663750</v>
      </c>
      <c r="I83" s="377">
        <v>663750</v>
      </c>
      <c r="J83" s="261">
        <v>663750</v>
      </c>
      <c r="K83" s="326" t="e">
        <f t="shared" si="60"/>
        <v>#DIV/0!</v>
      </c>
      <c r="L83" s="327"/>
      <c r="M83" s="326"/>
      <c r="N83" s="327"/>
      <c r="O83" s="330"/>
      <c r="P83" s="244"/>
    </row>
    <row r="84" spans="1:16" ht="15.75" customHeight="1" x14ac:dyDescent="0.25">
      <c r="A84" s="244"/>
      <c r="B84" s="331"/>
      <c r="C84" s="312" t="s">
        <v>226</v>
      </c>
      <c r="D84" s="265">
        <v>5000</v>
      </c>
      <c r="E84" s="332" t="e">
        <f t="shared" ref="E84:E85" si="61">D84/$F$29</f>
        <v>#DIV/0!</v>
      </c>
      <c r="F84" s="296"/>
      <c r="G84" s="332" t="e">
        <f t="shared" ref="G84:G85" si="62">F84/$F$29</f>
        <v>#DIV/0!</v>
      </c>
      <c r="H84" s="296">
        <f t="shared" ref="H84:H85" si="63">D84-F84</f>
        <v>5000</v>
      </c>
      <c r="I84" s="336" t="str">
        <f t="shared" ref="I84:I85" si="64">IFERROR((H84/F84),"")</f>
        <v/>
      </c>
      <c r="J84" s="265">
        <v>5935</v>
      </c>
      <c r="K84" s="332" t="e">
        <f t="shared" si="60"/>
        <v>#DIV/0!</v>
      </c>
      <c r="L84" s="296"/>
      <c r="M84" s="332" t="e">
        <f t="shared" ref="M84:M85" si="65">L84/$F$29</f>
        <v>#DIV/0!</v>
      </c>
      <c r="N84" s="296">
        <f t="shared" ref="N84:N85" si="66">J84-L84</f>
        <v>5935</v>
      </c>
      <c r="O84" s="336" t="str">
        <f t="shared" ref="O84:O85" si="67">IFERROR((N84/L84),"")</f>
        <v/>
      </c>
      <c r="P84" s="244"/>
    </row>
    <row r="85" spans="1:16" ht="15.75" customHeight="1" x14ac:dyDescent="0.25">
      <c r="A85" s="244"/>
      <c r="B85" s="331"/>
      <c r="C85" s="312" t="s">
        <v>228</v>
      </c>
      <c r="D85" s="265">
        <v>91235.159999999989</v>
      </c>
      <c r="E85" s="332" t="e">
        <f t="shared" si="61"/>
        <v>#DIV/0!</v>
      </c>
      <c r="F85" s="296"/>
      <c r="G85" s="332" t="e">
        <f t="shared" si="62"/>
        <v>#DIV/0!</v>
      </c>
      <c r="H85" s="296">
        <f t="shared" si="63"/>
        <v>91235.159999999989</v>
      </c>
      <c r="I85" s="336" t="str">
        <f t="shared" si="64"/>
        <v/>
      </c>
      <c r="J85" s="265">
        <v>91933</v>
      </c>
      <c r="K85" s="332" t="e">
        <f t="shared" si="60"/>
        <v>#DIV/0!</v>
      </c>
      <c r="L85" s="296"/>
      <c r="M85" s="332" t="e">
        <f t="shared" si="65"/>
        <v>#DIV/0!</v>
      </c>
      <c r="N85" s="296">
        <f t="shared" si="66"/>
        <v>91933</v>
      </c>
      <c r="O85" s="336" t="str">
        <f t="shared" si="67"/>
        <v/>
      </c>
      <c r="P85" s="244"/>
    </row>
    <row r="86" spans="1:16" ht="15.75" customHeight="1" x14ac:dyDescent="0.25">
      <c r="A86" s="244"/>
      <c r="B86" s="331"/>
      <c r="C86" s="312" t="s">
        <v>275</v>
      </c>
      <c r="D86" s="265">
        <v>0</v>
      </c>
      <c r="E86" s="332"/>
      <c r="F86" s="296"/>
      <c r="G86" s="332"/>
      <c r="H86" s="296"/>
      <c r="I86" s="336"/>
      <c r="J86" s="265">
        <v>108</v>
      </c>
      <c r="K86" s="332" t="e">
        <f t="shared" si="60"/>
        <v>#DIV/0!</v>
      </c>
      <c r="L86" s="296"/>
      <c r="M86" s="332"/>
      <c r="N86" s="296"/>
      <c r="O86" s="336"/>
      <c r="P86" s="244"/>
    </row>
    <row r="87" spans="1:16" ht="15.75" customHeight="1" x14ac:dyDescent="0.25">
      <c r="A87" s="244"/>
      <c r="B87" s="331"/>
      <c r="C87" s="312" t="s">
        <v>229</v>
      </c>
      <c r="D87" s="265">
        <v>40000</v>
      </c>
      <c r="E87" s="332" t="e">
        <f t="shared" ref="E87:E89" si="68">D87/$F$29</f>
        <v>#DIV/0!</v>
      </c>
      <c r="F87" s="296"/>
      <c r="G87" s="332" t="e">
        <f t="shared" ref="G87:G89" si="69">F87/$F$29</f>
        <v>#DIV/0!</v>
      </c>
      <c r="H87" s="296">
        <f t="shared" ref="H87:H89" si="70">D87-F87</f>
        <v>40000</v>
      </c>
      <c r="I87" s="336" t="str">
        <f t="shared" ref="I87:I90" si="71">IFERROR((H87/F87),"")</f>
        <v/>
      </c>
      <c r="J87" s="265">
        <v>40000</v>
      </c>
      <c r="K87" s="332" t="e">
        <f t="shared" si="60"/>
        <v>#DIV/0!</v>
      </c>
      <c r="L87" s="296"/>
      <c r="M87" s="332" t="e">
        <f t="shared" ref="M87:M89" si="72">L87/$F$29</f>
        <v>#DIV/0!</v>
      </c>
      <c r="N87" s="296">
        <f t="shared" ref="N87:N89" si="73">J87-L87</f>
        <v>40000</v>
      </c>
      <c r="O87" s="336" t="str">
        <f t="shared" ref="O87:O90" si="74">IFERROR((N87/L87),"")</f>
        <v/>
      </c>
      <c r="P87" s="244"/>
    </row>
    <row r="88" spans="1:16" ht="15.75" customHeight="1" x14ac:dyDescent="0.25">
      <c r="A88" s="244"/>
      <c r="B88" s="331"/>
      <c r="C88" s="312" t="s">
        <v>230</v>
      </c>
      <c r="D88" s="265">
        <v>398570</v>
      </c>
      <c r="E88" s="332" t="e">
        <f t="shared" si="68"/>
        <v>#DIV/0!</v>
      </c>
      <c r="F88" s="296"/>
      <c r="G88" s="332" t="e">
        <f t="shared" si="69"/>
        <v>#DIV/0!</v>
      </c>
      <c r="H88" s="296">
        <f t="shared" si="70"/>
        <v>398570</v>
      </c>
      <c r="I88" s="336" t="str">
        <f t="shared" si="71"/>
        <v/>
      </c>
      <c r="J88" s="265">
        <f>211513+34425</f>
        <v>245938</v>
      </c>
      <c r="K88" s="332" t="e">
        <f t="shared" si="60"/>
        <v>#DIV/0!</v>
      </c>
      <c r="L88" s="296"/>
      <c r="M88" s="332" t="e">
        <f t="shared" si="72"/>
        <v>#DIV/0!</v>
      </c>
      <c r="N88" s="296">
        <f t="shared" si="73"/>
        <v>245938</v>
      </c>
      <c r="O88" s="336" t="str">
        <f t="shared" si="74"/>
        <v/>
      </c>
      <c r="P88" s="244"/>
    </row>
    <row r="89" spans="1:16" ht="15.75" customHeight="1" x14ac:dyDescent="0.25">
      <c r="A89" s="244"/>
      <c r="B89" s="331"/>
      <c r="C89" s="312" t="s">
        <v>231</v>
      </c>
      <c r="D89" s="265">
        <v>7284</v>
      </c>
      <c r="E89" s="332" t="e">
        <f t="shared" si="68"/>
        <v>#DIV/0!</v>
      </c>
      <c r="F89" s="296"/>
      <c r="G89" s="332" t="e">
        <f t="shared" si="69"/>
        <v>#DIV/0!</v>
      </c>
      <c r="H89" s="296">
        <f t="shared" si="70"/>
        <v>7284</v>
      </c>
      <c r="I89" s="336" t="str">
        <f t="shared" si="71"/>
        <v/>
      </c>
      <c r="J89" s="265">
        <v>0</v>
      </c>
      <c r="K89" s="332" t="e">
        <f t="shared" si="60"/>
        <v>#DIV/0!</v>
      </c>
      <c r="L89" s="296"/>
      <c r="M89" s="332" t="e">
        <f t="shared" si="72"/>
        <v>#DIV/0!</v>
      </c>
      <c r="N89" s="296">
        <f t="shared" si="73"/>
        <v>0</v>
      </c>
      <c r="O89" s="336" t="str">
        <f t="shared" si="74"/>
        <v/>
      </c>
      <c r="P89" s="244"/>
    </row>
    <row r="90" spans="1:16" ht="15.75" customHeight="1" x14ac:dyDescent="0.25">
      <c r="A90" s="244"/>
      <c r="B90" s="331"/>
      <c r="C90" s="312" t="s">
        <v>232</v>
      </c>
      <c r="D90" s="265"/>
      <c r="E90" s="313"/>
      <c r="F90" s="296"/>
      <c r="G90" s="313"/>
      <c r="H90" s="296"/>
      <c r="I90" s="336" t="str">
        <f t="shared" si="71"/>
        <v/>
      </c>
      <c r="J90" s="265"/>
      <c r="K90" s="313"/>
      <c r="L90" s="296"/>
      <c r="M90" s="313"/>
      <c r="N90" s="296"/>
      <c r="O90" s="336" t="str">
        <f t="shared" si="74"/>
        <v/>
      </c>
      <c r="P90" s="244"/>
    </row>
    <row r="91" spans="1:16" ht="15.75" customHeight="1" x14ac:dyDescent="0.25">
      <c r="A91" s="244"/>
      <c r="B91" s="346"/>
      <c r="C91" s="375"/>
      <c r="D91" s="276"/>
      <c r="E91" s="316"/>
      <c r="F91" s="317"/>
      <c r="G91" s="316"/>
      <c r="H91" s="317"/>
      <c r="I91" s="318"/>
      <c r="J91" s="276"/>
      <c r="K91" s="316"/>
      <c r="L91" s="317"/>
      <c r="M91" s="316"/>
      <c r="N91" s="317"/>
      <c r="O91" s="318"/>
      <c r="P91" s="244"/>
    </row>
    <row r="92" spans="1:16" ht="15.75" customHeight="1" x14ac:dyDescent="0.25">
      <c r="A92" s="244"/>
      <c r="B92" s="347"/>
      <c r="C92" s="374" t="s">
        <v>38</v>
      </c>
      <c r="D92" s="257">
        <f>SUM(D93)</f>
        <v>425771.88</v>
      </c>
      <c r="E92" s="321">
        <f t="shared" ref="E92:E93" si="75">D92/D$29</f>
        <v>2.0742331356048246E-2</v>
      </c>
      <c r="F92" s="322">
        <f>SUM(F93)</f>
        <v>0</v>
      </c>
      <c r="G92" s="321" t="e">
        <f>F92/F$29</f>
        <v>#DIV/0!</v>
      </c>
      <c r="H92" s="322">
        <f>SUM(H93)</f>
        <v>425771.88</v>
      </c>
      <c r="I92" s="323">
        <f>H92/H$29</f>
        <v>2.0742331356048246E-2</v>
      </c>
      <c r="J92" s="257">
        <f>SUM(J93)</f>
        <v>521738</v>
      </c>
      <c r="K92" s="321">
        <f t="shared" ref="K92:K93" si="76">J92/J$29</f>
        <v>2.55658926732126E-2</v>
      </c>
      <c r="L92" s="322">
        <f>SUM(L93)</f>
        <v>0</v>
      </c>
      <c r="M92" s="321" t="e">
        <f>L92/L$29</f>
        <v>#DIV/0!</v>
      </c>
      <c r="N92" s="322">
        <f>SUM(N93)</f>
        <v>521738</v>
      </c>
      <c r="O92" s="323">
        <f>N92/N$29</f>
        <v>2.55658926732126E-2</v>
      </c>
      <c r="P92" s="246"/>
    </row>
    <row r="93" spans="1:16" ht="15.75" customHeight="1" x14ac:dyDescent="0.25">
      <c r="A93" s="244"/>
      <c r="B93" s="371"/>
      <c r="C93" s="325" t="s">
        <v>276</v>
      </c>
      <c r="D93" s="261">
        <v>425771.88</v>
      </c>
      <c r="E93" s="326">
        <f t="shared" si="75"/>
        <v>2.0742331356048246E-2</v>
      </c>
      <c r="F93" s="327">
        <f>G93*(F$16+F$24+F$25)</f>
        <v>0</v>
      </c>
      <c r="G93" s="326"/>
      <c r="H93" s="327">
        <f>D93-F93</f>
        <v>425771.88</v>
      </c>
      <c r="I93" s="330" t="str">
        <f>IFERROR((H93/F93),"")</f>
        <v/>
      </c>
      <c r="J93" s="261">
        <v>521738</v>
      </c>
      <c r="K93" s="326">
        <f t="shared" si="76"/>
        <v>2.55658926732126E-2</v>
      </c>
      <c r="L93" s="327">
        <f>M93*(L$16+L$24+L$25)</f>
        <v>0</v>
      </c>
      <c r="M93" s="326"/>
      <c r="N93" s="327">
        <f>J93-L93</f>
        <v>521738</v>
      </c>
      <c r="O93" s="330" t="str">
        <f>IFERROR((N93/L93),"")</f>
        <v/>
      </c>
      <c r="P93" s="244"/>
    </row>
    <row r="94" spans="1:16" ht="15.75" customHeight="1" x14ac:dyDescent="0.25">
      <c r="A94" s="244"/>
      <c r="B94" s="346"/>
      <c r="C94" s="315"/>
      <c r="D94" s="276"/>
      <c r="E94" s="316"/>
      <c r="F94" s="317"/>
      <c r="G94" s="316"/>
      <c r="H94" s="317"/>
      <c r="I94" s="318"/>
      <c r="J94" s="276"/>
      <c r="K94" s="316"/>
      <c r="L94" s="317"/>
      <c r="M94" s="316"/>
      <c r="N94" s="317"/>
      <c r="O94" s="318"/>
      <c r="P94" s="244"/>
    </row>
    <row r="95" spans="1:16" ht="15.75" customHeight="1" x14ac:dyDescent="0.25">
      <c r="A95" s="244"/>
      <c r="B95" s="347"/>
      <c r="C95" s="374" t="s">
        <v>238</v>
      </c>
      <c r="D95" s="257">
        <f>SUM(D96:D97)</f>
        <v>23403.333333333332</v>
      </c>
      <c r="E95" s="321">
        <f>D95/D$29</f>
        <v>1.1401403372060387E-3</v>
      </c>
      <c r="F95" s="322">
        <f>SUM(F96:F97)</f>
        <v>0</v>
      </c>
      <c r="G95" s="321" t="e">
        <f>F95/F$29</f>
        <v>#DIV/0!</v>
      </c>
      <c r="H95" s="322">
        <f>SUM(H96:H97)</f>
        <v>0</v>
      </c>
      <c r="I95" s="323">
        <f>H95/H$29</f>
        <v>0</v>
      </c>
      <c r="J95" s="257">
        <f>SUM(J96:J97)</f>
        <v>25091</v>
      </c>
      <c r="K95" s="321">
        <f>J95/J$29</f>
        <v>1.229494138942491E-3</v>
      </c>
      <c r="L95" s="322">
        <f>SUM(L96:L97)</f>
        <v>0</v>
      </c>
      <c r="M95" s="321" t="e">
        <f>L95/L$29</f>
        <v>#DIV/0!</v>
      </c>
      <c r="N95" s="322">
        <f>SUM(N96:N97)</f>
        <v>0</v>
      </c>
      <c r="O95" s="323">
        <f>N95/N$29</f>
        <v>0</v>
      </c>
      <c r="P95" s="246"/>
    </row>
    <row r="96" spans="1:16" ht="15.75" customHeight="1" x14ac:dyDescent="0.25">
      <c r="A96" s="244"/>
      <c r="B96" s="371"/>
      <c r="C96" s="325" t="s">
        <v>239</v>
      </c>
      <c r="D96" s="261">
        <v>0</v>
      </c>
      <c r="E96" s="326" t="e">
        <f t="shared" ref="E96:E97" si="77">D96/$F$29</f>
        <v>#DIV/0!</v>
      </c>
      <c r="F96" s="327"/>
      <c r="G96" s="326" t="e">
        <f>F96/$F$29</f>
        <v>#DIV/0!</v>
      </c>
      <c r="H96" s="327">
        <f>D96-F96</f>
        <v>0</v>
      </c>
      <c r="I96" s="330" t="str">
        <f>IFERROR((H96/F96),"")</f>
        <v/>
      </c>
      <c r="J96" s="261">
        <v>0</v>
      </c>
      <c r="K96" s="326" t="e">
        <f t="shared" ref="K96:K97" si="78">J96/$F$29</f>
        <v>#DIV/0!</v>
      </c>
      <c r="L96" s="327"/>
      <c r="M96" s="326" t="e">
        <f>L96/$F$29</f>
        <v>#DIV/0!</v>
      </c>
      <c r="N96" s="327">
        <f>J96-L96</f>
        <v>0</v>
      </c>
      <c r="O96" s="330" t="str">
        <f>IFERROR((N96/L96),"")</f>
        <v/>
      </c>
      <c r="P96" s="244"/>
    </row>
    <row r="97" spans="1:16" ht="15.75" customHeight="1" x14ac:dyDescent="0.25">
      <c r="A97" s="244"/>
      <c r="B97" s="331"/>
      <c r="C97" s="312" t="s">
        <v>277</v>
      </c>
      <c r="D97" s="265">
        <v>23403.333333333332</v>
      </c>
      <c r="E97" s="326" t="e">
        <f t="shared" si="77"/>
        <v>#DIV/0!</v>
      </c>
      <c r="F97" s="296"/>
      <c r="G97" s="332"/>
      <c r="H97" s="296"/>
      <c r="I97" s="336"/>
      <c r="J97" s="265">
        <v>25091</v>
      </c>
      <c r="K97" s="326" t="e">
        <f t="shared" si="78"/>
        <v>#DIV/0!</v>
      </c>
      <c r="L97" s="296"/>
      <c r="M97" s="332"/>
      <c r="N97" s="296"/>
      <c r="O97" s="336"/>
      <c r="P97" s="244"/>
    </row>
    <row r="98" spans="1:16" ht="15.75" customHeight="1" x14ac:dyDescent="0.25">
      <c r="A98" s="244"/>
      <c r="B98" s="346"/>
      <c r="C98" s="315"/>
      <c r="D98" s="276"/>
      <c r="E98" s="316"/>
      <c r="F98" s="317"/>
      <c r="G98" s="316"/>
      <c r="H98" s="317"/>
      <c r="I98" s="318"/>
      <c r="J98" s="276"/>
      <c r="K98" s="316"/>
      <c r="L98" s="317"/>
      <c r="M98" s="316"/>
      <c r="N98" s="317"/>
      <c r="O98" s="318"/>
      <c r="P98" s="244"/>
    </row>
    <row r="99" spans="1:16" ht="15.75" customHeight="1" x14ac:dyDescent="0.25">
      <c r="A99" s="244"/>
      <c r="B99" s="347"/>
      <c r="C99" s="374" t="s">
        <v>40</v>
      </c>
      <c r="D99" s="257">
        <f>SUM(D100:D105)</f>
        <v>205479.55</v>
      </c>
      <c r="E99" s="321">
        <f t="shared" ref="E99:E102" si="79">D99/D$29</f>
        <v>1.0010348529808222E-2</v>
      </c>
      <c r="F99" s="322">
        <f>SUM(F100:F118)</f>
        <v>184154.58333333331</v>
      </c>
      <c r="G99" s="321" t="e">
        <f t="shared" ref="G99:G101" si="80">F99/F$29</f>
        <v>#DIV/0!</v>
      </c>
      <c r="H99" s="257">
        <f>SUM(H100:H105)</f>
        <v>124371.75</v>
      </c>
      <c r="I99" s="323">
        <f>H99/H$29</f>
        <v>6.0590193270433764E-3</v>
      </c>
      <c r="J99" s="257">
        <f>SUM(J100:J105)</f>
        <v>296400.75</v>
      </c>
      <c r="K99" s="321">
        <f t="shared" ref="K99:K104" si="81">J99/J$29</f>
        <v>1.4524051847401799E-2</v>
      </c>
      <c r="L99" s="322">
        <f>SUM(L100:L118)</f>
        <v>0</v>
      </c>
      <c r="M99" s="321" t="e">
        <f t="shared" ref="M99:M101" si="82">L99/L$29</f>
        <v>#DIV/0!</v>
      </c>
      <c r="N99" s="257">
        <f>SUM(N100:N105)</f>
        <v>126549.75</v>
      </c>
      <c r="O99" s="323">
        <f>N99/N$29</f>
        <v>6.2011149778660674E-3</v>
      </c>
      <c r="P99" s="246"/>
    </row>
    <row r="100" spans="1:16" ht="15.75" customHeight="1" x14ac:dyDescent="0.25">
      <c r="A100" s="244"/>
      <c r="B100" s="371"/>
      <c r="C100" s="325" t="s">
        <v>241</v>
      </c>
      <c r="D100" s="261">
        <v>0</v>
      </c>
      <c r="E100" s="326">
        <f t="shared" si="79"/>
        <v>0</v>
      </c>
      <c r="F100" s="327"/>
      <c r="G100" s="326" t="e">
        <f t="shared" si="80"/>
        <v>#DIV/0!</v>
      </c>
      <c r="H100" s="327">
        <f t="shared" ref="H100:H101" si="83">D100-F100</f>
        <v>0</v>
      </c>
      <c r="I100" s="330" t="str">
        <f t="shared" ref="I100:I101" si="84">IFERROR((H100/F100),"")</f>
        <v/>
      </c>
      <c r="J100" s="261">
        <v>0</v>
      </c>
      <c r="K100" s="326">
        <f t="shared" si="81"/>
        <v>0</v>
      </c>
      <c r="L100" s="327"/>
      <c r="M100" s="326" t="e">
        <f t="shared" si="82"/>
        <v>#DIV/0!</v>
      </c>
      <c r="N100" s="327">
        <f t="shared" ref="N100:N101" si="85">J100-L100</f>
        <v>0</v>
      </c>
      <c r="O100" s="330" t="str">
        <f t="shared" ref="O100:O101" si="86">IFERROR((N100/L100),"")</f>
        <v/>
      </c>
      <c r="P100" s="244"/>
    </row>
    <row r="101" spans="1:16" ht="15.75" customHeight="1" x14ac:dyDescent="0.25">
      <c r="A101" s="244"/>
      <c r="B101" s="331"/>
      <c r="C101" s="312" t="s">
        <v>242</v>
      </c>
      <c r="D101" s="265">
        <v>1995</v>
      </c>
      <c r="E101" s="332">
        <f t="shared" si="79"/>
        <v>9.7190427548470907E-5</v>
      </c>
      <c r="F101" s="296"/>
      <c r="G101" s="332" t="e">
        <f t="shared" si="80"/>
        <v>#DIV/0!</v>
      </c>
      <c r="H101" s="296">
        <f t="shared" si="83"/>
        <v>1995</v>
      </c>
      <c r="I101" s="336" t="str">
        <f t="shared" si="84"/>
        <v/>
      </c>
      <c r="J101" s="265">
        <v>4173</v>
      </c>
      <c r="K101" s="332">
        <f t="shared" si="81"/>
        <v>2.0448284411968493E-4</v>
      </c>
      <c r="L101" s="296"/>
      <c r="M101" s="332" t="e">
        <f t="shared" si="82"/>
        <v>#DIV/0!</v>
      </c>
      <c r="N101" s="296">
        <f t="shared" si="85"/>
        <v>4173</v>
      </c>
      <c r="O101" s="336" t="str">
        <f t="shared" si="86"/>
        <v/>
      </c>
      <c r="P101" s="244"/>
    </row>
    <row r="102" spans="1:16" ht="15.75" customHeight="1" x14ac:dyDescent="0.25">
      <c r="A102" s="244"/>
      <c r="B102" s="331"/>
      <c r="C102" s="312" t="s">
        <v>251</v>
      </c>
      <c r="D102" s="265">
        <v>81107.8</v>
      </c>
      <c r="E102" s="332">
        <f t="shared" si="79"/>
        <v>3.9513292027648465E-3</v>
      </c>
      <c r="F102" s="296"/>
      <c r="G102" s="332"/>
      <c r="H102" s="296"/>
      <c r="I102" s="336"/>
      <c r="J102" s="265">
        <v>169851</v>
      </c>
      <c r="K102" s="332">
        <f t="shared" si="81"/>
        <v>8.3229368695357311E-3</v>
      </c>
      <c r="L102" s="296"/>
      <c r="M102" s="332"/>
      <c r="N102" s="296"/>
      <c r="O102" s="336"/>
      <c r="P102" s="244"/>
    </row>
    <row r="103" spans="1:16" ht="15.75" customHeight="1" x14ac:dyDescent="0.25">
      <c r="A103" s="244"/>
      <c r="B103" s="331"/>
      <c r="C103" s="312" t="s">
        <v>243</v>
      </c>
      <c r="D103" s="265">
        <v>95043.75</v>
      </c>
      <c r="E103" s="265">
        <v>95043.75</v>
      </c>
      <c r="F103" s="265">
        <v>95043.75</v>
      </c>
      <c r="G103" s="265">
        <v>95043.75</v>
      </c>
      <c r="H103" s="265">
        <v>95043.75</v>
      </c>
      <c r="I103" s="379">
        <v>95043.75</v>
      </c>
      <c r="J103" s="265">
        <v>95043.75</v>
      </c>
      <c r="K103" s="332">
        <f t="shared" si="81"/>
        <v>4.6572768549725148E-3</v>
      </c>
      <c r="L103" s="296"/>
      <c r="M103" s="332" t="e">
        <f t="shared" ref="M103:M104" si="87">L103/L$29</f>
        <v>#DIV/0!</v>
      </c>
      <c r="N103" s="296">
        <f t="shared" ref="N103:N104" si="88">J103-L103</f>
        <v>95043.75</v>
      </c>
      <c r="O103" s="336" t="str">
        <f t="shared" ref="O103:O104" si="89">IFERROR((N103/L103),"")</f>
        <v/>
      </c>
      <c r="P103" s="244"/>
    </row>
    <row r="104" spans="1:16" ht="15.75" customHeight="1" x14ac:dyDescent="0.25">
      <c r="A104" s="244"/>
      <c r="B104" s="331"/>
      <c r="C104" s="312" t="s">
        <v>278</v>
      </c>
      <c r="D104" s="265">
        <v>27333</v>
      </c>
      <c r="E104" s="265">
        <v>27333</v>
      </c>
      <c r="F104" s="265">
        <v>27333</v>
      </c>
      <c r="G104" s="265">
        <v>27333</v>
      </c>
      <c r="H104" s="265">
        <v>27333</v>
      </c>
      <c r="I104" s="379">
        <v>27333</v>
      </c>
      <c r="J104" s="265">
        <v>27333</v>
      </c>
      <c r="K104" s="332">
        <f t="shared" si="81"/>
        <v>1.3393552787738675E-3</v>
      </c>
      <c r="L104" s="296"/>
      <c r="M104" s="332" t="e">
        <f t="shared" si="87"/>
        <v>#DIV/0!</v>
      </c>
      <c r="N104" s="296">
        <f t="shared" si="88"/>
        <v>27333</v>
      </c>
      <c r="O104" s="336" t="str">
        <f t="shared" si="89"/>
        <v/>
      </c>
      <c r="P104" s="244"/>
    </row>
    <row r="105" spans="1:16" ht="15.75" customHeight="1" x14ac:dyDescent="0.25">
      <c r="A105" s="244"/>
      <c r="B105" s="346"/>
      <c r="C105" s="315"/>
      <c r="D105" s="276"/>
      <c r="E105" s="337"/>
      <c r="F105" s="317"/>
      <c r="G105" s="337"/>
      <c r="H105" s="317"/>
      <c r="I105" s="338"/>
      <c r="J105" s="276"/>
      <c r="K105" s="337"/>
      <c r="L105" s="317"/>
      <c r="M105" s="337"/>
      <c r="N105" s="317"/>
      <c r="O105" s="338"/>
      <c r="P105" s="244"/>
    </row>
    <row r="106" spans="1:16" ht="15.75" customHeight="1" x14ac:dyDescent="0.25">
      <c r="A106" s="244"/>
      <c r="B106" s="347"/>
      <c r="C106" s="374" t="s">
        <v>247</v>
      </c>
      <c r="D106" s="257">
        <f>SUM(D107:D120)</f>
        <v>624683.04666666663</v>
      </c>
      <c r="E106" s="321">
        <f>D106/D$29</f>
        <v>3.0432687913691595E-2</v>
      </c>
      <c r="F106" s="257">
        <f>SUM(F107)</f>
        <v>30888.916666666664</v>
      </c>
      <c r="G106" s="321" t="e">
        <f>F106/F$29</f>
        <v>#DIV/0!</v>
      </c>
      <c r="H106" s="322">
        <f>D106-F106</f>
        <v>593794.13</v>
      </c>
      <c r="I106" s="323">
        <f>IFERROR((H106/F106),"")</f>
        <v>19.223533683872589</v>
      </c>
      <c r="J106" s="257">
        <f>SUM(J107:J120)</f>
        <v>590695.91666666674</v>
      </c>
      <c r="K106" s="321">
        <f t="shared" ref="K106:K108" si="90">J106/J$29</f>
        <v>2.8944927162684979E-2</v>
      </c>
      <c r="L106" s="257">
        <f>SUM(L107)</f>
        <v>0</v>
      </c>
      <c r="M106" s="321" t="e">
        <f>L106/L$29</f>
        <v>#DIV/0!</v>
      </c>
      <c r="N106" s="322">
        <f>J106-L106</f>
        <v>590695.91666666674</v>
      </c>
      <c r="O106" s="323" t="str">
        <f>IFERROR((N106/L106),"")</f>
        <v/>
      </c>
      <c r="P106" s="244"/>
    </row>
    <row r="107" spans="1:16" ht="15.75" customHeight="1" x14ac:dyDescent="0.25">
      <c r="A107" s="244"/>
      <c r="B107" s="371"/>
      <c r="C107" s="325" t="s">
        <v>246</v>
      </c>
      <c r="D107" s="261">
        <v>30888.916666666664</v>
      </c>
      <c r="E107" s="261">
        <v>30888.916666666664</v>
      </c>
      <c r="F107" s="261">
        <v>30888.916666666664</v>
      </c>
      <c r="G107" s="261">
        <v>30888.916666666664</v>
      </c>
      <c r="H107" s="261">
        <v>30888.916666666664</v>
      </c>
      <c r="I107" s="377">
        <v>30888.916666666664</v>
      </c>
      <c r="J107" s="261">
        <v>30888.916666666664</v>
      </c>
      <c r="K107" s="326">
        <f t="shared" si="90"/>
        <v>1.5136001753596783E-3</v>
      </c>
      <c r="L107" s="327"/>
      <c r="M107" s="326"/>
      <c r="N107" s="327"/>
      <c r="O107" s="330"/>
      <c r="P107" s="244"/>
    </row>
    <row r="108" spans="1:16" ht="15.75" customHeight="1" x14ac:dyDescent="0.25">
      <c r="A108" s="244"/>
      <c r="B108" s="371"/>
      <c r="C108" s="325" t="s">
        <v>279</v>
      </c>
      <c r="D108" s="261">
        <v>260391.13</v>
      </c>
      <c r="E108" s="326"/>
      <c r="F108" s="327"/>
      <c r="G108" s="326"/>
      <c r="H108" s="327"/>
      <c r="I108" s="330"/>
      <c r="J108" s="261">
        <v>236128</v>
      </c>
      <c r="K108" s="326">
        <f t="shared" si="90"/>
        <v>1.1570602687824817E-2</v>
      </c>
      <c r="L108" s="327"/>
      <c r="M108" s="326"/>
      <c r="N108" s="327"/>
      <c r="O108" s="330"/>
      <c r="P108" s="244"/>
    </row>
    <row r="109" spans="1:16" ht="15.75" customHeight="1" x14ac:dyDescent="0.25">
      <c r="A109" s="244"/>
      <c r="B109" s="371"/>
      <c r="C109" s="325"/>
      <c r="D109" s="261"/>
      <c r="E109" s="326"/>
      <c r="F109" s="327"/>
      <c r="G109" s="326"/>
      <c r="H109" s="327"/>
      <c r="I109" s="330"/>
      <c r="J109" s="261"/>
      <c r="K109" s="326"/>
      <c r="L109" s="327"/>
      <c r="M109" s="326"/>
      <c r="N109" s="327"/>
      <c r="O109" s="330"/>
      <c r="P109" s="244"/>
    </row>
    <row r="110" spans="1:16" ht="15.75" customHeight="1" x14ac:dyDescent="0.25">
      <c r="A110" s="244"/>
      <c r="B110" s="371"/>
      <c r="C110" s="325"/>
      <c r="D110" s="261"/>
      <c r="E110" s="326"/>
      <c r="F110" s="327"/>
      <c r="G110" s="326"/>
      <c r="H110" s="327"/>
      <c r="I110" s="330"/>
      <c r="J110" s="261"/>
      <c r="K110" s="326"/>
      <c r="L110" s="327"/>
      <c r="M110" s="326"/>
      <c r="N110" s="327"/>
      <c r="O110" s="330"/>
      <c r="P110" s="244"/>
    </row>
    <row r="111" spans="1:16" ht="15.75" customHeight="1" x14ac:dyDescent="0.25">
      <c r="A111" s="244"/>
      <c r="B111" s="371"/>
      <c r="C111" s="325"/>
      <c r="D111" s="261"/>
      <c r="E111" s="326"/>
      <c r="F111" s="327"/>
      <c r="G111" s="326"/>
      <c r="H111" s="327"/>
      <c r="I111" s="330"/>
      <c r="J111" s="261"/>
      <c r="K111" s="326"/>
      <c r="L111" s="327"/>
      <c r="M111" s="326"/>
      <c r="N111" s="327"/>
      <c r="O111" s="330"/>
      <c r="P111" s="244"/>
    </row>
    <row r="112" spans="1:16" ht="15.75" customHeight="1" x14ac:dyDescent="0.25">
      <c r="A112" s="244"/>
      <c r="B112" s="331"/>
      <c r="C112" s="312" t="s">
        <v>249</v>
      </c>
      <c r="D112" s="265">
        <v>4213</v>
      </c>
      <c r="E112" s="332">
        <f>D112/D$29</f>
        <v>2.0524474749960298E-4</v>
      </c>
      <c r="F112" s="296"/>
      <c r="G112" s="332" t="e">
        <f>F112/F$29</f>
        <v>#DIV/0!</v>
      </c>
      <c r="H112" s="296">
        <f>D112-F112</f>
        <v>4213</v>
      </c>
      <c r="I112" s="336" t="str">
        <f>IFERROR((H112/F112),"")</f>
        <v/>
      </c>
      <c r="J112" s="265">
        <v>0</v>
      </c>
      <c r="K112" s="332">
        <f>J112/J$29</f>
        <v>0</v>
      </c>
      <c r="L112" s="296"/>
      <c r="M112" s="332" t="e">
        <f>L112/L$29</f>
        <v>#DIV/0!</v>
      </c>
      <c r="N112" s="296">
        <f>J112-L112</f>
        <v>0</v>
      </c>
      <c r="O112" s="336" t="str">
        <f>IFERROR((N112/L112),"")</f>
        <v/>
      </c>
      <c r="P112" s="244"/>
    </row>
    <row r="113" spans="1:16" ht="15.75" customHeight="1" x14ac:dyDescent="0.25">
      <c r="A113" s="244"/>
      <c r="B113" s="331"/>
      <c r="C113" s="312"/>
      <c r="D113" s="265"/>
      <c r="E113" s="332"/>
      <c r="F113" s="296"/>
      <c r="G113" s="332"/>
      <c r="H113" s="296"/>
      <c r="I113" s="336"/>
      <c r="J113" s="265"/>
      <c r="K113" s="332"/>
      <c r="L113" s="296"/>
      <c r="M113" s="332"/>
      <c r="N113" s="296"/>
      <c r="O113" s="336"/>
      <c r="P113" s="244"/>
    </row>
    <row r="114" spans="1:16" ht="15.75" customHeight="1" x14ac:dyDescent="0.25">
      <c r="A114" s="244"/>
      <c r="B114" s="331"/>
      <c r="C114" s="312" t="s">
        <v>250</v>
      </c>
      <c r="D114" s="265">
        <v>45828</v>
      </c>
      <c r="E114" s="332">
        <f>D114/D$29</f>
        <v>2.232602964256303E-3</v>
      </c>
      <c r="F114" s="296"/>
      <c r="G114" s="332" t="e">
        <f>F114/F$29</f>
        <v>#DIV/0!</v>
      </c>
      <c r="H114" s="296">
        <f>D114-F114</f>
        <v>45828</v>
      </c>
      <c r="I114" s="336" t="str">
        <f>IFERROR((H114/F114),"")</f>
        <v/>
      </c>
      <c r="J114" s="265">
        <v>63876</v>
      </c>
      <c r="K114" s="332">
        <f>J114/J$29</f>
        <v>3.1300134557845664E-3</v>
      </c>
      <c r="L114" s="296"/>
      <c r="M114" s="332" t="e">
        <f>L114/L$29</f>
        <v>#DIV/0!</v>
      </c>
      <c r="N114" s="296">
        <f>J114-L114</f>
        <v>63876</v>
      </c>
      <c r="O114" s="336" t="str">
        <f>IFERROR((N114/L114),"")</f>
        <v/>
      </c>
      <c r="P114" s="244"/>
    </row>
    <row r="115" spans="1:16" ht="15.75" customHeight="1" x14ac:dyDescent="0.25">
      <c r="A115" s="244"/>
      <c r="B115" s="331"/>
      <c r="C115" s="312"/>
      <c r="D115" s="265"/>
      <c r="E115" s="332"/>
      <c r="F115" s="296"/>
      <c r="G115" s="332"/>
      <c r="H115" s="296"/>
      <c r="I115" s="336"/>
      <c r="J115" s="265"/>
      <c r="K115" s="332"/>
      <c r="L115" s="296"/>
      <c r="M115" s="332"/>
      <c r="N115" s="296"/>
      <c r="O115" s="336"/>
      <c r="P115" s="244"/>
    </row>
    <row r="116" spans="1:16" ht="15.75" customHeight="1" x14ac:dyDescent="0.25">
      <c r="A116" s="244"/>
      <c r="B116" s="331"/>
      <c r="C116" s="312" t="s">
        <v>252</v>
      </c>
      <c r="D116" s="265">
        <v>15700</v>
      </c>
      <c r="E116" s="332">
        <f>D116/D$29</f>
        <v>7.6485699875237752E-4</v>
      </c>
      <c r="F116" s="296"/>
      <c r="G116" s="332" t="e">
        <f>F116/F$29</f>
        <v>#DIV/0!</v>
      </c>
      <c r="H116" s="296">
        <f>D116-F116</f>
        <v>15700</v>
      </c>
      <c r="I116" s="336" t="str">
        <f>IFERROR((H116/F116),"")</f>
        <v/>
      </c>
      <c r="J116" s="265">
        <v>22700</v>
      </c>
      <c r="K116" s="332">
        <f>J116/J$29</f>
        <v>1.1123317904425708E-3</v>
      </c>
      <c r="L116" s="296"/>
      <c r="M116" s="332" t="e">
        <f>L116/L$29</f>
        <v>#DIV/0!</v>
      </c>
      <c r="N116" s="296">
        <f>J116-L116</f>
        <v>22700</v>
      </c>
      <c r="O116" s="336" t="str">
        <f>IFERROR((N116/L116),"")</f>
        <v/>
      </c>
      <c r="P116" s="244"/>
    </row>
    <row r="117" spans="1:16" ht="15.75" customHeight="1" x14ac:dyDescent="0.25">
      <c r="A117" s="244"/>
      <c r="B117" s="331"/>
      <c r="C117" s="312"/>
      <c r="D117" s="265"/>
      <c r="E117" s="332"/>
      <c r="F117" s="296"/>
      <c r="G117" s="332"/>
      <c r="H117" s="296"/>
      <c r="I117" s="336"/>
      <c r="J117" s="265"/>
      <c r="K117" s="332"/>
      <c r="L117" s="296"/>
      <c r="M117" s="332"/>
      <c r="N117" s="296"/>
      <c r="O117" s="336"/>
      <c r="P117" s="244"/>
    </row>
    <row r="118" spans="1:16" ht="15.75" customHeight="1" x14ac:dyDescent="0.25">
      <c r="A118" s="244"/>
      <c r="B118" s="331"/>
      <c r="C118" s="312" t="s">
        <v>280</v>
      </c>
      <c r="D118" s="265">
        <v>43464</v>
      </c>
      <c r="E118" s="332">
        <f>D118/D$29</f>
        <v>2.1174359613868369E-3</v>
      </c>
      <c r="F118" s="296"/>
      <c r="G118" s="332" t="e">
        <f>F118/F$29</f>
        <v>#DIV/0!</v>
      </c>
      <c r="H118" s="296">
        <f>D118-F118</f>
        <v>43464</v>
      </c>
      <c r="I118" s="336" t="str">
        <f>IFERROR((H118/F118),"")</f>
        <v/>
      </c>
      <c r="J118" s="265">
        <v>45692</v>
      </c>
      <c r="K118" s="332">
        <f>J118/J$29</f>
        <v>2.2389719898194692E-3</v>
      </c>
      <c r="L118" s="296"/>
      <c r="M118" s="332" t="e">
        <f>L118/L$29</f>
        <v>#DIV/0!</v>
      </c>
      <c r="N118" s="296">
        <f>J118-L118</f>
        <v>45692</v>
      </c>
      <c r="O118" s="336" t="str">
        <f>IFERROR((N118/L118),"")</f>
        <v/>
      </c>
      <c r="P118" s="244"/>
    </row>
    <row r="119" spans="1:16" ht="15.75" customHeight="1" x14ac:dyDescent="0.25">
      <c r="A119" s="244"/>
      <c r="B119" s="331"/>
      <c r="C119" s="312"/>
      <c r="D119" s="265"/>
      <c r="E119" s="332"/>
      <c r="F119" s="296"/>
      <c r="G119" s="332"/>
      <c r="H119" s="296"/>
      <c r="I119" s="336"/>
      <c r="J119" s="265"/>
      <c r="K119" s="332"/>
      <c r="L119" s="296"/>
      <c r="M119" s="332"/>
      <c r="N119" s="296"/>
      <c r="O119" s="336"/>
      <c r="P119" s="244"/>
    </row>
    <row r="120" spans="1:16" ht="15.75" customHeight="1" x14ac:dyDescent="0.25">
      <c r="A120" s="244"/>
      <c r="B120" s="331"/>
      <c r="C120" s="312" t="s">
        <v>281</v>
      </c>
      <c r="D120" s="265">
        <v>224198</v>
      </c>
      <c r="E120" s="332">
        <f>D120/D$29</f>
        <v>1.0922255376196531E-2</v>
      </c>
      <c r="F120" s="296"/>
      <c r="G120" s="313"/>
      <c r="H120" s="296"/>
      <c r="I120" s="271"/>
      <c r="J120" s="265">
        <v>191411</v>
      </c>
      <c r="K120" s="332">
        <f>J120/J$29</f>
        <v>9.3794070634538734E-3</v>
      </c>
      <c r="L120" s="296"/>
      <c r="M120" s="313"/>
      <c r="N120" s="296"/>
      <c r="O120" s="271"/>
      <c r="P120" s="244"/>
    </row>
    <row r="121" spans="1:16" ht="15.75" customHeight="1" x14ac:dyDescent="0.25">
      <c r="A121" s="244"/>
      <c r="B121" s="346"/>
      <c r="C121" s="380"/>
      <c r="D121" s="276"/>
      <c r="E121" s="316"/>
      <c r="F121" s="317"/>
      <c r="G121" s="316"/>
      <c r="H121" s="317"/>
      <c r="I121" s="318"/>
      <c r="J121" s="276"/>
      <c r="K121" s="316"/>
      <c r="L121" s="317"/>
      <c r="M121" s="316"/>
      <c r="N121" s="317"/>
      <c r="O121" s="318"/>
      <c r="P121" s="244"/>
    </row>
    <row r="122" spans="1:16" ht="15.75" customHeight="1" x14ac:dyDescent="0.25">
      <c r="A122" s="244"/>
      <c r="B122" s="347"/>
      <c r="C122" s="374" t="s">
        <v>41</v>
      </c>
      <c r="D122" s="257">
        <f>SUM(D123:D125)</f>
        <v>8260</v>
      </c>
      <c r="E122" s="321">
        <f t="shared" ref="E122:E124" si="91">D122/D$29</f>
        <v>4.0240247195507252E-4</v>
      </c>
      <c r="F122" s="257">
        <f>SUM(F123:F125)</f>
        <v>0</v>
      </c>
      <c r="G122" s="321" t="e">
        <f t="shared" ref="G122:G123" si="92">F122/F$29</f>
        <v>#DIV/0!</v>
      </c>
      <c r="H122" s="257">
        <f>SUM(H123:H125)</f>
        <v>0</v>
      </c>
      <c r="I122" s="323">
        <f>H122/H$29</f>
        <v>0</v>
      </c>
      <c r="J122" s="257">
        <f>SUM(J123:J125)</f>
        <v>32384</v>
      </c>
      <c r="K122" s="321">
        <f t="shared" ref="K122:K124" si="93">J122/J$29</f>
        <v>1.5868613524974544E-3</v>
      </c>
      <c r="L122" s="257">
        <f>SUM(L123:L125)</f>
        <v>0</v>
      </c>
      <c r="M122" s="321" t="e">
        <f t="shared" ref="M122:M123" si="94">L122/L$29</f>
        <v>#DIV/0!</v>
      </c>
      <c r="N122" s="257">
        <f>SUM(N123:N125)</f>
        <v>0</v>
      </c>
      <c r="O122" s="323">
        <f>N122/N$29</f>
        <v>0</v>
      </c>
      <c r="P122" s="246"/>
    </row>
    <row r="123" spans="1:16" ht="15.75" customHeight="1" x14ac:dyDescent="0.25">
      <c r="A123" s="244"/>
      <c r="B123" s="371"/>
      <c r="C123" s="325" t="s">
        <v>282</v>
      </c>
      <c r="D123" s="261"/>
      <c r="E123" s="326">
        <f t="shared" si="91"/>
        <v>0</v>
      </c>
      <c r="F123" s="327"/>
      <c r="G123" s="326" t="e">
        <f t="shared" si="92"/>
        <v>#DIV/0!</v>
      </c>
      <c r="H123" s="327"/>
      <c r="I123" s="330" t="str">
        <f>IFERROR((H123/F123),"")</f>
        <v/>
      </c>
      <c r="J123" s="261"/>
      <c r="K123" s="326">
        <f t="shared" si="93"/>
        <v>0</v>
      </c>
      <c r="L123" s="327"/>
      <c r="M123" s="326" t="e">
        <f t="shared" si="94"/>
        <v>#DIV/0!</v>
      </c>
      <c r="N123" s="327"/>
      <c r="O123" s="330" t="str">
        <f>IFERROR((N123/L123),"")</f>
        <v/>
      </c>
      <c r="P123" s="244"/>
    </row>
    <row r="124" spans="1:16" ht="15.75" customHeight="1" x14ac:dyDescent="0.25">
      <c r="A124" s="244"/>
      <c r="B124" s="346"/>
      <c r="C124" s="315" t="s">
        <v>41</v>
      </c>
      <c r="D124" s="276">
        <v>8260</v>
      </c>
      <c r="E124" s="326">
        <f t="shared" si="91"/>
        <v>4.0240247195507252E-4</v>
      </c>
      <c r="F124" s="317"/>
      <c r="G124" s="337"/>
      <c r="H124" s="317"/>
      <c r="I124" s="338"/>
      <c r="J124" s="276">
        <v>32384</v>
      </c>
      <c r="K124" s="326">
        <f t="shared" si="93"/>
        <v>1.5868613524974544E-3</v>
      </c>
      <c r="L124" s="317"/>
      <c r="M124" s="337"/>
      <c r="N124" s="317"/>
      <c r="O124" s="338"/>
      <c r="P124" s="244"/>
    </row>
    <row r="125" spans="1:16" ht="15.75" customHeight="1" x14ac:dyDescent="0.25">
      <c r="A125" s="244"/>
      <c r="B125" s="346"/>
      <c r="C125" s="315"/>
      <c r="D125" s="276"/>
      <c r="E125" s="316"/>
      <c r="F125" s="317"/>
      <c r="G125" s="316"/>
      <c r="H125" s="317"/>
      <c r="I125" s="338" t="str">
        <f>IFERROR((H125/F125),"")</f>
        <v/>
      </c>
      <c r="J125" s="276"/>
      <c r="K125" s="316"/>
      <c r="L125" s="317"/>
      <c r="M125" s="316"/>
      <c r="N125" s="317"/>
      <c r="O125" s="338" t="str">
        <f>IFERROR((N125/L125),"")</f>
        <v/>
      </c>
      <c r="P125" s="244"/>
    </row>
    <row r="126" spans="1:16" ht="15.75" customHeight="1" x14ac:dyDescent="0.25">
      <c r="A126" s="244"/>
      <c r="B126" s="347"/>
      <c r="C126" s="374" t="s">
        <v>42</v>
      </c>
      <c r="D126" s="257">
        <f>SUM(D127)</f>
        <v>0</v>
      </c>
      <c r="E126" s="321">
        <f t="shared" ref="E126:E127" si="95">D126/D$29</f>
        <v>0</v>
      </c>
      <c r="F126" s="322">
        <f>SUM(F127)</f>
        <v>0</v>
      </c>
      <c r="G126" s="321" t="e">
        <f>F126/F$29</f>
        <v>#DIV/0!</v>
      </c>
      <c r="H126" s="322">
        <f>SUM(H127)</f>
        <v>0</v>
      </c>
      <c r="I126" s="323">
        <f>H126/H$29</f>
        <v>0</v>
      </c>
      <c r="J126" s="257">
        <f>SUM(J127)</f>
        <v>0</v>
      </c>
      <c r="K126" s="321">
        <f t="shared" ref="K126:K127" si="96">J126/J$29</f>
        <v>0</v>
      </c>
      <c r="L126" s="322">
        <f>SUM(L127)</f>
        <v>0</v>
      </c>
      <c r="M126" s="321" t="e">
        <f>L126/L$29</f>
        <v>#DIV/0!</v>
      </c>
      <c r="N126" s="322">
        <f>SUM(N127)</f>
        <v>0</v>
      </c>
      <c r="O126" s="323">
        <f>N126/N$29</f>
        <v>0</v>
      </c>
      <c r="P126" s="246"/>
    </row>
    <row r="127" spans="1:16" ht="15.75" customHeight="1" x14ac:dyDescent="0.25">
      <c r="A127" s="244"/>
      <c r="B127" s="371"/>
      <c r="C127" s="325" t="s">
        <v>283</v>
      </c>
      <c r="D127" s="261">
        <v>0</v>
      </c>
      <c r="E127" s="326">
        <f t="shared" si="95"/>
        <v>0</v>
      </c>
      <c r="F127" s="327"/>
      <c r="G127" s="372"/>
      <c r="H127" s="327"/>
      <c r="I127" s="330" t="str">
        <f>IFERROR((H127/F127),"")</f>
        <v/>
      </c>
      <c r="J127" s="261">
        <v>0</v>
      </c>
      <c r="K127" s="326">
        <f t="shared" si="96"/>
        <v>0</v>
      </c>
      <c r="L127" s="327"/>
      <c r="M127" s="372"/>
      <c r="N127" s="327"/>
      <c r="O127" s="330" t="str">
        <f>IFERROR((N127/L127),"")</f>
        <v/>
      </c>
      <c r="P127" s="244"/>
    </row>
    <row r="128" spans="1:16" ht="15.75" customHeight="1" x14ac:dyDescent="0.25">
      <c r="A128" s="244"/>
      <c r="B128" s="331"/>
      <c r="C128" s="312"/>
      <c r="D128" s="265"/>
      <c r="E128" s="313"/>
      <c r="F128" s="296"/>
      <c r="G128" s="313"/>
      <c r="H128" s="296"/>
      <c r="I128" s="271"/>
      <c r="J128" s="265"/>
      <c r="K128" s="313"/>
      <c r="L128" s="296"/>
      <c r="M128" s="313"/>
      <c r="N128" s="296"/>
      <c r="O128" s="271"/>
      <c r="P128" s="244"/>
    </row>
    <row r="129" spans="1:16" ht="15.75" customHeight="1" x14ac:dyDescent="0.25">
      <c r="A129" s="244"/>
      <c r="B129" s="346"/>
      <c r="C129" s="315"/>
      <c r="D129" s="276"/>
      <c r="E129" s="316"/>
      <c r="F129" s="317"/>
      <c r="G129" s="316"/>
      <c r="H129" s="317"/>
      <c r="I129" s="318"/>
      <c r="J129" s="276"/>
      <c r="K129" s="316"/>
      <c r="L129" s="317"/>
      <c r="M129" s="316"/>
      <c r="N129" s="317"/>
      <c r="O129" s="318"/>
      <c r="P129" s="244"/>
    </row>
    <row r="130" spans="1:16" ht="15.75" customHeight="1" x14ac:dyDescent="0.25">
      <c r="A130" s="244"/>
      <c r="B130" s="347"/>
      <c r="C130" s="320" t="s">
        <v>257</v>
      </c>
      <c r="D130" s="257">
        <f>D51+D60+D69+D75+D81+D92+D95+D99+D122+D126+D106+D112+D114+D116+D118+D120</f>
        <v>9675194.4366666693</v>
      </c>
      <c r="E130" s="321">
        <f>D130/D$29</f>
        <v>0.47134650822767954</v>
      </c>
      <c r="F130" s="257">
        <f>F51+F60+F69+F75+F81+F92+F95+F99+F122+F126+F106+F112+F114+F116+F118+F120</f>
        <v>2298510.5</v>
      </c>
      <c r="G130" s="321" t="e">
        <f>F130/F$29</f>
        <v>#DIV/0!</v>
      </c>
      <c r="H130" s="257">
        <f>H51+H60+H69+H75+H81+H92+H95+H99+H122+H126+H106</f>
        <v>8669935.7633333337</v>
      </c>
      <c r="I130" s="323">
        <f>IFERROR((H130/F130),"")</f>
        <v>3.7719800554895588</v>
      </c>
      <c r="J130" s="257">
        <f>J51+J60+J69+J75+J81+J92+J95+J99+J122+J126+J106+J112+J114+J116+J118+J120</f>
        <v>9198912.3566666655</v>
      </c>
      <c r="K130" s="321">
        <f>J130/J$29</f>
        <v>0.45075958818569695</v>
      </c>
      <c r="L130" s="257">
        <f>L51+L60+L69+L75+L81+L92+L95+L99+L122+L126+L106+L112+L114+L116+L118+L120</f>
        <v>0</v>
      </c>
      <c r="M130" s="321" t="e">
        <f>L130/L$29</f>
        <v>#DIV/0!</v>
      </c>
      <c r="N130" s="257">
        <f>N51+N60+N69+N75+N81+N92+N95+N99+N122+N126+N106</f>
        <v>7562664.416666667</v>
      </c>
      <c r="O130" s="323" t="str">
        <f>IFERROR((N130/L130),"")</f>
        <v/>
      </c>
      <c r="P130" s="244"/>
    </row>
    <row r="131" spans="1:16" ht="15.75" customHeight="1" x14ac:dyDescent="0.25">
      <c r="A131" s="244"/>
      <c r="B131" s="354"/>
      <c r="C131" s="355"/>
      <c r="D131" s="294"/>
      <c r="E131" s="381"/>
      <c r="F131" s="357"/>
      <c r="G131" s="381"/>
      <c r="H131" s="357"/>
      <c r="I131" s="253"/>
      <c r="J131" s="294"/>
      <c r="K131" s="381"/>
      <c r="L131" s="357"/>
      <c r="M131" s="381"/>
      <c r="N131" s="357"/>
      <c r="O131" s="253"/>
      <c r="P131" s="244"/>
    </row>
    <row r="132" spans="1:16" ht="15.75" customHeight="1" x14ac:dyDescent="0.25">
      <c r="A132" s="244"/>
      <c r="B132" s="347"/>
      <c r="C132" s="320" t="s">
        <v>258</v>
      </c>
      <c r="D132" s="257">
        <f>D42-D130</f>
        <v>3740422.0555803739</v>
      </c>
      <c r="E132" s="321">
        <f>D132/D$29</f>
        <v>0.18222216480881551</v>
      </c>
      <c r="F132" s="257">
        <f>F42-F130</f>
        <v>-2298510.5</v>
      </c>
      <c r="G132" s="321" t="e">
        <f>F132/F$29</f>
        <v>#DIV/0!</v>
      </c>
      <c r="H132" s="257">
        <f>H42-H130</f>
        <v>4745680.7289137095</v>
      </c>
      <c r="I132" s="323">
        <f>IFERROR((H132/F132),"")</f>
        <v>-2.064676549841173</v>
      </c>
      <c r="J132" s="257">
        <f>J42-J130</f>
        <v>3953343.4698308688</v>
      </c>
      <c r="K132" s="321">
        <f>J132/J$29</f>
        <v>0.19371936652120775</v>
      </c>
      <c r="L132" s="257">
        <f>L42-L130</f>
        <v>0</v>
      </c>
      <c r="M132" s="321" t="e">
        <f>L132/L$29</f>
        <v>#DIV/0!</v>
      </c>
      <c r="N132" s="257">
        <f>N42-N130</f>
        <v>5589591.4098308673</v>
      </c>
      <c r="O132" s="323" t="str">
        <f>IFERROR((N132/L132),"")</f>
        <v/>
      </c>
      <c r="P132" s="244"/>
    </row>
    <row r="133" spans="1:16" ht="15.75" customHeight="1" x14ac:dyDescent="0.25">
      <c r="A133" s="244"/>
      <c r="B133" s="244"/>
      <c r="C133" s="244"/>
      <c r="D133" s="303"/>
      <c r="E133" s="244"/>
      <c r="F133" s="303"/>
      <c r="G133" s="244"/>
      <c r="H133" s="303"/>
      <c r="I133" s="244"/>
      <c r="J133" s="303"/>
      <c r="K133" s="244"/>
      <c r="L133" s="303"/>
      <c r="M133" s="244"/>
      <c r="N133" s="303"/>
      <c r="O133" s="244"/>
      <c r="P133" s="244"/>
    </row>
    <row r="134" spans="1:16" ht="15.75" customHeight="1" x14ac:dyDescent="0.25">
      <c r="A134" s="244"/>
      <c r="B134" s="244"/>
      <c r="C134" s="244"/>
      <c r="D134" s="382"/>
      <c r="E134" s="244"/>
      <c r="F134" s="303"/>
      <c r="G134" s="244"/>
      <c r="H134" s="303"/>
      <c r="I134" s="244"/>
      <c r="J134" s="382"/>
      <c r="K134" s="244"/>
      <c r="L134" s="303"/>
      <c r="M134" s="244"/>
      <c r="N134" s="303"/>
      <c r="O134" s="244"/>
      <c r="P134" s="244"/>
    </row>
    <row r="135" spans="1:16" ht="15.75" customHeight="1" x14ac:dyDescent="0.25">
      <c r="A135" s="244"/>
      <c r="B135" s="244"/>
      <c r="C135" s="244"/>
      <c r="D135" s="303"/>
      <c r="E135" s="244"/>
      <c r="F135" s="303"/>
      <c r="G135" s="244"/>
      <c r="H135" s="303"/>
      <c r="I135" s="244"/>
      <c r="J135" s="303"/>
      <c r="K135" s="244"/>
      <c r="L135" s="303"/>
      <c r="M135" s="244"/>
      <c r="N135" s="303"/>
      <c r="O135" s="244"/>
      <c r="P135" s="244"/>
    </row>
    <row r="136" spans="1:16" ht="15.75" customHeight="1" x14ac:dyDescent="0.25">
      <c r="A136" s="244"/>
      <c r="B136" s="244"/>
      <c r="C136" s="244"/>
      <c r="D136" s="303"/>
      <c r="E136" s="244"/>
      <c r="F136" s="303"/>
      <c r="G136" s="244"/>
      <c r="H136" s="303"/>
      <c r="I136" s="244"/>
      <c r="J136" s="303"/>
      <c r="K136" s="244"/>
      <c r="L136" s="303"/>
      <c r="M136" s="244"/>
      <c r="N136" s="303"/>
      <c r="O136" s="244"/>
      <c r="P136" s="244"/>
    </row>
    <row r="137" spans="1:16" ht="15.75" customHeight="1" x14ac:dyDescent="0.25">
      <c r="A137" s="244"/>
      <c r="B137" s="244"/>
      <c r="C137" s="244"/>
      <c r="D137" s="303"/>
      <c r="E137" s="244"/>
      <c r="F137" s="303"/>
      <c r="G137" s="244"/>
      <c r="H137" s="303"/>
      <c r="I137" s="244"/>
      <c r="J137" s="303"/>
      <c r="K137" s="244"/>
      <c r="L137" s="303"/>
      <c r="M137" s="244"/>
      <c r="N137" s="303"/>
      <c r="O137" s="244"/>
      <c r="P137" s="244"/>
    </row>
    <row r="138" spans="1:16" ht="15.75" customHeight="1" x14ac:dyDescent="0.25">
      <c r="A138" s="244"/>
      <c r="B138" s="244"/>
      <c r="C138" s="244"/>
      <c r="D138" s="303"/>
      <c r="E138" s="244"/>
      <c r="F138" s="303"/>
      <c r="G138" s="244"/>
      <c r="H138" s="303"/>
      <c r="I138" s="244"/>
      <c r="J138" s="303"/>
      <c r="K138" s="244"/>
      <c r="L138" s="303"/>
      <c r="M138" s="244"/>
      <c r="N138" s="303"/>
      <c r="O138" s="244"/>
      <c r="P138" s="244"/>
    </row>
    <row r="139" spans="1:16" ht="15.75" customHeight="1" x14ac:dyDescent="0.25">
      <c r="A139" s="244"/>
      <c r="B139" s="244"/>
      <c r="C139" s="244"/>
      <c r="D139" s="303"/>
      <c r="E139" s="244"/>
      <c r="F139" s="303"/>
      <c r="G139" s="244"/>
      <c r="H139" s="303"/>
      <c r="I139" s="244"/>
      <c r="J139" s="303"/>
      <c r="K139" s="244"/>
      <c r="L139" s="303"/>
      <c r="M139" s="244"/>
      <c r="N139" s="303"/>
      <c r="O139" s="244"/>
      <c r="P139" s="244"/>
    </row>
    <row r="140" spans="1:16" ht="15.75" customHeight="1" x14ac:dyDescent="0.25">
      <c r="A140" s="244"/>
      <c r="B140" s="244"/>
      <c r="C140" s="244"/>
      <c r="D140" s="303"/>
      <c r="E140" s="244"/>
      <c r="F140" s="303"/>
      <c r="G140" s="244"/>
      <c r="H140" s="303"/>
      <c r="I140" s="244"/>
      <c r="J140" s="303"/>
      <c r="K140" s="244"/>
      <c r="L140" s="303"/>
      <c r="M140" s="244"/>
      <c r="N140" s="303"/>
      <c r="O140" s="244"/>
      <c r="P140" s="244"/>
    </row>
    <row r="141" spans="1:16" ht="15.75" customHeight="1" x14ac:dyDescent="0.25">
      <c r="A141" s="244"/>
      <c r="B141" s="244"/>
      <c r="C141" s="244"/>
      <c r="D141" s="303"/>
      <c r="E141" s="244"/>
      <c r="F141" s="303"/>
      <c r="G141" s="244"/>
      <c r="H141" s="303"/>
      <c r="I141" s="244"/>
      <c r="J141" s="303"/>
      <c r="K141" s="244"/>
      <c r="L141" s="303"/>
      <c r="M141" s="244"/>
      <c r="N141" s="303"/>
      <c r="O141" s="244"/>
      <c r="P141" s="244"/>
    </row>
    <row r="142" spans="1:16" ht="15.75" customHeight="1" x14ac:dyDescent="0.25">
      <c r="A142" s="244"/>
      <c r="B142" s="244"/>
      <c r="C142" s="244"/>
      <c r="D142" s="303"/>
      <c r="E142" s="244"/>
      <c r="F142" s="303"/>
      <c r="G142" s="244"/>
      <c r="H142" s="303"/>
      <c r="I142" s="244"/>
      <c r="J142" s="303"/>
      <c r="K142" s="244"/>
      <c r="L142" s="303"/>
      <c r="M142" s="244"/>
      <c r="N142" s="303"/>
      <c r="O142" s="244"/>
      <c r="P142" s="244"/>
    </row>
    <row r="143" spans="1:16" ht="15.75" customHeight="1" x14ac:dyDescent="0.25">
      <c r="A143" s="244"/>
      <c r="B143" s="244"/>
      <c r="C143" s="244"/>
      <c r="D143" s="303"/>
      <c r="E143" s="244"/>
      <c r="F143" s="303"/>
      <c r="G143" s="244"/>
      <c r="H143" s="303"/>
      <c r="I143" s="244"/>
      <c r="J143" s="303"/>
      <c r="K143" s="244"/>
      <c r="L143" s="303"/>
      <c r="M143" s="244"/>
      <c r="N143" s="303"/>
      <c r="O143" s="244"/>
      <c r="P143" s="244"/>
    </row>
    <row r="144" spans="1:16" ht="15.75" customHeight="1" x14ac:dyDescent="0.25">
      <c r="A144" s="244"/>
      <c r="B144" s="244"/>
      <c r="C144" s="244"/>
      <c r="D144" s="303"/>
      <c r="E144" s="244"/>
      <c r="F144" s="303"/>
      <c r="G144" s="244"/>
      <c r="H144" s="303"/>
      <c r="I144" s="244"/>
      <c r="J144" s="303"/>
      <c r="K144" s="244"/>
      <c r="L144" s="303"/>
      <c r="M144" s="244"/>
      <c r="N144" s="303"/>
      <c r="O144" s="244"/>
      <c r="P144" s="244"/>
    </row>
    <row r="145" spans="1:16" ht="15.75" customHeight="1" x14ac:dyDescent="0.25">
      <c r="A145" s="244"/>
      <c r="B145" s="244"/>
      <c r="C145" s="244"/>
      <c r="D145" s="303"/>
      <c r="E145" s="244"/>
      <c r="F145" s="303"/>
      <c r="G145" s="244"/>
      <c r="H145" s="303"/>
      <c r="I145" s="244"/>
      <c r="J145" s="303"/>
      <c r="K145" s="244"/>
      <c r="L145" s="303"/>
      <c r="M145" s="244"/>
      <c r="N145" s="303"/>
      <c r="O145" s="244"/>
      <c r="P145" s="244"/>
    </row>
    <row r="146" spans="1:16" ht="15.75" customHeight="1" x14ac:dyDescent="0.25">
      <c r="A146" s="244"/>
      <c r="B146" s="244"/>
      <c r="C146" s="244"/>
      <c r="D146" s="303"/>
      <c r="E146" s="244"/>
      <c r="F146" s="303"/>
      <c r="G146" s="244"/>
      <c r="H146" s="303"/>
      <c r="I146" s="244"/>
      <c r="J146" s="303"/>
      <c r="K146" s="244"/>
      <c r="L146" s="303"/>
      <c r="M146" s="244"/>
      <c r="N146" s="303"/>
      <c r="O146" s="244"/>
      <c r="P146" s="244"/>
    </row>
    <row r="147" spans="1:16" ht="15.75" customHeight="1" x14ac:dyDescent="0.25">
      <c r="A147" s="244"/>
      <c r="B147" s="244"/>
      <c r="C147" s="244"/>
      <c r="D147" s="303"/>
      <c r="E147" s="244"/>
      <c r="F147" s="303"/>
      <c r="G147" s="244"/>
      <c r="H147" s="303"/>
      <c r="I147" s="244"/>
      <c r="J147" s="303"/>
      <c r="K147" s="244"/>
      <c r="L147" s="303"/>
      <c r="M147" s="244"/>
      <c r="N147" s="303"/>
      <c r="O147" s="244"/>
      <c r="P147" s="244"/>
    </row>
    <row r="148" spans="1:16" ht="15.75" customHeight="1" x14ac:dyDescent="0.25">
      <c r="A148" s="244"/>
      <c r="B148" s="244"/>
      <c r="C148" s="244"/>
      <c r="D148" s="303"/>
      <c r="E148" s="244"/>
      <c r="F148" s="303"/>
      <c r="G148" s="244"/>
      <c r="H148" s="303"/>
      <c r="I148" s="244"/>
      <c r="J148" s="303"/>
      <c r="K148" s="244"/>
      <c r="L148" s="303"/>
      <c r="M148" s="244"/>
      <c r="N148" s="303"/>
      <c r="O148" s="244"/>
      <c r="P148" s="244"/>
    </row>
    <row r="149" spans="1:16" ht="15.75" customHeight="1" x14ac:dyDescent="0.25">
      <c r="A149" s="244"/>
      <c r="B149" s="244"/>
      <c r="C149" s="244"/>
      <c r="D149" s="303"/>
      <c r="E149" s="244"/>
      <c r="F149" s="303"/>
      <c r="G149" s="244"/>
      <c r="H149" s="303"/>
      <c r="I149" s="244"/>
      <c r="J149" s="303"/>
      <c r="K149" s="244"/>
      <c r="L149" s="303"/>
      <c r="M149" s="244"/>
      <c r="N149" s="303"/>
      <c r="O149" s="244"/>
      <c r="P149" s="244"/>
    </row>
    <row r="150" spans="1:16" ht="15.75" customHeight="1" x14ac:dyDescent="0.25">
      <c r="A150" s="244"/>
      <c r="B150" s="244"/>
      <c r="C150" s="244"/>
      <c r="D150" s="303"/>
      <c r="E150" s="244"/>
      <c r="F150" s="303"/>
      <c r="G150" s="244"/>
      <c r="H150" s="303"/>
      <c r="I150" s="244"/>
      <c r="J150" s="303"/>
      <c r="K150" s="244"/>
      <c r="L150" s="303"/>
      <c r="M150" s="244"/>
      <c r="N150" s="303"/>
      <c r="O150" s="244"/>
      <c r="P150" s="244"/>
    </row>
    <row r="151" spans="1:16" ht="15.75" customHeight="1" x14ac:dyDescent="0.25">
      <c r="A151" s="244"/>
      <c r="B151" s="244"/>
      <c r="C151" s="244"/>
      <c r="D151" s="303"/>
      <c r="E151" s="244"/>
      <c r="F151" s="303"/>
      <c r="G151" s="244"/>
      <c r="H151" s="303"/>
      <c r="I151" s="244"/>
      <c r="J151" s="303"/>
      <c r="K151" s="244"/>
      <c r="L151" s="303"/>
      <c r="M151" s="244"/>
      <c r="N151" s="303"/>
      <c r="O151" s="244"/>
      <c r="P151" s="244"/>
    </row>
    <row r="152" spans="1:16" ht="15.75" customHeight="1" x14ac:dyDescent="0.25">
      <c r="A152" s="244"/>
      <c r="B152" s="244"/>
      <c r="C152" s="244"/>
      <c r="D152" s="303"/>
      <c r="E152" s="244"/>
      <c r="F152" s="303"/>
      <c r="G152" s="244"/>
      <c r="H152" s="303"/>
      <c r="I152" s="244"/>
      <c r="J152" s="303"/>
      <c r="K152" s="244"/>
      <c r="L152" s="303"/>
      <c r="M152" s="244"/>
      <c r="N152" s="303"/>
      <c r="O152" s="244"/>
      <c r="P152" s="244"/>
    </row>
    <row r="153" spans="1:16" ht="15.75" customHeight="1" x14ac:dyDescent="0.25">
      <c r="A153" s="244"/>
      <c r="B153" s="244"/>
      <c r="C153" s="244"/>
      <c r="D153" s="303"/>
      <c r="E153" s="244"/>
      <c r="F153" s="303"/>
      <c r="G153" s="244"/>
      <c r="H153" s="303"/>
      <c r="I153" s="244"/>
      <c r="J153" s="303"/>
      <c r="K153" s="244"/>
      <c r="L153" s="303"/>
      <c r="M153" s="244"/>
      <c r="N153" s="303"/>
      <c r="O153" s="244"/>
      <c r="P153" s="244"/>
    </row>
    <row r="154" spans="1:16" ht="15.75" customHeight="1" x14ac:dyDescent="0.25">
      <c r="A154" s="244"/>
      <c r="B154" s="244"/>
      <c r="C154" s="244"/>
      <c r="D154" s="303"/>
      <c r="E154" s="244"/>
      <c r="F154" s="303"/>
      <c r="G154" s="244"/>
      <c r="H154" s="303"/>
      <c r="I154" s="244"/>
      <c r="J154" s="303"/>
      <c r="K154" s="244"/>
      <c r="L154" s="303"/>
      <c r="M154" s="244"/>
      <c r="N154" s="303"/>
      <c r="O154" s="244"/>
      <c r="P154" s="244"/>
    </row>
    <row r="155" spans="1:16" ht="15.75" customHeight="1" x14ac:dyDescent="0.25">
      <c r="A155" s="244"/>
      <c r="B155" s="244"/>
      <c r="C155" s="244"/>
      <c r="D155" s="303"/>
      <c r="E155" s="244"/>
      <c r="F155" s="303"/>
      <c r="G155" s="244"/>
      <c r="H155" s="303"/>
      <c r="I155" s="244"/>
      <c r="J155" s="303"/>
      <c r="K155" s="244"/>
      <c r="L155" s="303"/>
      <c r="M155" s="244"/>
      <c r="N155" s="303"/>
      <c r="O155" s="244"/>
      <c r="P155" s="244"/>
    </row>
    <row r="156" spans="1:16" ht="15.75" customHeight="1" x14ac:dyDescent="0.25">
      <c r="A156" s="244"/>
      <c r="B156" s="244"/>
      <c r="C156" s="244"/>
      <c r="D156" s="303"/>
      <c r="E156" s="244"/>
      <c r="F156" s="303"/>
      <c r="G156" s="244"/>
      <c r="H156" s="303"/>
      <c r="I156" s="244"/>
      <c r="J156" s="303"/>
      <c r="K156" s="244"/>
      <c r="L156" s="303"/>
      <c r="M156" s="244"/>
      <c r="N156" s="303"/>
      <c r="O156" s="244"/>
      <c r="P156" s="244"/>
    </row>
    <row r="157" spans="1:16" ht="15.75" customHeight="1" x14ac:dyDescent="0.25">
      <c r="A157" s="244"/>
      <c r="B157" s="244"/>
      <c r="C157" s="244"/>
      <c r="D157" s="303"/>
      <c r="E157" s="244"/>
      <c r="F157" s="303"/>
      <c r="G157" s="244"/>
      <c r="H157" s="303"/>
      <c r="I157" s="244"/>
      <c r="J157" s="303"/>
      <c r="K157" s="244"/>
      <c r="L157" s="303"/>
      <c r="M157" s="244"/>
      <c r="N157" s="303"/>
      <c r="O157" s="244"/>
      <c r="P157" s="244"/>
    </row>
    <row r="158" spans="1:16" ht="15.75" customHeight="1" x14ac:dyDescent="0.25">
      <c r="A158" s="244"/>
      <c r="B158" s="244"/>
      <c r="C158" s="244"/>
      <c r="D158" s="303"/>
      <c r="E158" s="244"/>
      <c r="F158" s="303"/>
      <c r="G158" s="244"/>
      <c r="H158" s="303"/>
      <c r="I158" s="244"/>
      <c r="J158" s="303"/>
      <c r="K158" s="244"/>
      <c r="L158" s="303"/>
      <c r="M158" s="244"/>
      <c r="N158" s="303"/>
      <c r="O158" s="244"/>
      <c r="P158" s="244"/>
    </row>
    <row r="159" spans="1:16" ht="15.75" customHeight="1" x14ac:dyDescent="0.25">
      <c r="A159" s="244"/>
      <c r="B159" s="244"/>
      <c r="C159" s="244"/>
      <c r="D159" s="303"/>
      <c r="E159" s="244"/>
      <c r="F159" s="303"/>
      <c r="G159" s="244"/>
      <c r="H159" s="303"/>
      <c r="I159" s="244"/>
      <c r="J159" s="303"/>
      <c r="K159" s="244"/>
      <c r="L159" s="303"/>
      <c r="M159" s="244"/>
      <c r="N159" s="303"/>
      <c r="O159" s="244"/>
      <c r="P159" s="244"/>
    </row>
    <row r="160" spans="1:16" ht="15.75" customHeight="1" x14ac:dyDescent="0.25">
      <c r="A160" s="244"/>
      <c r="B160" s="244"/>
      <c r="C160" s="244"/>
      <c r="D160" s="303"/>
      <c r="E160" s="244"/>
      <c r="F160" s="303"/>
      <c r="G160" s="244"/>
      <c r="H160" s="303"/>
      <c r="I160" s="244"/>
      <c r="J160" s="303"/>
      <c r="K160" s="244"/>
      <c r="L160" s="303"/>
      <c r="M160" s="244"/>
      <c r="N160" s="303"/>
      <c r="O160" s="244"/>
      <c r="P160" s="244"/>
    </row>
    <row r="161" spans="1:16" ht="15.75" customHeight="1" x14ac:dyDescent="0.25">
      <c r="A161" s="244"/>
      <c r="B161" s="244"/>
      <c r="C161" s="244"/>
      <c r="D161" s="303"/>
      <c r="E161" s="244"/>
      <c r="F161" s="303"/>
      <c r="G161" s="244"/>
      <c r="H161" s="303"/>
      <c r="I161" s="244"/>
      <c r="J161" s="303"/>
      <c r="K161" s="244"/>
      <c r="L161" s="303"/>
      <c r="M161" s="244"/>
      <c r="N161" s="303"/>
      <c r="O161" s="244"/>
      <c r="P161" s="244"/>
    </row>
    <row r="162" spans="1:16" ht="15.75" customHeight="1" x14ac:dyDescent="0.25">
      <c r="A162" s="244"/>
      <c r="B162" s="244"/>
      <c r="C162" s="244"/>
      <c r="D162" s="303"/>
      <c r="E162" s="244"/>
      <c r="F162" s="303"/>
      <c r="G162" s="244"/>
      <c r="H162" s="303"/>
      <c r="I162" s="244"/>
      <c r="J162" s="303"/>
      <c r="K162" s="244"/>
      <c r="L162" s="303"/>
      <c r="M162" s="244"/>
      <c r="N162" s="303"/>
      <c r="O162" s="244"/>
      <c r="P162" s="244"/>
    </row>
    <row r="163" spans="1:16" ht="15.75" customHeight="1" x14ac:dyDescent="0.25">
      <c r="A163" s="244"/>
      <c r="B163" s="244"/>
      <c r="C163" s="244"/>
      <c r="D163" s="303"/>
      <c r="E163" s="244"/>
      <c r="F163" s="303"/>
      <c r="G163" s="244"/>
      <c r="H163" s="303"/>
      <c r="I163" s="244"/>
      <c r="J163" s="303"/>
      <c r="K163" s="244"/>
      <c r="L163" s="303"/>
      <c r="M163" s="244"/>
      <c r="N163" s="303"/>
      <c r="O163" s="244"/>
      <c r="P163" s="244"/>
    </row>
    <row r="164" spans="1:16" ht="15.75" customHeight="1" x14ac:dyDescent="0.25">
      <c r="A164" s="244"/>
      <c r="B164" s="244"/>
      <c r="C164" s="244"/>
      <c r="D164" s="303"/>
      <c r="E164" s="244"/>
      <c r="F164" s="303"/>
      <c r="G164" s="244"/>
      <c r="H164" s="303"/>
      <c r="I164" s="244"/>
      <c r="J164" s="303"/>
      <c r="K164" s="244"/>
      <c r="L164" s="303"/>
      <c r="M164" s="244"/>
      <c r="N164" s="303"/>
      <c r="O164" s="244"/>
      <c r="P164" s="244"/>
    </row>
    <row r="165" spans="1:16" ht="15.75" customHeight="1" x14ac:dyDescent="0.25">
      <c r="A165" s="244"/>
      <c r="B165" s="244"/>
      <c r="C165" s="244"/>
      <c r="D165" s="303"/>
      <c r="E165" s="244"/>
      <c r="F165" s="303"/>
      <c r="G165" s="244"/>
      <c r="H165" s="303"/>
      <c r="I165" s="244"/>
      <c r="J165" s="303"/>
      <c r="K165" s="244"/>
      <c r="L165" s="303"/>
      <c r="M165" s="244"/>
      <c r="N165" s="303"/>
      <c r="O165" s="244"/>
      <c r="P165" s="244"/>
    </row>
    <row r="166" spans="1:16" ht="15.75" customHeight="1" x14ac:dyDescent="0.25">
      <c r="A166" s="244"/>
      <c r="B166" s="244"/>
      <c r="C166" s="244"/>
      <c r="D166" s="303"/>
      <c r="E166" s="244"/>
      <c r="F166" s="303"/>
      <c r="G166" s="244"/>
      <c r="H166" s="303"/>
      <c r="I166" s="244"/>
      <c r="J166" s="303"/>
      <c r="K166" s="244"/>
      <c r="L166" s="303"/>
      <c r="M166" s="244"/>
      <c r="N166" s="303"/>
      <c r="O166" s="244"/>
      <c r="P166" s="244"/>
    </row>
    <row r="167" spans="1:16" ht="15.75" customHeight="1" x14ac:dyDescent="0.25">
      <c r="A167" s="244"/>
      <c r="B167" s="244"/>
      <c r="C167" s="244"/>
      <c r="D167" s="303"/>
      <c r="E167" s="244"/>
      <c r="F167" s="303"/>
      <c r="G167" s="244"/>
      <c r="H167" s="303"/>
      <c r="I167" s="244"/>
      <c r="J167" s="303"/>
      <c r="K167" s="244"/>
      <c r="L167" s="303"/>
      <c r="M167" s="244"/>
      <c r="N167" s="303"/>
      <c r="O167" s="244"/>
      <c r="P167" s="244"/>
    </row>
    <row r="168" spans="1:16" ht="15.75" customHeight="1" x14ac:dyDescent="0.25">
      <c r="A168" s="244"/>
      <c r="B168" s="244"/>
      <c r="C168" s="244"/>
      <c r="D168" s="303"/>
      <c r="E168" s="244"/>
      <c r="F168" s="303"/>
      <c r="G168" s="244"/>
      <c r="H168" s="303"/>
      <c r="I168" s="244"/>
      <c r="J168" s="303"/>
      <c r="K168" s="244"/>
      <c r="L168" s="303"/>
      <c r="M168" s="244"/>
      <c r="N168" s="303"/>
      <c r="O168" s="244"/>
      <c r="P168" s="244"/>
    </row>
    <row r="169" spans="1:16" ht="15.75" customHeight="1" x14ac:dyDescent="0.25">
      <c r="A169" s="244"/>
      <c r="B169" s="244"/>
      <c r="C169" s="244"/>
      <c r="D169" s="303"/>
      <c r="E169" s="244"/>
      <c r="F169" s="303"/>
      <c r="G169" s="244"/>
      <c r="H169" s="303"/>
      <c r="I169" s="244"/>
      <c r="J169" s="303"/>
      <c r="K169" s="244"/>
      <c r="L169" s="303"/>
      <c r="M169" s="244"/>
      <c r="N169" s="303"/>
      <c r="O169" s="244"/>
      <c r="P169" s="244"/>
    </row>
    <row r="170" spans="1:16" ht="15.75" customHeight="1" x14ac:dyDescent="0.25">
      <c r="A170" s="244"/>
      <c r="B170" s="244"/>
      <c r="C170" s="244"/>
      <c r="D170" s="303"/>
      <c r="E170" s="244"/>
      <c r="F170" s="303"/>
      <c r="G170" s="244"/>
      <c r="H170" s="303"/>
      <c r="I170" s="244"/>
      <c r="J170" s="303"/>
      <c r="K170" s="244"/>
      <c r="L170" s="303"/>
      <c r="M170" s="244"/>
      <c r="N170" s="303"/>
      <c r="O170" s="244"/>
      <c r="P170" s="244"/>
    </row>
    <row r="171" spans="1:16" ht="15.75" customHeight="1" x14ac:dyDescent="0.25">
      <c r="A171" s="244"/>
      <c r="B171" s="244"/>
      <c r="C171" s="244"/>
      <c r="D171" s="303"/>
      <c r="E171" s="244"/>
      <c r="F171" s="303"/>
      <c r="G171" s="244"/>
      <c r="H171" s="303"/>
      <c r="I171" s="244"/>
      <c r="J171" s="303"/>
      <c r="K171" s="244"/>
      <c r="L171" s="303"/>
      <c r="M171" s="244"/>
      <c r="N171" s="303"/>
      <c r="O171" s="244"/>
      <c r="P171" s="244"/>
    </row>
    <row r="172" spans="1:16" ht="15.75" customHeight="1" x14ac:dyDescent="0.25">
      <c r="A172" s="244"/>
      <c r="B172" s="244"/>
      <c r="C172" s="244"/>
      <c r="D172" s="303"/>
      <c r="E172" s="244"/>
      <c r="F172" s="303"/>
      <c r="G172" s="244"/>
      <c r="H172" s="303"/>
      <c r="I172" s="244"/>
      <c r="J172" s="303"/>
      <c r="K172" s="244"/>
      <c r="L172" s="303"/>
      <c r="M172" s="244"/>
      <c r="N172" s="303"/>
      <c r="O172" s="244"/>
      <c r="P172" s="244"/>
    </row>
    <row r="173" spans="1:16" ht="15.75" customHeight="1" x14ac:dyDescent="0.25">
      <c r="A173" s="244"/>
      <c r="B173" s="244"/>
      <c r="C173" s="244"/>
      <c r="D173" s="303"/>
      <c r="E173" s="244"/>
      <c r="F173" s="303"/>
      <c r="G173" s="244"/>
      <c r="H173" s="303"/>
      <c r="I173" s="244"/>
      <c r="J173" s="303"/>
      <c r="K173" s="244"/>
      <c r="L173" s="303"/>
      <c r="M173" s="244"/>
      <c r="N173" s="303"/>
      <c r="O173" s="244"/>
      <c r="P173" s="244"/>
    </row>
    <row r="174" spans="1:16" ht="15.75" customHeight="1" x14ac:dyDescent="0.25">
      <c r="A174" s="244"/>
      <c r="B174" s="244"/>
      <c r="C174" s="244"/>
      <c r="D174" s="303"/>
      <c r="E174" s="244"/>
      <c r="F174" s="303"/>
      <c r="G174" s="244"/>
      <c r="H174" s="303"/>
      <c r="I174" s="244"/>
      <c r="J174" s="303"/>
      <c r="K174" s="244"/>
      <c r="L174" s="303"/>
      <c r="M174" s="244"/>
      <c r="N174" s="303"/>
      <c r="O174" s="244"/>
      <c r="P174" s="244"/>
    </row>
    <row r="175" spans="1:16" ht="15.75" customHeight="1" x14ac:dyDescent="0.25">
      <c r="A175" s="244"/>
      <c r="B175" s="244"/>
      <c r="C175" s="244"/>
      <c r="D175" s="303"/>
      <c r="E175" s="244"/>
      <c r="F175" s="303"/>
      <c r="G175" s="244"/>
      <c r="H175" s="303"/>
      <c r="I175" s="244"/>
      <c r="J175" s="303"/>
      <c r="K175" s="244"/>
      <c r="L175" s="303"/>
      <c r="M175" s="244"/>
      <c r="N175" s="303"/>
      <c r="O175" s="244"/>
      <c r="P175" s="244"/>
    </row>
    <row r="176" spans="1:16" ht="15.75" customHeight="1" x14ac:dyDescent="0.25">
      <c r="A176" s="244"/>
      <c r="B176" s="244"/>
      <c r="C176" s="244"/>
      <c r="D176" s="303"/>
      <c r="E176" s="244"/>
      <c r="F176" s="303"/>
      <c r="G176" s="244"/>
      <c r="H176" s="303"/>
      <c r="I176" s="244"/>
      <c r="J176" s="303"/>
      <c r="K176" s="244"/>
      <c r="L176" s="303"/>
      <c r="M176" s="244"/>
      <c r="N176" s="303"/>
      <c r="O176" s="244"/>
      <c r="P176" s="244"/>
    </row>
    <row r="177" spans="1:16" ht="15.75" customHeight="1" x14ac:dyDescent="0.25">
      <c r="A177" s="244"/>
      <c r="B177" s="244"/>
      <c r="C177" s="244"/>
      <c r="D177" s="303"/>
      <c r="E177" s="244"/>
      <c r="F177" s="303"/>
      <c r="G177" s="244"/>
      <c r="H177" s="303"/>
      <c r="I177" s="244"/>
      <c r="J177" s="303"/>
      <c r="K177" s="244"/>
      <c r="L177" s="303"/>
      <c r="M177" s="244"/>
      <c r="N177" s="303"/>
      <c r="O177" s="244"/>
      <c r="P177" s="244"/>
    </row>
    <row r="178" spans="1:16" ht="15.75" customHeight="1" x14ac:dyDescent="0.25">
      <c r="A178" s="244"/>
      <c r="B178" s="244"/>
      <c r="C178" s="244"/>
      <c r="D178" s="303"/>
      <c r="E178" s="244"/>
      <c r="F178" s="303"/>
      <c r="G178" s="244"/>
      <c r="H178" s="303"/>
      <c r="I178" s="244"/>
      <c r="J178" s="303"/>
      <c r="K178" s="244"/>
      <c r="L178" s="303"/>
      <c r="M178" s="244"/>
      <c r="N178" s="303"/>
      <c r="O178" s="244"/>
      <c r="P178" s="244"/>
    </row>
    <row r="179" spans="1:16" ht="15.75" customHeight="1" x14ac:dyDescent="0.25">
      <c r="A179" s="244"/>
      <c r="B179" s="244"/>
      <c r="C179" s="244"/>
      <c r="D179" s="303"/>
      <c r="E179" s="244"/>
      <c r="F179" s="303"/>
      <c r="G179" s="244"/>
      <c r="H179" s="303"/>
      <c r="I179" s="244"/>
      <c r="J179" s="303"/>
      <c r="K179" s="244"/>
      <c r="L179" s="303"/>
      <c r="M179" s="244"/>
      <c r="N179" s="303"/>
      <c r="O179" s="244"/>
      <c r="P179" s="244"/>
    </row>
    <row r="180" spans="1:16" ht="15.75" customHeight="1" x14ac:dyDescent="0.25">
      <c r="A180" s="244"/>
      <c r="B180" s="244"/>
      <c r="C180" s="244"/>
      <c r="D180" s="303"/>
      <c r="E180" s="244"/>
      <c r="F180" s="303"/>
      <c r="G180" s="244"/>
      <c r="H180" s="303"/>
      <c r="I180" s="244"/>
      <c r="J180" s="303"/>
      <c r="K180" s="244"/>
      <c r="L180" s="303"/>
      <c r="M180" s="244"/>
      <c r="N180" s="303"/>
      <c r="O180" s="244"/>
      <c r="P180" s="244"/>
    </row>
    <row r="181" spans="1:16" ht="15.75" customHeight="1" x14ac:dyDescent="0.25">
      <c r="A181" s="244"/>
      <c r="B181" s="244"/>
      <c r="C181" s="244"/>
      <c r="D181" s="303"/>
      <c r="E181" s="244"/>
      <c r="F181" s="303"/>
      <c r="G181" s="244"/>
      <c r="H181" s="303"/>
      <c r="I181" s="244"/>
      <c r="J181" s="303"/>
      <c r="K181" s="244"/>
      <c r="L181" s="303"/>
      <c r="M181" s="244"/>
      <c r="N181" s="303"/>
      <c r="O181" s="244"/>
      <c r="P181" s="244"/>
    </row>
    <row r="182" spans="1:16" ht="15.75" customHeight="1" x14ac:dyDescent="0.25">
      <c r="A182" s="244"/>
      <c r="B182" s="244"/>
      <c r="C182" s="244"/>
      <c r="D182" s="303"/>
      <c r="E182" s="244"/>
      <c r="F182" s="303"/>
      <c r="G182" s="244"/>
      <c r="H182" s="303"/>
      <c r="I182" s="244"/>
      <c r="J182" s="303"/>
      <c r="K182" s="244"/>
      <c r="L182" s="303"/>
      <c r="M182" s="244"/>
      <c r="N182" s="303"/>
      <c r="O182" s="244"/>
      <c r="P182" s="244"/>
    </row>
    <row r="183" spans="1:16" ht="15.75" customHeight="1" x14ac:dyDescent="0.25">
      <c r="A183" s="244"/>
      <c r="B183" s="244"/>
      <c r="C183" s="244"/>
      <c r="D183" s="303"/>
      <c r="E183" s="244"/>
      <c r="F183" s="303"/>
      <c r="G183" s="244"/>
      <c r="H183" s="303"/>
      <c r="I183" s="244"/>
      <c r="J183" s="303"/>
      <c r="K183" s="244"/>
      <c r="L183" s="303"/>
      <c r="M183" s="244"/>
      <c r="N183" s="303"/>
      <c r="O183" s="244"/>
      <c r="P183" s="244"/>
    </row>
    <row r="184" spans="1:16" ht="15.75" customHeight="1" x14ac:dyDescent="0.25">
      <c r="A184" s="244"/>
      <c r="B184" s="244"/>
      <c r="C184" s="244"/>
      <c r="D184" s="303"/>
      <c r="E184" s="244"/>
      <c r="F184" s="303"/>
      <c r="G184" s="244"/>
      <c r="H184" s="303"/>
      <c r="I184" s="244"/>
      <c r="J184" s="303"/>
      <c r="K184" s="244"/>
      <c r="L184" s="303"/>
      <c r="M184" s="244"/>
      <c r="N184" s="303"/>
      <c r="O184" s="244"/>
      <c r="P184" s="244"/>
    </row>
    <row r="185" spans="1:16" ht="15.75" customHeight="1" x14ac:dyDescent="0.25">
      <c r="A185" s="244"/>
      <c r="B185" s="244"/>
      <c r="C185" s="244"/>
      <c r="D185" s="303"/>
      <c r="E185" s="244"/>
      <c r="F185" s="303"/>
      <c r="G185" s="244"/>
      <c r="H185" s="303"/>
      <c r="I185" s="244"/>
      <c r="J185" s="303"/>
      <c r="K185" s="244"/>
      <c r="L185" s="303"/>
      <c r="M185" s="244"/>
      <c r="N185" s="303"/>
      <c r="O185" s="244"/>
      <c r="P185" s="244"/>
    </row>
    <row r="186" spans="1:16" ht="15.75" customHeight="1" x14ac:dyDescent="0.25">
      <c r="A186" s="244"/>
      <c r="B186" s="244"/>
      <c r="C186" s="244"/>
      <c r="D186" s="303"/>
      <c r="E186" s="244"/>
      <c r="F186" s="303"/>
      <c r="G186" s="244"/>
      <c r="H186" s="303"/>
      <c r="I186" s="244"/>
      <c r="J186" s="303"/>
      <c r="K186" s="244"/>
      <c r="L186" s="303"/>
      <c r="M186" s="244"/>
      <c r="N186" s="303"/>
      <c r="O186" s="244"/>
      <c r="P186" s="244"/>
    </row>
    <row r="187" spans="1:16" ht="15.75" customHeight="1" x14ac:dyDescent="0.25">
      <c r="A187" s="244"/>
      <c r="B187" s="244"/>
      <c r="C187" s="244"/>
      <c r="D187" s="303"/>
      <c r="E187" s="244"/>
      <c r="F187" s="303"/>
      <c r="G187" s="244"/>
      <c r="H187" s="303"/>
      <c r="I187" s="244"/>
      <c r="J187" s="303"/>
      <c r="K187" s="244"/>
      <c r="L187" s="303"/>
      <c r="M187" s="244"/>
      <c r="N187" s="303"/>
      <c r="O187" s="244"/>
      <c r="P187" s="244"/>
    </row>
    <row r="188" spans="1:16" ht="15.75" customHeight="1" x14ac:dyDescent="0.25">
      <c r="A188" s="244"/>
      <c r="B188" s="244"/>
      <c r="C188" s="244"/>
      <c r="D188" s="303"/>
      <c r="E188" s="244"/>
      <c r="F188" s="303"/>
      <c r="G188" s="244"/>
      <c r="H188" s="303"/>
      <c r="I188" s="244"/>
      <c r="J188" s="303"/>
      <c r="K188" s="244"/>
      <c r="L188" s="303"/>
      <c r="M188" s="244"/>
      <c r="N188" s="303"/>
      <c r="O188" s="244"/>
      <c r="P188" s="244"/>
    </row>
    <row r="189" spans="1:16" ht="15.75" customHeight="1" x14ac:dyDescent="0.25">
      <c r="A189" s="244"/>
      <c r="B189" s="244"/>
      <c r="C189" s="244"/>
      <c r="D189" s="303"/>
      <c r="E189" s="244"/>
      <c r="F189" s="303"/>
      <c r="G189" s="244"/>
      <c r="H189" s="303"/>
      <c r="I189" s="244"/>
      <c r="J189" s="303"/>
      <c r="K189" s="244"/>
      <c r="L189" s="303"/>
      <c r="M189" s="244"/>
      <c r="N189" s="303"/>
      <c r="O189" s="244"/>
      <c r="P189" s="244"/>
    </row>
    <row r="190" spans="1:16" ht="15.75" customHeight="1" x14ac:dyDescent="0.25">
      <c r="A190" s="244"/>
      <c r="B190" s="244"/>
      <c r="C190" s="244"/>
      <c r="D190" s="303"/>
      <c r="E190" s="244"/>
      <c r="F190" s="303"/>
      <c r="G190" s="244"/>
      <c r="H190" s="303"/>
      <c r="I190" s="244"/>
      <c r="J190" s="303"/>
      <c r="K190" s="244"/>
      <c r="L190" s="303"/>
      <c r="M190" s="244"/>
      <c r="N190" s="303"/>
      <c r="O190" s="244"/>
      <c r="P190" s="244"/>
    </row>
    <row r="191" spans="1:16" ht="15.75" customHeight="1" x14ac:dyDescent="0.25">
      <c r="A191" s="244"/>
      <c r="B191" s="244"/>
      <c r="C191" s="244"/>
      <c r="D191" s="303"/>
      <c r="E191" s="244"/>
      <c r="F191" s="303"/>
      <c r="G191" s="244"/>
      <c r="H191" s="303"/>
      <c r="I191" s="244"/>
      <c r="J191" s="303"/>
      <c r="K191" s="244"/>
      <c r="L191" s="303"/>
      <c r="M191" s="244"/>
      <c r="N191" s="303"/>
      <c r="O191" s="244"/>
      <c r="P191" s="244"/>
    </row>
    <row r="192" spans="1:16" ht="15.75" customHeight="1" x14ac:dyDescent="0.25">
      <c r="A192" s="244"/>
      <c r="B192" s="244"/>
      <c r="C192" s="244"/>
      <c r="D192" s="303"/>
      <c r="E192" s="244"/>
      <c r="F192" s="303"/>
      <c r="G192" s="244"/>
      <c r="H192" s="303"/>
      <c r="I192" s="244"/>
      <c r="J192" s="303"/>
      <c r="K192" s="244"/>
      <c r="L192" s="303"/>
      <c r="M192" s="244"/>
      <c r="N192" s="303"/>
      <c r="O192" s="244"/>
      <c r="P192" s="244"/>
    </row>
    <row r="193" spans="1:16" ht="15.75" customHeight="1" x14ac:dyDescent="0.25">
      <c r="A193" s="244"/>
      <c r="B193" s="244"/>
      <c r="C193" s="244"/>
      <c r="D193" s="303"/>
      <c r="E193" s="244"/>
      <c r="F193" s="303"/>
      <c r="G193" s="244"/>
      <c r="H193" s="303"/>
      <c r="I193" s="244"/>
      <c r="J193" s="303"/>
      <c r="K193" s="244"/>
      <c r="L193" s="303"/>
      <c r="M193" s="244"/>
      <c r="N193" s="303"/>
      <c r="O193" s="244"/>
      <c r="P193" s="244"/>
    </row>
    <row r="194" spans="1:16" ht="15.75" customHeight="1" x14ac:dyDescent="0.25">
      <c r="A194" s="244"/>
      <c r="B194" s="244"/>
      <c r="C194" s="244"/>
      <c r="D194" s="303"/>
      <c r="E194" s="244"/>
      <c r="F194" s="303"/>
      <c r="G194" s="244"/>
      <c r="H194" s="303"/>
      <c r="I194" s="244"/>
      <c r="J194" s="303"/>
      <c r="K194" s="244"/>
      <c r="L194" s="303"/>
      <c r="M194" s="244"/>
      <c r="N194" s="303"/>
      <c r="O194" s="244"/>
      <c r="P194" s="244"/>
    </row>
    <row r="195" spans="1:16" ht="15.75" customHeight="1" x14ac:dyDescent="0.25">
      <c r="A195" s="244"/>
      <c r="B195" s="244"/>
      <c r="C195" s="244"/>
      <c r="D195" s="303"/>
      <c r="E195" s="244"/>
      <c r="F195" s="303"/>
      <c r="G195" s="244"/>
      <c r="H195" s="303"/>
      <c r="I195" s="244"/>
      <c r="J195" s="303"/>
      <c r="K195" s="244"/>
      <c r="L195" s="303"/>
      <c r="M195" s="244"/>
      <c r="N195" s="303"/>
      <c r="O195" s="244"/>
      <c r="P195" s="244"/>
    </row>
    <row r="196" spans="1:16" ht="15.75" customHeight="1" x14ac:dyDescent="0.25">
      <c r="A196" s="244"/>
      <c r="B196" s="244"/>
      <c r="C196" s="244"/>
      <c r="D196" s="303"/>
      <c r="E196" s="244"/>
      <c r="F196" s="303"/>
      <c r="G196" s="244"/>
      <c r="H196" s="303"/>
      <c r="I196" s="244"/>
      <c r="J196" s="303"/>
      <c r="K196" s="244"/>
      <c r="L196" s="303"/>
      <c r="M196" s="244"/>
      <c r="N196" s="303"/>
      <c r="O196" s="244"/>
      <c r="P196" s="244"/>
    </row>
    <row r="197" spans="1:16" ht="15.75" customHeight="1" x14ac:dyDescent="0.25">
      <c r="A197" s="244"/>
      <c r="B197" s="244"/>
      <c r="C197" s="244"/>
      <c r="D197" s="303"/>
      <c r="E197" s="244"/>
      <c r="F197" s="303"/>
      <c r="G197" s="244"/>
      <c r="H197" s="303"/>
      <c r="I197" s="244"/>
      <c r="J197" s="303"/>
      <c r="K197" s="244"/>
      <c r="L197" s="303"/>
      <c r="M197" s="244"/>
      <c r="N197" s="303"/>
      <c r="O197" s="244"/>
      <c r="P197" s="244"/>
    </row>
    <row r="198" spans="1:16" ht="15.75" customHeight="1" x14ac:dyDescent="0.25">
      <c r="A198" s="244"/>
      <c r="B198" s="244"/>
      <c r="C198" s="244"/>
      <c r="D198" s="303"/>
      <c r="E198" s="244"/>
      <c r="F198" s="303"/>
      <c r="G198" s="244"/>
      <c r="H198" s="303"/>
      <c r="I198" s="244"/>
      <c r="J198" s="303"/>
      <c r="K198" s="244"/>
      <c r="L198" s="303"/>
      <c r="M198" s="244"/>
      <c r="N198" s="303"/>
      <c r="O198" s="244"/>
      <c r="P198" s="244"/>
    </row>
    <row r="199" spans="1:16" ht="15.75" customHeight="1" x14ac:dyDescent="0.25">
      <c r="A199" s="244"/>
      <c r="B199" s="244"/>
      <c r="C199" s="244"/>
      <c r="D199" s="303"/>
      <c r="E199" s="244"/>
      <c r="F199" s="303"/>
      <c r="G199" s="244"/>
      <c r="H199" s="303"/>
      <c r="I199" s="244"/>
      <c r="J199" s="303"/>
      <c r="K199" s="244"/>
      <c r="L199" s="303"/>
      <c r="M199" s="244"/>
      <c r="N199" s="303"/>
      <c r="O199" s="244"/>
      <c r="P199" s="244"/>
    </row>
    <row r="200" spans="1:16" ht="15.75" customHeight="1" x14ac:dyDescent="0.25">
      <c r="A200" s="244"/>
      <c r="B200" s="244"/>
      <c r="C200" s="244"/>
      <c r="D200" s="303"/>
      <c r="E200" s="244"/>
      <c r="F200" s="303"/>
      <c r="G200" s="244"/>
      <c r="H200" s="303"/>
      <c r="I200" s="244"/>
      <c r="J200" s="303"/>
      <c r="K200" s="244"/>
      <c r="L200" s="303"/>
      <c r="M200" s="244"/>
      <c r="N200" s="303"/>
      <c r="O200" s="244"/>
      <c r="P200" s="244"/>
    </row>
    <row r="201" spans="1:16" ht="15.75" customHeight="1" x14ac:dyDescent="0.25">
      <c r="A201" s="244"/>
      <c r="B201" s="244"/>
      <c r="C201" s="244"/>
      <c r="D201" s="303"/>
      <c r="E201" s="244"/>
      <c r="F201" s="303"/>
      <c r="G201" s="244"/>
      <c r="H201" s="303"/>
      <c r="I201" s="244"/>
      <c r="J201" s="303"/>
      <c r="K201" s="244"/>
      <c r="L201" s="303"/>
      <c r="M201" s="244"/>
      <c r="N201" s="303"/>
      <c r="O201" s="244"/>
      <c r="P201" s="244"/>
    </row>
    <row r="202" spans="1:16" ht="15.75" customHeight="1" x14ac:dyDescent="0.25">
      <c r="A202" s="244"/>
      <c r="B202" s="244"/>
      <c r="C202" s="244"/>
      <c r="D202" s="303"/>
      <c r="E202" s="244"/>
      <c r="F202" s="303"/>
      <c r="G202" s="244"/>
      <c r="H202" s="303"/>
      <c r="I202" s="244"/>
      <c r="J202" s="303"/>
      <c r="K202" s="244"/>
      <c r="L202" s="303"/>
      <c r="M202" s="244"/>
      <c r="N202" s="303"/>
      <c r="O202" s="244"/>
      <c r="P202" s="244"/>
    </row>
    <row r="203" spans="1:16" ht="15.75" customHeight="1" x14ac:dyDescent="0.25">
      <c r="A203" s="244"/>
      <c r="B203" s="244"/>
      <c r="C203" s="244"/>
      <c r="D203" s="303"/>
      <c r="E203" s="244"/>
      <c r="F203" s="303"/>
      <c r="G203" s="244"/>
      <c r="H203" s="303"/>
      <c r="I203" s="244"/>
      <c r="J203" s="303"/>
      <c r="K203" s="244"/>
      <c r="L203" s="303"/>
      <c r="M203" s="244"/>
      <c r="N203" s="303"/>
      <c r="O203" s="244"/>
      <c r="P203" s="244"/>
    </row>
    <row r="204" spans="1:16" ht="15.75" customHeight="1" x14ac:dyDescent="0.25">
      <c r="A204" s="244"/>
      <c r="B204" s="244"/>
      <c r="C204" s="244"/>
      <c r="D204" s="303"/>
      <c r="E204" s="244"/>
      <c r="F204" s="303"/>
      <c r="G204" s="244"/>
      <c r="H204" s="303"/>
      <c r="I204" s="244"/>
      <c r="J204" s="303"/>
      <c r="K204" s="244"/>
      <c r="L204" s="303"/>
      <c r="M204" s="244"/>
      <c r="N204" s="303"/>
      <c r="O204" s="244"/>
      <c r="P204" s="244"/>
    </row>
    <row r="205" spans="1:16" ht="15.75" customHeight="1" x14ac:dyDescent="0.25">
      <c r="A205" s="244"/>
      <c r="B205" s="244"/>
      <c r="C205" s="244"/>
      <c r="D205" s="303"/>
      <c r="E205" s="244"/>
      <c r="F205" s="303"/>
      <c r="G205" s="244"/>
      <c r="H205" s="303"/>
      <c r="I205" s="244"/>
      <c r="J205" s="303"/>
      <c r="K205" s="244"/>
      <c r="L205" s="303"/>
      <c r="M205" s="244"/>
      <c r="N205" s="303"/>
      <c r="O205" s="244"/>
      <c r="P205" s="244"/>
    </row>
    <row r="206" spans="1:16" ht="15.75" customHeight="1" x14ac:dyDescent="0.25">
      <c r="A206" s="244"/>
      <c r="B206" s="244"/>
      <c r="C206" s="244"/>
      <c r="D206" s="303"/>
      <c r="E206" s="244"/>
      <c r="F206" s="303"/>
      <c r="G206" s="244"/>
      <c r="H206" s="303"/>
      <c r="I206" s="244"/>
      <c r="J206" s="303"/>
      <c r="K206" s="244"/>
      <c r="L206" s="303"/>
      <c r="M206" s="244"/>
      <c r="N206" s="303"/>
      <c r="O206" s="244"/>
      <c r="P206" s="244"/>
    </row>
    <row r="207" spans="1:16" ht="15.75" customHeight="1" x14ac:dyDescent="0.25">
      <c r="A207" s="244"/>
      <c r="B207" s="244"/>
      <c r="C207" s="244"/>
      <c r="D207" s="303"/>
      <c r="E207" s="244"/>
      <c r="F207" s="303"/>
      <c r="G207" s="244"/>
      <c r="H207" s="303"/>
      <c r="I207" s="244"/>
      <c r="J207" s="303"/>
      <c r="K207" s="244"/>
      <c r="L207" s="303"/>
      <c r="M207" s="244"/>
      <c r="N207" s="303"/>
      <c r="O207" s="244"/>
      <c r="P207" s="244"/>
    </row>
    <row r="208" spans="1:16" ht="15.75" customHeight="1" x14ac:dyDescent="0.25">
      <c r="A208" s="244"/>
      <c r="B208" s="244"/>
      <c r="C208" s="244"/>
      <c r="D208" s="303"/>
      <c r="E208" s="244"/>
      <c r="F208" s="303"/>
      <c r="G208" s="244"/>
      <c r="H208" s="303"/>
      <c r="I208" s="244"/>
      <c r="J208" s="303"/>
      <c r="K208" s="244"/>
      <c r="L208" s="303"/>
      <c r="M208" s="244"/>
      <c r="N208" s="303"/>
      <c r="O208" s="244"/>
      <c r="P208" s="244"/>
    </row>
    <row r="209" spans="1:16" ht="15.75" customHeight="1" x14ac:dyDescent="0.25">
      <c r="A209" s="244"/>
      <c r="B209" s="244"/>
      <c r="C209" s="244"/>
      <c r="D209" s="303"/>
      <c r="E209" s="244"/>
      <c r="F209" s="303"/>
      <c r="G209" s="244"/>
      <c r="H209" s="303"/>
      <c r="I209" s="244"/>
      <c r="J209" s="303"/>
      <c r="K209" s="244"/>
      <c r="L209" s="303"/>
      <c r="M209" s="244"/>
      <c r="N209" s="303"/>
      <c r="O209" s="244"/>
      <c r="P209" s="244"/>
    </row>
    <row r="210" spans="1:16" ht="15.75" customHeight="1" x14ac:dyDescent="0.25">
      <c r="A210" s="244"/>
      <c r="B210" s="244"/>
      <c r="C210" s="244"/>
      <c r="D210" s="303"/>
      <c r="E210" s="244"/>
      <c r="F210" s="303"/>
      <c r="G210" s="244"/>
      <c r="H210" s="303"/>
      <c r="I210" s="244"/>
      <c r="J210" s="303"/>
      <c r="K210" s="244"/>
      <c r="L210" s="303"/>
      <c r="M210" s="244"/>
      <c r="N210" s="303"/>
      <c r="O210" s="244"/>
      <c r="P210" s="244"/>
    </row>
    <row r="211" spans="1:16" ht="15.75" customHeight="1" x14ac:dyDescent="0.25">
      <c r="A211" s="244"/>
      <c r="B211" s="244"/>
      <c r="C211" s="244"/>
      <c r="D211" s="303"/>
      <c r="E211" s="244"/>
      <c r="F211" s="303"/>
      <c r="G211" s="244"/>
      <c r="H211" s="303"/>
      <c r="I211" s="244"/>
      <c r="J211" s="303"/>
      <c r="K211" s="244"/>
      <c r="L211" s="303"/>
      <c r="M211" s="244"/>
      <c r="N211" s="303"/>
      <c r="O211" s="244"/>
      <c r="P211" s="244"/>
    </row>
    <row r="212" spans="1:16" ht="15.75" customHeight="1" x14ac:dyDescent="0.25">
      <c r="A212" s="244"/>
      <c r="B212" s="244"/>
      <c r="C212" s="244"/>
      <c r="D212" s="303"/>
      <c r="E212" s="244"/>
      <c r="F212" s="303"/>
      <c r="G212" s="244"/>
      <c r="H212" s="303"/>
      <c r="I212" s="244"/>
      <c r="J212" s="303"/>
      <c r="K212" s="244"/>
      <c r="L212" s="303"/>
      <c r="M212" s="244"/>
      <c r="N212" s="303"/>
      <c r="O212" s="244"/>
      <c r="P212" s="244"/>
    </row>
    <row r="213" spans="1:16" ht="15.75" customHeight="1" x14ac:dyDescent="0.25">
      <c r="A213" s="244"/>
      <c r="B213" s="244"/>
      <c r="C213" s="244"/>
      <c r="D213" s="303"/>
      <c r="E213" s="244"/>
      <c r="F213" s="303"/>
      <c r="G213" s="244"/>
      <c r="H213" s="303"/>
      <c r="I213" s="244"/>
      <c r="J213" s="303"/>
      <c r="K213" s="244"/>
      <c r="L213" s="303"/>
      <c r="M213" s="244"/>
      <c r="N213" s="303"/>
      <c r="O213" s="244"/>
      <c r="P213" s="244"/>
    </row>
    <row r="214" spans="1:16" ht="15.75" customHeight="1" x14ac:dyDescent="0.25">
      <c r="A214" s="244"/>
      <c r="B214" s="244"/>
      <c r="C214" s="244"/>
      <c r="D214" s="303"/>
      <c r="E214" s="244"/>
      <c r="F214" s="303"/>
      <c r="G214" s="244"/>
      <c r="H214" s="303"/>
      <c r="I214" s="244"/>
      <c r="J214" s="303"/>
      <c r="K214" s="244"/>
      <c r="L214" s="303"/>
      <c r="M214" s="244"/>
      <c r="N214" s="303"/>
      <c r="O214" s="244"/>
      <c r="P214" s="244"/>
    </row>
    <row r="215" spans="1:16" ht="15.75" customHeight="1" x14ac:dyDescent="0.25">
      <c r="A215" s="244"/>
      <c r="B215" s="244"/>
      <c r="C215" s="244"/>
      <c r="D215" s="303"/>
      <c r="E215" s="244"/>
      <c r="F215" s="303"/>
      <c r="G215" s="244"/>
      <c r="H215" s="303"/>
      <c r="I215" s="244"/>
      <c r="J215" s="303"/>
      <c r="K215" s="244"/>
      <c r="L215" s="303"/>
      <c r="M215" s="244"/>
      <c r="N215" s="303"/>
      <c r="O215" s="244"/>
      <c r="P215" s="244"/>
    </row>
    <row r="216" spans="1:16" ht="15.75" customHeight="1" x14ac:dyDescent="0.25">
      <c r="A216" s="244"/>
      <c r="B216" s="244"/>
      <c r="C216" s="244"/>
      <c r="D216" s="303"/>
      <c r="E216" s="244"/>
      <c r="F216" s="303"/>
      <c r="G216" s="244"/>
      <c r="H216" s="303"/>
      <c r="I216" s="244"/>
      <c r="J216" s="303"/>
      <c r="K216" s="244"/>
      <c r="L216" s="303"/>
      <c r="M216" s="244"/>
      <c r="N216" s="303"/>
      <c r="O216" s="244"/>
      <c r="P216" s="244"/>
    </row>
    <row r="217" spans="1:16" ht="15.75" customHeight="1" x14ac:dyDescent="0.25">
      <c r="A217" s="244"/>
      <c r="B217" s="244"/>
      <c r="C217" s="244"/>
      <c r="D217" s="303"/>
      <c r="E217" s="244"/>
      <c r="F217" s="303"/>
      <c r="G217" s="244"/>
      <c r="H217" s="303"/>
      <c r="I217" s="244"/>
      <c r="J217" s="303"/>
      <c r="K217" s="244"/>
      <c r="L217" s="303"/>
      <c r="M217" s="244"/>
      <c r="N217" s="303"/>
      <c r="O217" s="244"/>
      <c r="P217" s="244"/>
    </row>
    <row r="218" spans="1:16" ht="15.75" customHeight="1" x14ac:dyDescent="0.25">
      <c r="A218" s="244"/>
      <c r="B218" s="244"/>
      <c r="C218" s="244"/>
      <c r="D218" s="303"/>
      <c r="E218" s="244"/>
      <c r="F218" s="303"/>
      <c r="G218" s="244"/>
      <c r="H218" s="303"/>
      <c r="I218" s="244"/>
      <c r="J218" s="303"/>
      <c r="K218" s="244"/>
      <c r="L218" s="303"/>
      <c r="M218" s="244"/>
      <c r="N218" s="303"/>
      <c r="O218" s="244"/>
      <c r="P218" s="244"/>
    </row>
    <row r="219" spans="1:16" ht="15.75" customHeight="1" x14ac:dyDescent="0.25">
      <c r="A219" s="244"/>
      <c r="B219" s="244"/>
      <c r="C219" s="244"/>
      <c r="D219" s="303"/>
      <c r="E219" s="244"/>
      <c r="F219" s="303"/>
      <c r="G219" s="244"/>
      <c r="H219" s="303"/>
      <c r="I219" s="244"/>
      <c r="J219" s="303"/>
      <c r="K219" s="244"/>
      <c r="L219" s="303"/>
      <c r="M219" s="244"/>
      <c r="N219" s="303"/>
      <c r="O219" s="244"/>
      <c r="P219" s="244"/>
    </row>
    <row r="220" spans="1:16" ht="15.75" customHeight="1" x14ac:dyDescent="0.25">
      <c r="A220" s="244"/>
      <c r="B220" s="244"/>
      <c r="C220" s="244"/>
      <c r="D220" s="303"/>
      <c r="E220" s="244"/>
      <c r="F220" s="303"/>
      <c r="G220" s="244"/>
      <c r="H220" s="303"/>
      <c r="I220" s="244"/>
      <c r="J220" s="303"/>
      <c r="K220" s="244"/>
      <c r="L220" s="303"/>
      <c r="M220" s="244"/>
      <c r="N220" s="303"/>
      <c r="O220" s="244"/>
      <c r="P220" s="244"/>
    </row>
    <row r="221" spans="1:16" ht="15.75" customHeight="1" x14ac:dyDescent="0.25">
      <c r="A221" s="244"/>
      <c r="B221" s="244"/>
      <c r="C221" s="244"/>
      <c r="D221" s="303"/>
      <c r="E221" s="244"/>
      <c r="F221" s="303"/>
      <c r="G221" s="244"/>
      <c r="H221" s="303"/>
      <c r="I221" s="244"/>
      <c r="J221" s="303"/>
      <c r="K221" s="244"/>
      <c r="L221" s="303"/>
      <c r="M221" s="244"/>
      <c r="N221" s="303"/>
      <c r="O221" s="244"/>
      <c r="P221" s="244"/>
    </row>
    <row r="222" spans="1:16" ht="15.75" customHeight="1" x14ac:dyDescent="0.25">
      <c r="A222" s="244"/>
      <c r="B222" s="244"/>
      <c r="C222" s="244"/>
      <c r="D222" s="303"/>
      <c r="E222" s="244"/>
      <c r="F222" s="303"/>
      <c r="G222" s="244"/>
      <c r="H222" s="303"/>
      <c r="I222" s="244"/>
      <c r="J222" s="303"/>
      <c r="K222" s="244"/>
      <c r="L222" s="303"/>
      <c r="M222" s="244"/>
      <c r="N222" s="303"/>
      <c r="O222" s="244"/>
      <c r="P222" s="244"/>
    </row>
    <row r="223" spans="1:16" ht="15.75" customHeight="1" x14ac:dyDescent="0.25">
      <c r="A223" s="244"/>
      <c r="B223" s="244"/>
      <c r="C223" s="244"/>
      <c r="D223" s="303"/>
      <c r="E223" s="244"/>
      <c r="F223" s="303"/>
      <c r="G223" s="244"/>
      <c r="H223" s="303"/>
      <c r="I223" s="244"/>
      <c r="J223" s="303"/>
      <c r="K223" s="244"/>
      <c r="L223" s="303"/>
      <c r="M223" s="244"/>
      <c r="N223" s="303"/>
      <c r="O223" s="244"/>
      <c r="P223" s="244"/>
    </row>
    <row r="224" spans="1:16" ht="15.75" customHeight="1" x14ac:dyDescent="0.25">
      <c r="A224" s="244"/>
      <c r="B224" s="244"/>
      <c r="C224" s="244"/>
      <c r="D224" s="303"/>
      <c r="E224" s="244"/>
      <c r="F224" s="303"/>
      <c r="G224" s="244"/>
      <c r="H224" s="303"/>
      <c r="I224" s="244"/>
      <c r="J224" s="303"/>
      <c r="K224" s="244"/>
      <c r="L224" s="303"/>
      <c r="M224" s="244"/>
      <c r="N224" s="303"/>
      <c r="O224" s="244"/>
      <c r="P224" s="244"/>
    </row>
    <row r="225" spans="1:16" ht="15.75" customHeight="1" x14ac:dyDescent="0.25">
      <c r="A225" s="244"/>
      <c r="B225" s="244"/>
      <c r="C225" s="244"/>
      <c r="D225" s="303"/>
      <c r="E225" s="244"/>
      <c r="F225" s="303"/>
      <c r="G225" s="244"/>
      <c r="H225" s="303"/>
      <c r="I225" s="244"/>
      <c r="J225" s="303"/>
      <c r="K225" s="244"/>
      <c r="L225" s="303"/>
      <c r="M225" s="244"/>
      <c r="N225" s="303"/>
      <c r="O225" s="244"/>
      <c r="P225" s="244"/>
    </row>
    <row r="226" spans="1:16" ht="15.75" customHeight="1" x14ac:dyDescent="0.25">
      <c r="A226" s="244"/>
      <c r="B226" s="244"/>
      <c r="C226" s="244"/>
      <c r="D226" s="303"/>
      <c r="E226" s="244"/>
      <c r="F226" s="303"/>
      <c r="G226" s="244"/>
      <c r="H226" s="303"/>
      <c r="I226" s="244"/>
      <c r="J226" s="303"/>
      <c r="K226" s="244"/>
      <c r="L226" s="303"/>
      <c r="M226" s="244"/>
      <c r="N226" s="303"/>
      <c r="O226" s="244"/>
      <c r="P226" s="244"/>
    </row>
    <row r="227" spans="1:16" ht="15.75" customHeight="1" x14ac:dyDescent="0.25">
      <c r="A227" s="244"/>
      <c r="B227" s="244"/>
      <c r="C227" s="244"/>
      <c r="D227" s="303"/>
      <c r="E227" s="244"/>
      <c r="F227" s="303"/>
      <c r="G227" s="244"/>
      <c r="H227" s="303"/>
      <c r="I227" s="244"/>
      <c r="J227" s="303"/>
      <c r="K227" s="244"/>
      <c r="L227" s="303"/>
      <c r="M227" s="244"/>
      <c r="N227" s="303"/>
      <c r="O227" s="244"/>
      <c r="P227" s="244"/>
    </row>
    <row r="228" spans="1:16" ht="15.75" customHeight="1" x14ac:dyDescent="0.25">
      <c r="A228" s="244"/>
      <c r="B228" s="244"/>
      <c r="C228" s="244"/>
      <c r="D228" s="303"/>
      <c r="E228" s="244"/>
      <c r="F228" s="303"/>
      <c r="G228" s="244"/>
      <c r="H228" s="303"/>
      <c r="I228" s="244"/>
      <c r="J228" s="303"/>
      <c r="K228" s="244"/>
      <c r="L228" s="303"/>
      <c r="M228" s="244"/>
      <c r="N228" s="303"/>
      <c r="O228" s="244"/>
      <c r="P228" s="244"/>
    </row>
    <row r="229" spans="1:16" ht="15.75" customHeight="1" x14ac:dyDescent="0.25">
      <c r="A229" s="244"/>
      <c r="B229" s="244"/>
      <c r="C229" s="244"/>
      <c r="D229" s="303"/>
      <c r="E229" s="244"/>
      <c r="F229" s="303"/>
      <c r="G229" s="244"/>
      <c r="H229" s="303"/>
      <c r="I229" s="244"/>
      <c r="J229" s="303"/>
      <c r="K229" s="244"/>
      <c r="L229" s="303"/>
      <c r="M229" s="244"/>
      <c r="N229" s="303"/>
      <c r="O229" s="244"/>
      <c r="P229" s="244"/>
    </row>
    <row r="230" spans="1:16" ht="15.75" customHeight="1" x14ac:dyDescent="0.25">
      <c r="A230" s="244"/>
      <c r="B230" s="244"/>
      <c r="C230" s="244"/>
      <c r="D230" s="303"/>
      <c r="E230" s="244"/>
      <c r="F230" s="303"/>
      <c r="G230" s="244"/>
      <c r="H230" s="303"/>
      <c r="I230" s="244"/>
      <c r="J230" s="303"/>
      <c r="K230" s="244"/>
      <c r="L230" s="303"/>
      <c r="M230" s="244"/>
      <c r="N230" s="303"/>
      <c r="O230" s="244"/>
      <c r="P230" s="244"/>
    </row>
    <row r="231" spans="1:16" ht="15.75" customHeight="1" x14ac:dyDescent="0.25">
      <c r="A231" s="244"/>
      <c r="B231" s="244"/>
      <c r="C231" s="244"/>
      <c r="D231" s="303"/>
      <c r="E231" s="244"/>
      <c r="F231" s="303"/>
      <c r="G231" s="244"/>
      <c r="H231" s="303"/>
      <c r="I231" s="244"/>
      <c r="J231" s="303"/>
      <c r="K231" s="244"/>
      <c r="L231" s="303"/>
      <c r="M231" s="244"/>
      <c r="N231" s="303"/>
      <c r="O231" s="244"/>
      <c r="P231" s="244"/>
    </row>
    <row r="232" spans="1:16" ht="15.75" customHeight="1" x14ac:dyDescent="0.25">
      <c r="A232" s="244"/>
      <c r="B232" s="244"/>
      <c r="C232" s="244"/>
      <c r="D232" s="303"/>
      <c r="E232" s="244"/>
      <c r="F232" s="303"/>
      <c r="G232" s="244"/>
      <c r="H232" s="303"/>
      <c r="I232" s="244"/>
      <c r="J232" s="303"/>
      <c r="K232" s="244"/>
      <c r="L232" s="303"/>
      <c r="M232" s="244"/>
      <c r="N232" s="303"/>
      <c r="O232" s="244"/>
      <c r="P232" s="244"/>
    </row>
    <row r="233" spans="1:16" ht="15.75" customHeight="1" x14ac:dyDescent="0.25">
      <c r="A233" s="244"/>
      <c r="B233" s="244"/>
      <c r="C233" s="244"/>
      <c r="D233" s="303"/>
      <c r="E233" s="244"/>
      <c r="F233" s="303"/>
      <c r="G233" s="244"/>
      <c r="H233" s="303"/>
      <c r="I233" s="244"/>
      <c r="J233" s="303"/>
      <c r="K233" s="244"/>
      <c r="L233" s="303"/>
      <c r="M233" s="244"/>
      <c r="N233" s="303"/>
      <c r="O233" s="244"/>
      <c r="P233" s="244"/>
    </row>
    <row r="234" spans="1:16" ht="15.75" customHeight="1" x14ac:dyDescent="0.25">
      <c r="A234" s="244"/>
      <c r="B234" s="244"/>
      <c r="C234" s="244"/>
      <c r="D234" s="303"/>
      <c r="E234" s="244"/>
      <c r="F234" s="303"/>
      <c r="G234" s="244"/>
      <c r="H234" s="303"/>
      <c r="I234" s="244"/>
      <c r="J234" s="303"/>
      <c r="K234" s="244"/>
      <c r="L234" s="303"/>
      <c r="M234" s="244"/>
      <c r="N234" s="303"/>
      <c r="O234" s="244"/>
      <c r="P234" s="244"/>
    </row>
    <row r="235" spans="1:16" ht="15.75" customHeight="1" x14ac:dyDescent="0.25">
      <c r="A235" s="244"/>
      <c r="B235" s="244"/>
      <c r="C235" s="244"/>
      <c r="D235" s="303"/>
      <c r="E235" s="244"/>
      <c r="F235" s="303"/>
      <c r="G235" s="244"/>
      <c r="H235" s="303"/>
      <c r="I235" s="244"/>
      <c r="J235" s="303"/>
      <c r="K235" s="244"/>
      <c r="L235" s="303"/>
      <c r="M235" s="244"/>
      <c r="N235" s="303"/>
      <c r="O235" s="244"/>
      <c r="P235" s="244"/>
    </row>
    <row r="236" spans="1:16" ht="15.75" customHeight="1" x14ac:dyDescent="0.25">
      <c r="A236" s="244"/>
      <c r="B236" s="244"/>
      <c r="C236" s="244"/>
      <c r="D236" s="303"/>
      <c r="E236" s="244"/>
      <c r="F236" s="303"/>
      <c r="G236" s="244"/>
      <c r="H236" s="303"/>
      <c r="I236" s="244"/>
      <c r="J236" s="303"/>
      <c r="K236" s="244"/>
      <c r="L236" s="303"/>
      <c r="M236" s="244"/>
      <c r="N236" s="303"/>
      <c r="O236" s="244"/>
      <c r="P236" s="244"/>
    </row>
    <row r="237" spans="1:16" ht="15.75" customHeight="1" x14ac:dyDescent="0.25">
      <c r="A237" s="244"/>
      <c r="B237" s="244"/>
      <c r="C237" s="244"/>
      <c r="D237" s="303"/>
      <c r="E237" s="244"/>
      <c r="F237" s="303"/>
      <c r="G237" s="244"/>
      <c r="H237" s="303"/>
      <c r="I237" s="244"/>
      <c r="J237" s="303"/>
      <c r="K237" s="244"/>
      <c r="L237" s="303"/>
      <c r="M237" s="244"/>
      <c r="N237" s="303"/>
      <c r="O237" s="244"/>
      <c r="P237" s="244"/>
    </row>
    <row r="238" spans="1:16" ht="15.75" customHeight="1" x14ac:dyDescent="0.25">
      <c r="A238" s="244"/>
      <c r="B238" s="244"/>
      <c r="C238" s="244"/>
      <c r="D238" s="303"/>
      <c r="E238" s="244"/>
      <c r="F238" s="303"/>
      <c r="G238" s="244"/>
      <c r="H238" s="303"/>
      <c r="I238" s="244"/>
      <c r="J238" s="303"/>
      <c r="K238" s="244"/>
      <c r="L238" s="303"/>
      <c r="M238" s="244"/>
      <c r="N238" s="303"/>
      <c r="O238" s="244"/>
      <c r="P238" s="244"/>
    </row>
    <row r="239" spans="1:16" ht="15.75" customHeight="1" x14ac:dyDescent="0.25">
      <c r="A239" s="244"/>
      <c r="B239" s="244"/>
      <c r="C239" s="244"/>
      <c r="D239" s="303"/>
      <c r="E239" s="244"/>
      <c r="F239" s="303"/>
      <c r="G239" s="244"/>
      <c r="H239" s="303"/>
      <c r="I239" s="244"/>
      <c r="J239" s="303"/>
      <c r="K239" s="244"/>
      <c r="L239" s="303"/>
      <c r="M239" s="244"/>
      <c r="N239" s="303"/>
      <c r="O239" s="244"/>
      <c r="P239" s="244"/>
    </row>
    <row r="240" spans="1:16" ht="15.75" customHeight="1" x14ac:dyDescent="0.25">
      <c r="A240" s="244"/>
      <c r="B240" s="244"/>
      <c r="C240" s="244"/>
      <c r="D240" s="303"/>
      <c r="E240" s="244"/>
      <c r="F240" s="303"/>
      <c r="G240" s="244"/>
      <c r="H240" s="303"/>
      <c r="I240" s="244"/>
      <c r="J240" s="303"/>
      <c r="K240" s="244"/>
      <c r="L240" s="303"/>
      <c r="M240" s="244"/>
      <c r="N240" s="303"/>
      <c r="O240" s="244"/>
      <c r="P240" s="244"/>
    </row>
    <row r="241" spans="1:16" ht="15.75" customHeight="1" x14ac:dyDescent="0.25">
      <c r="A241" s="244"/>
      <c r="B241" s="244"/>
      <c r="C241" s="244"/>
      <c r="D241" s="303"/>
      <c r="E241" s="244"/>
      <c r="F241" s="303"/>
      <c r="G241" s="244"/>
      <c r="H241" s="303"/>
      <c r="I241" s="244"/>
      <c r="J241" s="303"/>
      <c r="K241" s="244"/>
      <c r="L241" s="303"/>
      <c r="M241" s="244"/>
      <c r="N241" s="303"/>
      <c r="O241" s="244"/>
      <c r="P241" s="244"/>
    </row>
    <row r="242" spans="1:16" ht="15.75" customHeight="1" x14ac:dyDescent="0.25">
      <c r="A242" s="244"/>
      <c r="B242" s="244"/>
      <c r="C242" s="244"/>
      <c r="D242" s="303"/>
      <c r="E242" s="244"/>
      <c r="F242" s="303"/>
      <c r="G242" s="244"/>
      <c r="H242" s="303"/>
      <c r="I242" s="244"/>
      <c r="J242" s="303"/>
      <c r="K242" s="244"/>
      <c r="L242" s="303"/>
      <c r="M242" s="244"/>
      <c r="N242" s="303"/>
      <c r="O242" s="244"/>
      <c r="P242" s="244"/>
    </row>
    <row r="243" spans="1:16" ht="15.75" customHeight="1" x14ac:dyDescent="0.25">
      <c r="A243" s="244"/>
      <c r="B243" s="244"/>
      <c r="C243" s="244"/>
      <c r="D243" s="303"/>
      <c r="E243" s="244"/>
      <c r="F243" s="303"/>
      <c r="G243" s="244"/>
      <c r="H243" s="303"/>
      <c r="I243" s="244"/>
      <c r="J243" s="303"/>
      <c r="K243" s="244"/>
      <c r="L243" s="303"/>
      <c r="M243" s="244"/>
      <c r="N243" s="303"/>
      <c r="O243" s="244"/>
      <c r="P243" s="244"/>
    </row>
    <row r="244" spans="1:16" ht="15.75" customHeight="1" x14ac:dyDescent="0.25">
      <c r="A244" s="244"/>
      <c r="B244" s="244"/>
      <c r="C244" s="244"/>
      <c r="D244" s="303"/>
      <c r="E244" s="244"/>
      <c r="F244" s="303"/>
      <c r="G244" s="244"/>
      <c r="H244" s="303"/>
      <c r="I244" s="244"/>
      <c r="J244" s="303"/>
      <c r="K244" s="244"/>
      <c r="L244" s="303"/>
      <c r="M244" s="244"/>
      <c r="N244" s="303"/>
      <c r="O244" s="244"/>
      <c r="P244" s="244"/>
    </row>
    <row r="245" spans="1:16" ht="15.75" customHeight="1" x14ac:dyDescent="0.25">
      <c r="A245" s="244"/>
      <c r="B245" s="244"/>
      <c r="C245" s="244"/>
      <c r="D245" s="303"/>
      <c r="E245" s="244"/>
      <c r="F245" s="303"/>
      <c r="G245" s="244"/>
      <c r="H245" s="303"/>
      <c r="I245" s="244"/>
      <c r="J245" s="303"/>
      <c r="K245" s="244"/>
      <c r="L245" s="303"/>
      <c r="M245" s="244"/>
      <c r="N245" s="303"/>
      <c r="O245" s="244"/>
      <c r="P245" s="244"/>
    </row>
    <row r="246" spans="1:16" ht="15.75" customHeight="1" x14ac:dyDescent="0.25">
      <c r="A246" s="244"/>
      <c r="B246" s="244"/>
      <c r="C246" s="244"/>
      <c r="D246" s="303"/>
      <c r="E246" s="244"/>
      <c r="F246" s="303"/>
      <c r="G246" s="244"/>
      <c r="H246" s="303"/>
      <c r="I246" s="244"/>
      <c r="J246" s="303"/>
      <c r="K246" s="244"/>
      <c r="L246" s="303"/>
      <c r="M246" s="244"/>
      <c r="N246" s="303"/>
      <c r="O246" s="244"/>
      <c r="P246" s="244"/>
    </row>
    <row r="247" spans="1:16" ht="15.75" customHeight="1" x14ac:dyDescent="0.25">
      <c r="A247" s="244"/>
      <c r="B247" s="244"/>
      <c r="C247" s="244"/>
      <c r="D247" s="303"/>
      <c r="E247" s="244"/>
      <c r="F247" s="303"/>
      <c r="G247" s="244"/>
      <c r="H247" s="303"/>
      <c r="I247" s="244"/>
      <c r="J247" s="303"/>
      <c r="K247" s="244"/>
      <c r="L247" s="303"/>
      <c r="M247" s="244"/>
      <c r="N247" s="303"/>
      <c r="O247" s="244"/>
      <c r="P247" s="244"/>
    </row>
    <row r="248" spans="1:16" ht="15.75" customHeight="1" x14ac:dyDescent="0.25">
      <c r="A248" s="244"/>
      <c r="B248" s="244"/>
      <c r="C248" s="244"/>
      <c r="D248" s="303"/>
      <c r="E248" s="244"/>
      <c r="F248" s="303"/>
      <c r="G248" s="244"/>
      <c r="H248" s="303"/>
      <c r="I248" s="244"/>
      <c r="J248" s="303"/>
      <c r="K248" s="244"/>
      <c r="L248" s="303"/>
      <c r="M248" s="244"/>
      <c r="N248" s="303"/>
      <c r="O248" s="244"/>
      <c r="P248" s="244"/>
    </row>
    <row r="249" spans="1:16" ht="15.75" customHeight="1" x14ac:dyDescent="0.25">
      <c r="A249" s="244"/>
      <c r="B249" s="244"/>
      <c r="C249" s="244"/>
      <c r="D249" s="303"/>
      <c r="E249" s="244"/>
      <c r="F249" s="303"/>
      <c r="G249" s="244"/>
      <c r="H249" s="303"/>
      <c r="I249" s="244"/>
      <c r="J249" s="303"/>
      <c r="K249" s="244"/>
      <c r="L249" s="303"/>
      <c r="M249" s="244"/>
      <c r="N249" s="303"/>
      <c r="O249" s="244"/>
      <c r="P249" s="244"/>
    </row>
    <row r="250" spans="1:16" ht="15.75" customHeight="1" x14ac:dyDescent="0.25">
      <c r="A250" s="244"/>
      <c r="B250" s="244"/>
      <c r="C250" s="244"/>
      <c r="D250" s="303"/>
      <c r="E250" s="244"/>
      <c r="F250" s="303"/>
      <c r="G250" s="244"/>
      <c r="H250" s="303"/>
      <c r="I250" s="244"/>
      <c r="J250" s="303"/>
      <c r="K250" s="244"/>
      <c r="L250" s="303"/>
      <c r="M250" s="244"/>
      <c r="N250" s="303"/>
      <c r="O250" s="244"/>
      <c r="P250" s="244"/>
    </row>
    <row r="251" spans="1:16" ht="15.75" customHeight="1" x14ac:dyDescent="0.25">
      <c r="A251" s="244"/>
      <c r="B251" s="244"/>
      <c r="C251" s="244"/>
      <c r="D251" s="303"/>
      <c r="E251" s="244"/>
      <c r="F251" s="303"/>
      <c r="G251" s="244"/>
      <c r="H251" s="303"/>
      <c r="I251" s="244"/>
      <c r="J251" s="303"/>
      <c r="K251" s="244"/>
      <c r="L251" s="303"/>
      <c r="M251" s="244"/>
      <c r="N251" s="303"/>
      <c r="O251" s="244"/>
      <c r="P251" s="244"/>
    </row>
    <row r="252" spans="1:16" ht="15.75" customHeight="1" x14ac:dyDescent="0.25">
      <c r="A252" s="244"/>
      <c r="B252" s="244"/>
      <c r="C252" s="244"/>
      <c r="D252" s="303"/>
      <c r="E252" s="244"/>
      <c r="F252" s="303"/>
      <c r="G252" s="244"/>
      <c r="H252" s="303"/>
      <c r="I252" s="244"/>
      <c r="J252" s="303"/>
      <c r="K252" s="244"/>
      <c r="L252" s="303"/>
      <c r="M252" s="244"/>
      <c r="N252" s="303"/>
      <c r="O252" s="244"/>
      <c r="P252" s="244"/>
    </row>
    <row r="253" spans="1:16" ht="15.75" customHeight="1" x14ac:dyDescent="0.25">
      <c r="A253" s="244"/>
      <c r="B253" s="244"/>
      <c r="C253" s="244"/>
      <c r="D253" s="303"/>
      <c r="E253" s="244"/>
      <c r="F253" s="303"/>
      <c r="G253" s="244"/>
      <c r="H253" s="303"/>
      <c r="I253" s="244"/>
      <c r="J253" s="303"/>
      <c r="K253" s="244"/>
      <c r="L253" s="303"/>
      <c r="M253" s="244"/>
      <c r="N253" s="303"/>
      <c r="O253" s="244"/>
      <c r="P253" s="244"/>
    </row>
    <row r="254" spans="1:16" ht="15.75" customHeight="1" x14ac:dyDescent="0.25">
      <c r="A254" s="244"/>
      <c r="B254" s="244"/>
      <c r="C254" s="244"/>
      <c r="D254" s="303"/>
      <c r="E254" s="244"/>
      <c r="F254" s="303"/>
      <c r="G254" s="244"/>
      <c r="H254" s="303"/>
      <c r="I254" s="244"/>
      <c r="J254" s="303"/>
      <c r="K254" s="244"/>
      <c r="L254" s="303"/>
      <c r="M254" s="244"/>
      <c r="N254" s="303"/>
      <c r="O254" s="244"/>
      <c r="P254" s="244"/>
    </row>
    <row r="255" spans="1:16" ht="15.75" customHeight="1" x14ac:dyDescent="0.25">
      <c r="A255" s="244"/>
      <c r="B255" s="244"/>
      <c r="C255" s="244"/>
      <c r="D255" s="303"/>
      <c r="E255" s="244"/>
      <c r="F255" s="303"/>
      <c r="G255" s="244"/>
      <c r="H255" s="303"/>
      <c r="I255" s="244"/>
      <c r="J255" s="303"/>
      <c r="K255" s="244"/>
      <c r="L255" s="303"/>
      <c r="M255" s="244"/>
      <c r="N255" s="303"/>
      <c r="O255" s="244"/>
      <c r="P255" s="244"/>
    </row>
    <row r="256" spans="1:16" ht="15.75" customHeight="1" x14ac:dyDescent="0.25">
      <c r="A256" s="244"/>
      <c r="B256" s="244"/>
      <c r="C256" s="244"/>
      <c r="D256" s="303"/>
      <c r="E256" s="244"/>
      <c r="F256" s="303"/>
      <c r="G256" s="244"/>
      <c r="H256" s="303"/>
      <c r="I256" s="244"/>
      <c r="J256" s="303"/>
      <c r="K256" s="244"/>
      <c r="L256" s="303"/>
      <c r="M256" s="244"/>
      <c r="N256" s="303"/>
      <c r="O256" s="244"/>
      <c r="P256" s="244"/>
    </row>
    <row r="257" spans="1:16" ht="15.75" customHeight="1" x14ac:dyDescent="0.25">
      <c r="A257" s="244"/>
      <c r="B257" s="244"/>
      <c r="C257" s="244"/>
      <c r="D257" s="303"/>
      <c r="E257" s="244"/>
      <c r="F257" s="303"/>
      <c r="G257" s="244"/>
      <c r="H257" s="303"/>
      <c r="I257" s="244"/>
      <c r="J257" s="303"/>
      <c r="K257" s="244"/>
      <c r="L257" s="303"/>
      <c r="M257" s="244"/>
      <c r="N257" s="303"/>
      <c r="O257" s="244"/>
      <c r="P257" s="244"/>
    </row>
    <row r="258" spans="1:16" ht="15.75" customHeight="1" x14ac:dyDescent="0.25">
      <c r="A258" s="244"/>
      <c r="B258" s="244"/>
      <c r="C258" s="244"/>
      <c r="D258" s="303"/>
      <c r="E258" s="244"/>
      <c r="F258" s="303"/>
      <c r="G258" s="244"/>
      <c r="H258" s="303"/>
      <c r="I258" s="244"/>
      <c r="J258" s="303"/>
      <c r="K258" s="244"/>
      <c r="L258" s="303"/>
      <c r="M258" s="244"/>
      <c r="N258" s="303"/>
      <c r="O258" s="244"/>
      <c r="P258" s="244"/>
    </row>
    <row r="259" spans="1:16" ht="15.75" customHeight="1" x14ac:dyDescent="0.25">
      <c r="A259" s="244"/>
      <c r="B259" s="244"/>
      <c r="C259" s="244"/>
      <c r="D259" s="303"/>
      <c r="E259" s="244"/>
      <c r="F259" s="303"/>
      <c r="G259" s="244"/>
      <c r="H259" s="303"/>
      <c r="I259" s="244"/>
      <c r="J259" s="303"/>
      <c r="K259" s="244"/>
      <c r="L259" s="303"/>
      <c r="M259" s="244"/>
      <c r="N259" s="303"/>
      <c r="O259" s="244"/>
      <c r="P259" s="244"/>
    </row>
    <row r="260" spans="1:16" ht="15.75" customHeight="1" x14ac:dyDescent="0.25">
      <c r="A260" s="244"/>
      <c r="B260" s="244"/>
      <c r="C260" s="244"/>
      <c r="D260" s="303"/>
      <c r="E260" s="244"/>
      <c r="F260" s="303"/>
      <c r="G260" s="244"/>
      <c r="H260" s="303"/>
      <c r="I260" s="244"/>
      <c r="J260" s="303"/>
      <c r="K260" s="244"/>
      <c r="L260" s="303"/>
      <c r="M260" s="244"/>
      <c r="N260" s="303"/>
      <c r="O260" s="244"/>
      <c r="P260" s="244"/>
    </row>
    <row r="261" spans="1:16" ht="15.75" customHeight="1" x14ac:dyDescent="0.25">
      <c r="A261" s="244"/>
      <c r="B261" s="244"/>
      <c r="C261" s="244"/>
      <c r="D261" s="303"/>
      <c r="E261" s="244"/>
      <c r="F261" s="303"/>
      <c r="G261" s="244"/>
      <c r="H261" s="303"/>
      <c r="I261" s="244"/>
      <c r="J261" s="303"/>
      <c r="K261" s="244"/>
      <c r="L261" s="303"/>
      <c r="M261" s="244"/>
      <c r="N261" s="303"/>
      <c r="O261" s="244"/>
      <c r="P261" s="244"/>
    </row>
    <row r="262" spans="1:16" ht="15.75" customHeight="1" x14ac:dyDescent="0.25">
      <c r="A262" s="244"/>
      <c r="B262" s="244"/>
      <c r="C262" s="244"/>
      <c r="D262" s="303"/>
      <c r="E262" s="244"/>
      <c r="F262" s="303"/>
      <c r="G262" s="244"/>
      <c r="H262" s="303"/>
      <c r="I262" s="244"/>
      <c r="J262" s="303"/>
      <c r="K262" s="244"/>
      <c r="L262" s="303"/>
      <c r="M262" s="244"/>
      <c r="N262" s="303"/>
      <c r="O262" s="244"/>
      <c r="P262" s="244"/>
    </row>
    <row r="263" spans="1:16" ht="15.75" customHeight="1" x14ac:dyDescent="0.25">
      <c r="A263" s="244"/>
      <c r="B263" s="244"/>
      <c r="C263" s="244"/>
      <c r="D263" s="303"/>
      <c r="E263" s="244"/>
      <c r="F263" s="303"/>
      <c r="G263" s="244"/>
      <c r="H263" s="303"/>
      <c r="I263" s="244"/>
      <c r="J263" s="303"/>
      <c r="K263" s="244"/>
      <c r="L263" s="303"/>
      <c r="M263" s="244"/>
      <c r="N263" s="303"/>
      <c r="O263" s="244"/>
      <c r="P263" s="244"/>
    </row>
    <row r="264" spans="1:16" ht="15.75" customHeight="1" x14ac:dyDescent="0.25">
      <c r="A264" s="244"/>
      <c r="B264" s="244"/>
      <c r="C264" s="244"/>
      <c r="D264" s="303"/>
      <c r="E264" s="244"/>
      <c r="F264" s="303"/>
      <c r="G264" s="244"/>
      <c r="H264" s="303"/>
      <c r="I264" s="244"/>
      <c r="J264" s="303"/>
      <c r="K264" s="244"/>
      <c r="L264" s="303"/>
      <c r="M264" s="244"/>
      <c r="N264" s="303"/>
      <c r="O264" s="244"/>
      <c r="P264" s="244"/>
    </row>
    <row r="265" spans="1:16" ht="15.75" customHeight="1" x14ac:dyDescent="0.25">
      <c r="A265" s="244"/>
      <c r="B265" s="244"/>
      <c r="C265" s="244"/>
      <c r="D265" s="303"/>
      <c r="E265" s="244"/>
      <c r="F265" s="303"/>
      <c r="G265" s="244"/>
      <c r="H265" s="303"/>
      <c r="I265" s="244"/>
      <c r="J265" s="303"/>
      <c r="K265" s="244"/>
      <c r="L265" s="303"/>
      <c r="M265" s="244"/>
      <c r="N265" s="303"/>
      <c r="O265" s="244"/>
      <c r="P265" s="244"/>
    </row>
    <row r="266" spans="1:16" ht="15.75" customHeight="1" x14ac:dyDescent="0.25">
      <c r="A266" s="244"/>
      <c r="B266" s="244"/>
      <c r="C266" s="244"/>
      <c r="D266" s="303"/>
      <c r="E266" s="244"/>
      <c r="F266" s="303"/>
      <c r="G266" s="244"/>
      <c r="H266" s="303"/>
      <c r="I266" s="244"/>
      <c r="J266" s="303"/>
      <c r="K266" s="244"/>
      <c r="L266" s="303"/>
      <c r="M266" s="244"/>
      <c r="N266" s="303"/>
      <c r="O266" s="244"/>
      <c r="P266" s="244"/>
    </row>
    <row r="267" spans="1:16" ht="15.75" customHeight="1" x14ac:dyDescent="0.25">
      <c r="A267" s="244"/>
      <c r="B267" s="244"/>
      <c r="C267" s="244"/>
      <c r="D267" s="303"/>
      <c r="E267" s="244"/>
      <c r="F267" s="303"/>
      <c r="G267" s="244"/>
      <c r="H267" s="303"/>
      <c r="I267" s="244"/>
      <c r="J267" s="303"/>
      <c r="K267" s="244"/>
      <c r="L267" s="303"/>
      <c r="M267" s="244"/>
      <c r="N267" s="303"/>
      <c r="O267" s="244"/>
      <c r="P267" s="244"/>
    </row>
    <row r="268" spans="1:16" ht="15.75" customHeight="1" x14ac:dyDescent="0.25">
      <c r="A268" s="244"/>
      <c r="B268" s="244"/>
      <c r="C268" s="244"/>
      <c r="D268" s="303"/>
      <c r="E268" s="244"/>
      <c r="F268" s="303"/>
      <c r="G268" s="244"/>
      <c r="H268" s="303"/>
      <c r="I268" s="244"/>
      <c r="J268" s="303"/>
      <c r="K268" s="244"/>
      <c r="L268" s="303"/>
      <c r="M268" s="244"/>
      <c r="N268" s="303"/>
      <c r="O268" s="244"/>
      <c r="P268" s="244"/>
    </row>
    <row r="269" spans="1:16" ht="15.75" customHeight="1" x14ac:dyDescent="0.25">
      <c r="A269" s="244"/>
      <c r="B269" s="244"/>
      <c r="C269" s="244"/>
      <c r="D269" s="303"/>
      <c r="E269" s="244"/>
      <c r="F269" s="303"/>
      <c r="G269" s="244"/>
      <c r="H269" s="303"/>
      <c r="I269" s="244"/>
      <c r="J269" s="303"/>
      <c r="K269" s="244"/>
      <c r="L269" s="303"/>
      <c r="M269" s="244"/>
      <c r="N269" s="303"/>
      <c r="O269" s="244"/>
      <c r="P269" s="244"/>
    </row>
    <row r="270" spans="1:16" ht="15.75" customHeight="1" x14ac:dyDescent="0.25">
      <c r="A270" s="244"/>
      <c r="B270" s="244"/>
      <c r="C270" s="244"/>
      <c r="D270" s="303"/>
      <c r="E270" s="244"/>
      <c r="F270" s="303"/>
      <c r="G270" s="244"/>
      <c r="H270" s="303"/>
      <c r="I270" s="244"/>
      <c r="J270" s="303"/>
      <c r="K270" s="244"/>
      <c r="L270" s="303"/>
      <c r="M270" s="244"/>
      <c r="N270" s="303"/>
      <c r="O270" s="244"/>
      <c r="P270" s="244"/>
    </row>
    <row r="271" spans="1:16" ht="15.75" customHeight="1" x14ac:dyDescent="0.25">
      <c r="A271" s="244"/>
      <c r="B271" s="244"/>
      <c r="C271" s="244"/>
      <c r="D271" s="303"/>
      <c r="E271" s="244"/>
      <c r="F271" s="303"/>
      <c r="G271" s="244"/>
      <c r="H271" s="303"/>
      <c r="I271" s="244"/>
      <c r="J271" s="303"/>
      <c r="K271" s="244"/>
      <c r="L271" s="303"/>
      <c r="M271" s="244"/>
      <c r="N271" s="303"/>
      <c r="O271" s="244"/>
      <c r="P271" s="244"/>
    </row>
    <row r="272" spans="1:16" ht="15.75" customHeight="1" x14ac:dyDescent="0.25">
      <c r="A272" s="244"/>
      <c r="B272" s="244"/>
      <c r="C272" s="244"/>
      <c r="D272" s="303"/>
      <c r="E272" s="244"/>
      <c r="F272" s="303"/>
      <c r="G272" s="244"/>
      <c r="H272" s="303"/>
      <c r="I272" s="244"/>
      <c r="J272" s="303"/>
      <c r="K272" s="244"/>
      <c r="L272" s="303"/>
      <c r="M272" s="244"/>
      <c r="N272" s="303"/>
      <c r="O272" s="244"/>
      <c r="P272" s="244"/>
    </row>
    <row r="273" spans="1:16" ht="15.75" customHeight="1" x14ac:dyDescent="0.25">
      <c r="A273" s="244"/>
      <c r="B273" s="244"/>
      <c r="C273" s="244"/>
      <c r="D273" s="303"/>
      <c r="E273" s="244"/>
      <c r="F273" s="303"/>
      <c r="G273" s="244"/>
      <c r="H273" s="303"/>
      <c r="I273" s="244"/>
      <c r="J273" s="303"/>
      <c r="K273" s="244"/>
      <c r="L273" s="303"/>
      <c r="M273" s="244"/>
      <c r="N273" s="303"/>
      <c r="O273" s="244"/>
      <c r="P273" s="244"/>
    </row>
    <row r="274" spans="1:16" ht="15.75" customHeight="1" x14ac:dyDescent="0.25">
      <c r="A274" s="244"/>
      <c r="B274" s="244"/>
      <c r="C274" s="244"/>
      <c r="D274" s="303"/>
      <c r="E274" s="244"/>
      <c r="F274" s="303"/>
      <c r="G274" s="244"/>
      <c r="H274" s="303"/>
      <c r="I274" s="244"/>
      <c r="J274" s="303"/>
      <c r="K274" s="244"/>
      <c r="L274" s="303"/>
      <c r="M274" s="244"/>
      <c r="N274" s="303"/>
      <c r="O274" s="244"/>
      <c r="P274" s="244"/>
    </row>
    <row r="275" spans="1:16" ht="15.75" customHeight="1" x14ac:dyDescent="0.25">
      <c r="A275" s="244"/>
      <c r="B275" s="244"/>
      <c r="C275" s="244"/>
      <c r="D275" s="303"/>
      <c r="E275" s="244"/>
      <c r="F275" s="303"/>
      <c r="G275" s="244"/>
      <c r="H275" s="303"/>
      <c r="I275" s="244"/>
      <c r="J275" s="303"/>
      <c r="K275" s="244"/>
      <c r="L275" s="303"/>
      <c r="M275" s="244"/>
      <c r="N275" s="303"/>
      <c r="O275" s="244"/>
      <c r="P275" s="244"/>
    </row>
    <row r="276" spans="1:16" ht="15.75" customHeight="1" x14ac:dyDescent="0.25">
      <c r="A276" s="244"/>
      <c r="B276" s="244"/>
      <c r="C276" s="244"/>
      <c r="D276" s="303"/>
      <c r="E276" s="244"/>
      <c r="F276" s="303"/>
      <c r="G276" s="244"/>
      <c r="H276" s="303"/>
      <c r="I276" s="244"/>
      <c r="J276" s="303"/>
      <c r="K276" s="244"/>
      <c r="L276" s="303"/>
      <c r="M276" s="244"/>
      <c r="N276" s="303"/>
      <c r="O276" s="244"/>
      <c r="P276" s="244"/>
    </row>
    <row r="277" spans="1:16" ht="15.75" customHeight="1" x14ac:dyDescent="0.25">
      <c r="A277" s="244"/>
      <c r="B277" s="244"/>
      <c r="C277" s="244"/>
      <c r="D277" s="303"/>
      <c r="E277" s="244"/>
      <c r="F277" s="303"/>
      <c r="G277" s="244"/>
      <c r="H277" s="303"/>
      <c r="I277" s="244"/>
      <c r="J277" s="303"/>
      <c r="K277" s="244"/>
      <c r="L277" s="303"/>
      <c r="M277" s="244"/>
      <c r="N277" s="303"/>
      <c r="O277" s="244"/>
      <c r="P277" s="244"/>
    </row>
    <row r="278" spans="1:16" ht="15.75" customHeight="1" x14ac:dyDescent="0.25">
      <c r="A278" s="244"/>
      <c r="B278" s="244"/>
      <c r="C278" s="244"/>
      <c r="D278" s="303"/>
      <c r="E278" s="244"/>
      <c r="F278" s="303"/>
      <c r="G278" s="244"/>
      <c r="H278" s="303"/>
      <c r="I278" s="244"/>
      <c r="J278" s="303"/>
      <c r="K278" s="244"/>
      <c r="L278" s="303"/>
      <c r="M278" s="244"/>
      <c r="N278" s="303"/>
      <c r="O278" s="244"/>
      <c r="P278" s="244"/>
    </row>
    <row r="279" spans="1:16" ht="15.75" customHeight="1" x14ac:dyDescent="0.25">
      <c r="A279" s="244"/>
      <c r="B279" s="244"/>
      <c r="C279" s="244"/>
      <c r="D279" s="303"/>
      <c r="E279" s="244"/>
      <c r="F279" s="303"/>
      <c r="G279" s="244"/>
      <c r="H279" s="303"/>
      <c r="I279" s="244"/>
      <c r="J279" s="303"/>
      <c r="K279" s="244"/>
      <c r="L279" s="303"/>
      <c r="M279" s="244"/>
      <c r="N279" s="303"/>
      <c r="O279" s="244"/>
      <c r="P279" s="244"/>
    </row>
    <row r="280" spans="1:16" ht="15.75" customHeight="1" x14ac:dyDescent="0.25">
      <c r="A280" s="244"/>
      <c r="B280" s="244"/>
      <c r="C280" s="244"/>
      <c r="D280" s="303"/>
      <c r="E280" s="244"/>
      <c r="F280" s="303"/>
      <c r="G280" s="244"/>
      <c r="H280" s="303"/>
      <c r="I280" s="244"/>
      <c r="J280" s="303"/>
      <c r="K280" s="244"/>
      <c r="L280" s="303"/>
      <c r="M280" s="244"/>
      <c r="N280" s="303"/>
      <c r="O280" s="244"/>
      <c r="P280" s="244"/>
    </row>
    <row r="281" spans="1:16" ht="15.75" customHeight="1" x14ac:dyDescent="0.25">
      <c r="A281" s="244"/>
      <c r="B281" s="244"/>
      <c r="C281" s="244"/>
      <c r="D281" s="303"/>
      <c r="E281" s="244"/>
      <c r="F281" s="303"/>
      <c r="G281" s="244"/>
      <c r="H281" s="303"/>
      <c r="I281" s="244"/>
      <c r="J281" s="303"/>
      <c r="K281" s="244"/>
      <c r="L281" s="303"/>
      <c r="M281" s="244"/>
      <c r="N281" s="303"/>
      <c r="O281" s="244"/>
      <c r="P281" s="244"/>
    </row>
    <row r="282" spans="1:16" ht="15.75" customHeight="1" x14ac:dyDescent="0.25">
      <c r="A282" s="244"/>
      <c r="B282" s="244"/>
      <c r="C282" s="244"/>
      <c r="D282" s="303"/>
      <c r="E282" s="244"/>
      <c r="F282" s="303"/>
      <c r="G282" s="244"/>
      <c r="H282" s="303"/>
      <c r="I282" s="244"/>
      <c r="J282" s="303"/>
      <c r="K282" s="244"/>
      <c r="L282" s="303"/>
      <c r="M282" s="244"/>
      <c r="N282" s="303"/>
      <c r="O282" s="244"/>
      <c r="P282" s="244"/>
    </row>
    <row r="283" spans="1:16" ht="15.75" customHeight="1" x14ac:dyDescent="0.25">
      <c r="A283" s="244"/>
      <c r="B283" s="244"/>
      <c r="C283" s="244"/>
      <c r="D283" s="303"/>
      <c r="E283" s="244"/>
      <c r="F283" s="303"/>
      <c r="G283" s="244"/>
      <c r="H283" s="303"/>
      <c r="I283" s="244"/>
      <c r="J283" s="303"/>
      <c r="K283" s="244"/>
      <c r="L283" s="303"/>
      <c r="M283" s="244"/>
      <c r="N283" s="303"/>
      <c r="O283" s="244"/>
      <c r="P283" s="244"/>
    </row>
    <row r="284" spans="1:16" ht="15.75" customHeight="1" x14ac:dyDescent="0.25">
      <c r="A284" s="244"/>
      <c r="B284" s="244"/>
      <c r="C284" s="244"/>
      <c r="D284" s="303"/>
      <c r="E284" s="244"/>
      <c r="F284" s="303"/>
      <c r="G284" s="244"/>
      <c r="H284" s="303"/>
      <c r="I284" s="244"/>
      <c r="J284" s="303"/>
      <c r="K284" s="244"/>
      <c r="L284" s="303"/>
      <c r="M284" s="244"/>
      <c r="N284" s="303"/>
      <c r="O284" s="244"/>
      <c r="P284" s="244"/>
    </row>
    <row r="285" spans="1:16" ht="15.75" customHeight="1" x14ac:dyDescent="0.25">
      <c r="A285" s="244"/>
      <c r="B285" s="244"/>
      <c r="C285" s="244"/>
      <c r="D285" s="303"/>
      <c r="E285" s="244"/>
      <c r="F285" s="303"/>
      <c r="G285" s="244"/>
      <c r="H285" s="303"/>
      <c r="I285" s="244"/>
      <c r="J285" s="303"/>
      <c r="K285" s="244"/>
      <c r="L285" s="303"/>
      <c r="M285" s="244"/>
      <c r="N285" s="303"/>
      <c r="O285" s="244"/>
      <c r="P285" s="244"/>
    </row>
    <row r="286" spans="1:16" ht="15.75" customHeight="1" x14ac:dyDescent="0.25">
      <c r="A286" s="244"/>
      <c r="B286" s="244"/>
      <c r="C286" s="244"/>
      <c r="D286" s="303"/>
      <c r="E286" s="244"/>
      <c r="F286" s="303"/>
      <c r="G286" s="244"/>
      <c r="H286" s="303"/>
      <c r="I286" s="244"/>
      <c r="J286" s="303"/>
      <c r="K286" s="244"/>
      <c r="L286" s="303"/>
      <c r="M286" s="244"/>
      <c r="N286" s="303"/>
      <c r="O286" s="244"/>
      <c r="P286" s="244"/>
    </row>
    <row r="287" spans="1:16" ht="15.75" customHeight="1" x14ac:dyDescent="0.25">
      <c r="A287" s="244"/>
      <c r="B287" s="244"/>
      <c r="C287" s="244"/>
      <c r="D287" s="303"/>
      <c r="E287" s="244"/>
      <c r="F287" s="303"/>
      <c r="G287" s="244"/>
      <c r="H287" s="303"/>
      <c r="I287" s="244"/>
      <c r="J287" s="303"/>
      <c r="K287" s="244"/>
      <c r="L287" s="303"/>
      <c r="M287" s="244"/>
      <c r="N287" s="303"/>
      <c r="O287" s="244"/>
      <c r="P287" s="244"/>
    </row>
    <row r="288" spans="1:16" ht="15.75" customHeight="1" x14ac:dyDescent="0.25">
      <c r="A288" s="244"/>
      <c r="B288" s="244"/>
      <c r="C288" s="244"/>
      <c r="D288" s="303"/>
      <c r="E288" s="244"/>
      <c r="F288" s="303"/>
      <c r="G288" s="244"/>
      <c r="H288" s="303"/>
      <c r="I288" s="244"/>
      <c r="J288" s="303"/>
      <c r="K288" s="244"/>
      <c r="L288" s="303"/>
      <c r="M288" s="244"/>
      <c r="N288" s="303"/>
      <c r="O288" s="244"/>
      <c r="P288" s="244"/>
    </row>
    <row r="289" spans="1:16" ht="15.75" customHeight="1" x14ac:dyDescent="0.25">
      <c r="A289" s="244"/>
      <c r="B289" s="244"/>
      <c r="C289" s="244"/>
      <c r="D289" s="303"/>
      <c r="E289" s="244"/>
      <c r="F289" s="303"/>
      <c r="G289" s="244"/>
      <c r="H289" s="303"/>
      <c r="I289" s="244"/>
      <c r="J289" s="303"/>
      <c r="K289" s="244"/>
      <c r="L289" s="303"/>
      <c r="M289" s="244"/>
      <c r="N289" s="303"/>
      <c r="O289" s="244"/>
      <c r="P289" s="244"/>
    </row>
    <row r="290" spans="1:16" ht="15.75" customHeight="1" x14ac:dyDescent="0.25">
      <c r="A290" s="244"/>
      <c r="B290" s="244"/>
      <c r="C290" s="244"/>
      <c r="D290" s="303"/>
      <c r="E290" s="244"/>
      <c r="F290" s="303"/>
      <c r="G290" s="244"/>
      <c r="H290" s="303"/>
      <c r="I290" s="244"/>
      <c r="J290" s="303"/>
      <c r="K290" s="244"/>
      <c r="L290" s="303"/>
      <c r="M290" s="244"/>
      <c r="N290" s="303"/>
      <c r="O290" s="244"/>
      <c r="P290" s="244"/>
    </row>
    <row r="291" spans="1:16" ht="15.75" customHeight="1" x14ac:dyDescent="0.25">
      <c r="A291" s="244"/>
      <c r="B291" s="244"/>
      <c r="C291" s="244"/>
      <c r="D291" s="303"/>
      <c r="E291" s="244"/>
      <c r="F291" s="303"/>
      <c r="G291" s="244"/>
      <c r="H291" s="303"/>
      <c r="I291" s="244"/>
      <c r="J291" s="303"/>
      <c r="K291" s="244"/>
      <c r="L291" s="303"/>
      <c r="M291" s="244"/>
      <c r="N291" s="303"/>
      <c r="O291" s="244"/>
      <c r="P291" s="244"/>
    </row>
    <row r="292" spans="1:16" ht="15.75" customHeight="1" x14ac:dyDescent="0.25">
      <c r="A292" s="244"/>
      <c r="B292" s="244"/>
      <c r="C292" s="244"/>
      <c r="D292" s="303"/>
      <c r="E292" s="244"/>
      <c r="F292" s="303"/>
      <c r="G292" s="244"/>
      <c r="H292" s="303"/>
      <c r="I292" s="244"/>
      <c r="J292" s="303"/>
      <c r="K292" s="244"/>
      <c r="L292" s="303"/>
      <c r="M292" s="244"/>
      <c r="N292" s="303"/>
      <c r="O292" s="244"/>
      <c r="P292" s="244"/>
    </row>
    <row r="293" spans="1:16" ht="15.75" customHeight="1" x14ac:dyDescent="0.25">
      <c r="A293" s="244"/>
      <c r="B293" s="244"/>
      <c r="C293" s="244"/>
      <c r="D293" s="303"/>
      <c r="E293" s="244"/>
      <c r="F293" s="303"/>
      <c r="G293" s="244"/>
      <c r="H293" s="303"/>
      <c r="I293" s="244"/>
      <c r="J293" s="303"/>
      <c r="K293" s="244"/>
      <c r="L293" s="303"/>
      <c r="M293" s="244"/>
      <c r="N293" s="303"/>
      <c r="O293" s="244"/>
      <c r="P293" s="244"/>
    </row>
    <row r="294" spans="1:16" ht="15.75" customHeight="1" x14ac:dyDescent="0.25">
      <c r="A294" s="244"/>
      <c r="B294" s="244"/>
      <c r="C294" s="244"/>
      <c r="D294" s="303"/>
      <c r="E294" s="244"/>
      <c r="F294" s="303"/>
      <c r="G294" s="244"/>
      <c r="H294" s="303"/>
      <c r="I294" s="244"/>
      <c r="J294" s="303"/>
      <c r="K294" s="244"/>
      <c r="L294" s="303"/>
      <c r="M294" s="244"/>
      <c r="N294" s="303"/>
      <c r="O294" s="244"/>
      <c r="P294" s="244"/>
    </row>
    <row r="295" spans="1:16" ht="15.75" customHeight="1" x14ac:dyDescent="0.25">
      <c r="A295" s="244"/>
      <c r="B295" s="244"/>
      <c r="C295" s="244"/>
      <c r="D295" s="303"/>
      <c r="E295" s="244"/>
      <c r="F295" s="303"/>
      <c r="G295" s="244"/>
      <c r="H295" s="303"/>
      <c r="I295" s="244"/>
      <c r="J295" s="303"/>
      <c r="K295" s="244"/>
      <c r="L295" s="303"/>
      <c r="M295" s="244"/>
      <c r="N295" s="303"/>
      <c r="O295" s="244"/>
      <c r="P295" s="244"/>
    </row>
    <row r="296" spans="1:16" ht="15.75" customHeight="1" x14ac:dyDescent="0.25">
      <c r="A296" s="244"/>
      <c r="B296" s="244"/>
      <c r="C296" s="244"/>
      <c r="D296" s="303"/>
      <c r="E296" s="244"/>
      <c r="F296" s="303"/>
      <c r="G296" s="244"/>
      <c r="H296" s="303"/>
      <c r="I296" s="244"/>
      <c r="J296" s="303"/>
      <c r="K296" s="244"/>
      <c r="L296" s="303"/>
      <c r="M296" s="244"/>
      <c r="N296" s="303"/>
      <c r="O296" s="244"/>
      <c r="P296" s="244"/>
    </row>
    <row r="297" spans="1:16" ht="15.75" customHeight="1" x14ac:dyDescent="0.25">
      <c r="A297" s="244"/>
      <c r="B297" s="244"/>
      <c r="C297" s="244"/>
      <c r="D297" s="303"/>
      <c r="E297" s="244"/>
      <c r="F297" s="303"/>
      <c r="G297" s="244"/>
      <c r="H297" s="303"/>
      <c r="I297" s="244"/>
      <c r="J297" s="303"/>
      <c r="K297" s="244"/>
      <c r="L297" s="303"/>
      <c r="M297" s="244"/>
      <c r="N297" s="303"/>
      <c r="O297" s="244"/>
      <c r="P297" s="244"/>
    </row>
    <row r="298" spans="1:16" ht="15.75" customHeight="1" x14ac:dyDescent="0.25">
      <c r="A298" s="244"/>
      <c r="B298" s="244"/>
      <c r="C298" s="244"/>
      <c r="D298" s="303"/>
      <c r="E298" s="244"/>
      <c r="F298" s="303"/>
      <c r="G298" s="244"/>
      <c r="H298" s="303"/>
      <c r="I298" s="244"/>
      <c r="J298" s="303"/>
      <c r="K298" s="244"/>
      <c r="L298" s="303"/>
      <c r="M298" s="244"/>
      <c r="N298" s="303"/>
      <c r="O298" s="244"/>
      <c r="P298" s="244"/>
    </row>
    <row r="299" spans="1:16" ht="15.75" customHeight="1" x14ac:dyDescent="0.25">
      <c r="A299" s="244"/>
      <c r="B299" s="244"/>
      <c r="C299" s="244"/>
      <c r="D299" s="303"/>
      <c r="E299" s="244"/>
      <c r="F299" s="303"/>
      <c r="G299" s="244"/>
      <c r="H299" s="303"/>
      <c r="I299" s="244"/>
      <c r="J299" s="303"/>
      <c r="K299" s="244"/>
      <c r="L299" s="303"/>
      <c r="M299" s="244"/>
      <c r="N299" s="303"/>
      <c r="O299" s="244"/>
      <c r="P299" s="244"/>
    </row>
    <row r="300" spans="1:16" ht="15.75" customHeight="1" x14ac:dyDescent="0.25">
      <c r="A300" s="244"/>
      <c r="B300" s="244"/>
      <c r="C300" s="244"/>
      <c r="D300" s="303"/>
      <c r="E300" s="244"/>
      <c r="F300" s="303"/>
      <c r="G300" s="244"/>
      <c r="H300" s="303"/>
      <c r="I300" s="244"/>
      <c r="J300" s="303"/>
      <c r="K300" s="244"/>
      <c r="L300" s="303"/>
      <c r="M300" s="244"/>
      <c r="N300" s="303"/>
      <c r="O300" s="244"/>
      <c r="P300" s="244"/>
    </row>
    <row r="301" spans="1:16" ht="15.75" customHeight="1" x14ac:dyDescent="0.25">
      <c r="A301" s="244"/>
      <c r="B301" s="244"/>
      <c r="C301" s="244"/>
      <c r="D301" s="303"/>
      <c r="E301" s="244"/>
      <c r="F301" s="303"/>
      <c r="G301" s="244"/>
      <c r="H301" s="303"/>
      <c r="I301" s="244"/>
      <c r="J301" s="303"/>
      <c r="K301" s="244"/>
      <c r="L301" s="303"/>
      <c r="M301" s="244"/>
      <c r="N301" s="303"/>
      <c r="O301" s="244"/>
      <c r="P301" s="244"/>
    </row>
    <row r="302" spans="1:16" ht="15.75" customHeight="1" x14ac:dyDescent="0.25">
      <c r="A302" s="244"/>
      <c r="B302" s="244"/>
      <c r="C302" s="244"/>
      <c r="D302" s="303"/>
      <c r="E302" s="244"/>
      <c r="F302" s="303"/>
      <c r="G302" s="244"/>
      <c r="H302" s="303"/>
      <c r="I302" s="244"/>
      <c r="J302" s="303"/>
      <c r="K302" s="244"/>
      <c r="L302" s="303"/>
      <c r="M302" s="244"/>
      <c r="N302" s="303"/>
      <c r="O302" s="244"/>
      <c r="P302" s="244"/>
    </row>
    <row r="303" spans="1:16" ht="15.75" customHeight="1" x14ac:dyDescent="0.25">
      <c r="A303" s="244"/>
      <c r="B303" s="244"/>
      <c r="C303" s="244"/>
      <c r="D303" s="303"/>
      <c r="E303" s="244"/>
      <c r="F303" s="303"/>
      <c r="G303" s="244"/>
      <c r="H303" s="303"/>
      <c r="I303" s="244"/>
      <c r="J303" s="303"/>
      <c r="K303" s="244"/>
      <c r="L303" s="303"/>
      <c r="M303" s="244"/>
      <c r="N303" s="303"/>
      <c r="O303" s="244"/>
      <c r="P303" s="244"/>
    </row>
    <row r="304" spans="1:16" ht="15.75" customHeight="1" x14ac:dyDescent="0.25">
      <c r="A304" s="244"/>
      <c r="B304" s="244"/>
      <c r="C304" s="244"/>
      <c r="D304" s="303"/>
      <c r="E304" s="244"/>
      <c r="F304" s="303"/>
      <c r="G304" s="244"/>
      <c r="H304" s="303"/>
      <c r="I304" s="244"/>
      <c r="J304" s="303"/>
      <c r="K304" s="244"/>
      <c r="L304" s="303"/>
      <c r="M304" s="244"/>
      <c r="N304" s="303"/>
      <c r="O304" s="244"/>
      <c r="P304" s="244"/>
    </row>
    <row r="305" spans="1:16" ht="15.75" customHeight="1" x14ac:dyDescent="0.25">
      <c r="A305" s="244"/>
      <c r="B305" s="244"/>
      <c r="C305" s="244"/>
      <c r="D305" s="303"/>
      <c r="E305" s="244"/>
      <c r="F305" s="303"/>
      <c r="G305" s="244"/>
      <c r="H305" s="303"/>
      <c r="I305" s="244"/>
      <c r="J305" s="303"/>
      <c r="K305" s="244"/>
      <c r="L305" s="303"/>
      <c r="M305" s="244"/>
      <c r="N305" s="303"/>
      <c r="O305" s="244"/>
      <c r="P305" s="244"/>
    </row>
    <row r="306" spans="1:16" ht="15.75" customHeight="1" x14ac:dyDescent="0.25">
      <c r="A306" s="244"/>
      <c r="B306" s="244"/>
      <c r="C306" s="244"/>
      <c r="D306" s="303"/>
      <c r="E306" s="244"/>
      <c r="F306" s="303"/>
      <c r="G306" s="244"/>
      <c r="H306" s="303"/>
      <c r="I306" s="244"/>
      <c r="J306" s="303"/>
      <c r="K306" s="244"/>
      <c r="L306" s="303"/>
      <c r="M306" s="244"/>
      <c r="N306" s="303"/>
      <c r="O306" s="244"/>
      <c r="P306" s="244"/>
    </row>
    <row r="307" spans="1:16" ht="15.75" customHeight="1" x14ac:dyDescent="0.25">
      <c r="A307" s="244"/>
      <c r="B307" s="244"/>
      <c r="C307" s="244"/>
      <c r="D307" s="303"/>
      <c r="E307" s="244"/>
      <c r="F307" s="303"/>
      <c r="G307" s="244"/>
      <c r="H307" s="303"/>
      <c r="I307" s="244"/>
      <c r="J307" s="303"/>
      <c r="K307" s="244"/>
      <c r="L307" s="303"/>
      <c r="M307" s="244"/>
      <c r="N307" s="303"/>
      <c r="O307" s="244"/>
      <c r="P307" s="244"/>
    </row>
    <row r="308" spans="1:16" ht="15.75" customHeight="1" x14ac:dyDescent="0.25">
      <c r="A308" s="244"/>
      <c r="B308" s="244"/>
      <c r="C308" s="244"/>
      <c r="D308" s="303"/>
      <c r="E308" s="244"/>
      <c r="F308" s="303"/>
      <c r="G308" s="244"/>
      <c r="H308" s="303"/>
      <c r="I308" s="244"/>
      <c r="J308" s="303"/>
      <c r="K308" s="244"/>
      <c r="L308" s="303"/>
      <c r="M308" s="244"/>
      <c r="N308" s="303"/>
      <c r="O308" s="244"/>
      <c r="P308" s="244"/>
    </row>
    <row r="309" spans="1:16" ht="15.75" customHeight="1" x14ac:dyDescent="0.25">
      <c r="A309" s="244"/>
      <c r="B309" s="244"/>
      <c r="C309" s="244"/>
      <c r="D309" s="303"/>
      <c r="E309" s="244"/>
      <c r="F309" s="303"/>
      <c r="G309" s="244"/>
      <c r="H309" s="303"/>
      <c r="I309" s="244"/>
      <c r="J309" s="303"/>
      <c r="K309" s="244"/>
      <c r="L309" s="303"/>
      <c r="M309" s="244"/>
      <c r="N309" s="303"/>
      <c r="O309" s="244"/>
      <c r="P309" s="244"/>
    </row>
    <row r="310" spans="1:16" ht="15.75" customHeight="1" x14ac:dyDescent="0.25">
      <c r="A310" s="244"/>
      <c r="B310" s="244"/>
      <c r="C310" s="244"/>
      <c r="D310" s="303"/>
      <c r="E310" s="244"/>
      <c r="F310" s="303"/>
      <c r="G310" s="244"/>
      <c r="H310" s="303"/>
      <c r="I310" s="244"/>
      <c r="J310" s="303"/>
      <c r="K310" s="244"/>
      <c r="L310" s="303"/>
      <c r="M310" s="244"/>
      <c r="N310" s="303"/>
      <c r="O310" s="244"/>
      <c r="P310" s="244"/>
    </row>
    <row r="311" spans="1:16" ht="15.75" customHeight="1" x14ac:dyDescent="0.25">
      <c r="A311" s="244"/>
      <c r="B311" s="244"/>
      <c r="C311" s="244"/>
      <c r="D311" s="303"/>
      <c r="E311" s="244"/>
      <c r="F311" s="303"/>
      <c r="G311" s="244"/>
      <c r="H311" s="303"/>
      <c r="I311" s="244"/>
      <c r="J311" s="303"/>
      <c r="K311" s="244"/>
      <c r="L311" s="303"/>
      <c r="M311" s="244"/>
      <c r="N311" s="303"/>
      <c r="O311" s="244"/>
      <c r="P311" s="244"/>
    </row>
    <row r="312" spans="1:16" ht="15.75" customHeight="1" x14ac:dyDescent="0.25">
      <c r="A312" s="244"/>
      <c r="B312" s="244"/>
      <c r="C312" s="244"/>
      <c r="D312" s="303"/>
      <c r="E312" s="244"/>
      <c r="F312" s="303"/>
      <c r="G312" s="244"/>
      <c r="H312" s="303"/>
      <c r="I312" s="244"/>
      <c r="J312" s="303"/>
      <c r="K312" s="244"/>
      <c r="L312" s="303"/>
      <c r="M312" s="244"/>
      <c r="N312" s="303"/>
      <c r="O312" s="244"/>
      <c r="P312" s="244"/>
    </row>
    <row r="313" spans="1:16" ht="15.75" customHeight="1" x14ac:dyDescent="0.25">
      <c r="A313" s="244"/>
      <c r="B313" s="244"/>
      <c r="C313" s="244"/>
      <c r="D313" s="303"/>
      <c r="E313" s="244"/>
      <c r="F313" s="303"/>
      <c r="G313" s="244"/>
      <c r="H313" s="303"/>
      <c r="I313" s="244"/>
      <c r="J313" s="303"/>
      <c r="K313" s="244"/>
      <c r="L313" s="303"/>
      <c r="M313" s="244"/>
      <c r="N313" s="303"/>
      <c r="O313" s="244"/>
      <c r="P313" s="244"/>
    </row>
    <row r="314" spans="1:16" ht="15.75" customHeight="1" x14ac:dyDescent="0.25">
      <c r="A314" s="244"/>
      <c r="B314" s="244"/>
      <c r="C314" s="244"/>
      <c r="D314" s="303"/>
      <c r="E314" s="244"/>
      <c r="F314" s="303"/>
      <c r="G314" s="244"/>
      <c r="H314" s="303"/>
      <c r="I314" s="244"/>
      <c r="J314" s="303"/>
      <c r="K314" s="244"/>
      <c r="L314" s="303"/>
      <c r="M314" s="244"/>
      <c r="N314" s="303"/>
      <c r="O314" s="244"/>
      <c r="P314" s="244"/>
    </row>
    <row r="315" spans="1:16" ht="15.75" customHeight="1" x14ac:dyDescent="0.25">
      <c r="A315" s="244"/>
      <c r="B315" s="244"/>
      <c r="C315" s="244"/>
      <c r="D315" s="303"/>
      <c r="E315" s="244"/>
      <c r="F315" s="303"/>
      <c r="G315" s="244"/>
      <c r="H315" s="303"/>
      <c r="I315" s="244"/>
      <c r="J315" s="303"/>
      <c r="K315" s="244"/>
      <c r="L315" s="303"/>
      <c r="M315" s="244"/>
      <c r="N315" s="303"/>
      <c r="O315" s="244"/>
      <c r="P315" s="244"/>
    </row>
    <row r="316" spans="1:16" ht="15.75" customHeight="1" x14ac:dyDescent="0.25">
      <c r="A316" s="244"/>
      <c r="B316" s="244"/>
      <c r="C316" s="244"/>
      <c r="D316" s="303"/>
      <c r="E316" s="244"/>
      <c r="F316" s="303"/>
      <c r="G316" s="244"/>
      <c r="H316" s="303"/>
      <c r="I316" s="244"/>
      <c r="J316" s="303"/>
      <c r="K316" s="244"/>
      <c r="L316" s="303"/>
      <c r="M316" s="244"/>
      <c r="N316" s="303"/>
      <c r="O316" s="244"/>
      <c r="P316" s="244"/>
    </row>
    <row r="317" spans="1:16" ht="15.75" customHeight="1" x14ac:dyDescent="0.25">
      <c r="A317" s="244"/>
      <c r="B317" s="244"/>
      <c r="C317" s="244"/>
      <c r="D317" s="303"/>
      <c r="E317" s="244"/>
      <c r="F317" s="303"/>
      <c r="G317" s="244"/>
      <c r="H317" s="303"/>
      <c r="I317" s="244"/>
      <c r="J317" s="303"/>
      <c r="K317" s="244"/>
      <c r="L317" s="303"/>
      <c r="M317" s="244"/>
      <c r="N317" s="303"/>
      <c r="O317" s="244"/>
      <c r="P317" s="244"/>
    </row>
    <row r="318" spans="1:16" ht="15.75" customHeight="1" x14ac:dyDescent="0.25">
      <c r="A318" s="244"/>
      <c r="B318" s="244"/>
      <c r="C318" s="244"/>
      <c r="D318" s="303"/>
      <c r="E318" s="244"/>
      <c r="F318" s="303"/>
      <c r="G318" s="244"/>
      <c r="H318" s="303"/>
      <c r="I318" s="244"/>
      <c r="J318" s="303"/>
      <c r="K318" s="244"/>
      <c r="L318" s="303"/>
      <c r="M318" s="244"/>
      <c r="N318" s="303"/>
      <c r="O318" s="244"/>
      <c r="P318" s="244"/>
    </row>
    <row r="319" spans="1:16" ht="15.75" customHeight="1" x14ac:dyDescent="0.25">
      <c r="A319" s="244"/>
      <c r="B319" s="244"/>
      <c r="C319" s="244"/>
      <c r="D319" s="303"/>
      <c r="E319" s="244"/>
      <c r="F319" s="303"/>
      <c r="G319" s="244"/>
      <c r="H319" s="303"/>
      <c r="I319" s="244"/>
      <c r="J319" s="303"/>
      <c r="K319" s="244"/>
      <c r="L319" s="303"/>
      <c r="M319" s="244"/>
      <c r="N319" s="303"/>
      <c r="O319" s="244"/>
      <c r="P319" s="244"/>
    </row>
    <row r="320" spans="1:16" ht="15.75" customHeight="1" x14ac:dyDescent="0.25">
      <c r="A320" s="244"/>
      <c r="B320" s="244"/>
      <c r="C320" s="244"/>
      <c r="D320" s="303"/>
      <c r="E320" s="244"/>
      <c r="F320" s="303"/>
      <c r="G320" s="244"/>
      <c r="H320" s="303"/>
      <c r="I320" s="244"/>
      <c r="J320" s="303"/>
      <c r="K320" s="244"/>
      <c r="L320" s="303"/>
      <c r="M320" s="244"/>
      <c r="N320" s="303"/>
      <c r="O320" s="244"/>
      <c r="P320" s="244"/>
    </row>
    <row r="321" spans="1:16" ht="15.75" customHeight="1" x14ac:dyDescent="0.25">
      <c r="A321" s="244"/>
      <c r="B321" s="244"/>
      <c r="C321" s="244"/>
      <c r="D321" s="303"/>
      <c r="E321" s="244"/>
      <c r="F321" s="303"/>
      <c r="G321" s="244"/>
      <c r="H321" s="303"/>
      <c r="I321" s="244"/>
      <c r="J321" s="303"/>
      <c r="K321" s="244"/>
      <c r="L321" s="303"/>
      <c r="M321" s="244"/>
      <c r="N321" s="303"/>
      <c r="O321" s="244"/>
      <c r="P321" s="244"/>
    </row>
    <row r="322" spans="1:16" ht="15.75" customHeight="1" x14ac:dyDescent="0.25">
      <c r="A322" s="244"/>
      <c r="B322" s="244"/>
      <c r="C322" s="244"/>
      <c r="D322" s="303"/>
      <c r="E322" s="244"/>
      <c r="F322" s="303"/>
      <c r="G322" s="244"/>
      <c r="H322" s="303"/>
      <c r="I322" s="244"/>
      <c r="J322" s="303"/>
      <c r="K322" s="244"/>
      <c r="L322" s="303"/>
      <c r="M322" s="244"/>
      <c r="N322" s="303"/>
      <c r="O322" s="244"/>
      <c r="P322" s="244"/>
    </row>
    <row r="323" spans="1:16" ht="15.75" customHeight="1" x14ac:dyDescent="0.25">
      <c r="A323" s="244"/>
      <c r="B323" s="244"/>
      <c r="C323" s="244"/>
      <c r="D323" s="303"/>
      <c r="E323" s="244"/>
      <c r="F323" s="303"/>
      <c r="G323" s="244"/>
      <c r="H323" s="303"/>
      <c r="I323" s="244"/>
      <c r="J323" s="303"/>
      <c r="K323" s="244"/>
      <c r="L323" s="303"/>
      <c r="M323" s="244"/>
      <c r="N323" s="303"/>
      <c r="O323" s="244"/>
      <c r="P323" s="244"/>
    </row>
    <row r="324" spans="1:16" ht="15.75" customHeight="1" x14ac:dyDescent="0.25">
      <c r="A324" s="244"/>
      <c r="B324" s="244"/>
      <c r="C324" s="244"/>
      <c r="D324" s="303"/>
      <c r="E324" s="244"/>
      <c r="F324" s="303"/>
      <c r="G324" s="244"/>
      <c r="H324" s="303"/>
      <c r="I324" s="244"/>
      <c r="J324" s="303"/>
      <c r="K324" s="244"/>
      <c r="L324" s="303"/>
      <c r="M324" s="244"/>
      <c r="N324" s="303"/>
      <c r="O324" s="244"/>
      <c r="P324" s="244"/>
    </row>
    <row r="325" spans="1:16" ht="15.75" customHeight="1" x14ac:dyDescent="0.25">
      <c r="A325" s="244"/>
      <c r="B325" s="244"/>
      <c r="C325" s="244"/>
      <c r="D325" s="303"/>
      <c r="E325" s="244"/>
      <c r="F325" s="303"/>
      <c r="G325" s="244"/>
      <c r="H325" s="303"/>
      <c r="I325" s="244"/>
      <c r="J325" s="303"/>
      <c r="K325" s="244"/>
      <c r="L325" s="303"/>
      <c r="M325" s="244"/>
      <c r="N325" s="303"/>
      <c r="O325" s="244"/>
      <c r="P325" s="244"/>
    </row>
    <row r="326" spans="1:16" ht="15.75" customHeight="1" x14ac:dyDescent="0.25">
      <c r="A326" s="244"/>
      <c r="B326" s="244"/>
      <c r="C326" s="244"/>
      <c r="D326" s="303"/>
      <c r="E326" s="244"/>
      <c r="F326" s="303"/>
      <c r="G326" s="244"/>
      <c r="H326" s="303"/>
      <c r="I326" s="244"/>
      <c r="J326" s="303"/>
      <c r="K326" s="244"/>
      <c r="L326" s="303"/>
      <c r="M326" s="244"/>
      <c r="N326" s="303"/>
      <c r="O326" s="244"/>
      <c r="P326" s="244"/>
    </row>
    <row r="327" spans="1:16" ht="15.75" customHeight="1" x14ac:dyDescent="0.25">
      <c r="A327" s="244"/>
      <c r="B327" s="244"/>
      <c r="C327" s="244"/>
      <c r="D327" s="303"/>
      <c r="E327" s="244"/>
      <c r="F327" s="303"/>
      <c r="G327" s="244"/>
      <c r="H327" s="303"/>
      <c r="I327" s="244"/>
      <c r="J327" s="303"/>
      <c r="K327" s="244"/>
      <c r="L327" s="303"/>
      <c r="M327" s="244"/>
      <c r="N327" s="303"/>
      <c r="O327" s="244"/>
      <c r="P327" s="244"/>
    </row>
    <row r="328" spans="1:16" ht="15.75" customHeight="1" x14ac:dyDescent="0.25">
      <c r="A328" s="244"/>
      <c r="B328" s="244"/>
      <c r="C328" s="244"/>
      <c r="D328" s="303"/>
      <c r="E328" s="244"/>
      <c r="F328" s="303"/>
      <c r="G328" s="244"/>
      <c r="H328" s="303"/>
      <c r="I328" s="244"/>
      <c r="J328" s="303"/>
      <c r="K328" s="244"/>
      <c r="L328" s="303"/>
      <c r="M328" s="244"/>
      <c r="N328" s="303"/>
      <c r="O328" s="244"/>
      <c r="P328" s="244"/>
    </row>
    <row r="329" spans="1:16" ht="15.75" customHeight="1" x14ac:dyDescent="0.25">
      <c r="A329" s="244"/>
      <c r="B329" s="244"/>
      <c r="C329" s="244"/>
      <c r="D329" s="303"/>
      <c r="E329" s="244"/>
      <c r="F329" s="303"/>
      <c r="G329" s="244"/>
      <c r="H329" s="303"/>
      <c r="I329" s="244"/>
      <c r="J329" s="303"/>
      <c r="K329" s="244"/>
      <c r="L329" s="303"/>
      <c r="M329" s="244"/>
      <c r="N329" s="303"/>
      <c r="O329" s="244"/>
      <c r="P329" s="244"/>
    </row>
    <row r="330" spans="1:16" ht="15.75" customHeight="1" x14ac:dyDescent="0.25">
      <c r="A330" s="244"/>
      <c r="B330" s="244"/>
      <c r="C330" s="244"/>
      <c r="D330" s="303"/>
      <c r="E330" s="244"/>
      <c r="F330" s="303"/>
      <c r="G330" s="244"/>
      <c r="H330" s="303"/>
      <c r="I330" s="244"/>
      <c r="J330" s="303"/>
      <c r="K330" s="244"/>
      <c r="L330" s="303"/>
      <c r="M330" s="244"/>
      <c r="N330" s="303"/>
      <c r="O330" s="244"/>
      <c r="P330" s="244"/>
    </row>
    <row r="331" spans="1:16" ht="15.75" customHeight="1" x14ac:dyDescent="0.25">
      <c r="A331" s="244"/>
      <c r="B331" s="244"/>
      <c r="C331" s="244"/>
      <c r="D331" s="303"/>
      <c r="E331" s="244"/>
      <c r="F331" s="303"/>
      <c r="G331" s="244"/>
      <c r="H331" s="303"/>
      <c r="I331" s="244"/>
      <c r="J331" s="303"/>
      <c r="K331" s="244"/>
      <c r="L331" s="303"/>
      <c r="M331" s="244"/>
      <c r="N331" s="303"/>
      <c r="O331" s="244"/>
      <c r="P331" s="244"/>
    </row>
    <row r="332" spans="1:16" ht="15.75" customHeight="1" x14ac:dyDescent="0.25">
      <c r="A332" s="244"/>
      <c r="B332" s="244"/>
      <c r="C332" s="244"/>
      <c r="D332" s="303"/>
      <c r="E332" s="244"/>
      <c r="F332" s="303"/>
      <c r="G332" s="244"/>
      <c r="H332" s="303"/>
      <c r="I332" s="244"/>
      <c r="J332" s="303"/>
      <c r="K332" s="244"/>
      <c r="L332" s="303"/>
      <c r="M332" s="244"/>
      <c r="N332" s="303"/>
      <c r="O332" s="244"/>
      <c r="P332" s="244"/>
    </row>
    <row r="333" spans="1:16" ht="15.75" customHeight="1" x14ac:dyDescent="0.2"/>
    <row r="334" spans="1:16" ht="15.75" customHeight="1" x14ac:dyDescent="0.2"/>
    <row r="335" spans="1:16" ht="15.75" customHeight="1" x14ac:dyDescent="0.2"/>
    <row r="336" spans="1:1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4:B5"/>
    <mergeCell ref="C4:C5"/>
    <mergeCell ref="D4:I4"/>
    <mergeCell ref="J4:O4"/>
    <mergeCell ref="B59:C59"/>
  </mergeCells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1000"/>
  <sheetViews>
    <sheetView workbookViewId="0">
      <pane xSplit="3" ySplit="5" topLeftCell="D113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2.5703125" defaultRowHeight="15" customHeight="1" x14ac:dyDescent="0.2"/>
  <cols>
    <col min="1" max="1" width="5.5703125" customWidth="1"/>
    <col min="2" max="2" width="9.7109375" customWidth="1"/>
    <col min="3" max="3" width="54.85546875" customWidth="1"/>
    <col min="4" max="4" width="13.85546875" customWidth="1"/>
    <col min="5" max="5" width="12.5703125" hidden="1" customWidth="1"/>
    <col min="6" max="6" width="13.85546875" hidden="1" customWidth="1"/>
    <col min="7" max="7" width="12.5703125" hidden="1"/>
    <col min="8" max="9" width="12.5703125" hidden="1" customWidth="1"/>
    <col min="10" max="10" width="13.85546875" customWidth="1"/>
    <col min="11" max="11" width="12.5703125" hidden="1" customWidth="1"/>
    <col min="12" max="12" width="13.85546875" hidden="1" customWidth="1"/>
    <col min="13" max="13" width="12.5703125" hidden="1"/>
    <col min="14" max="15" width="12.5703125" hidden="1" customWidth="1"/>
    <col min="16" max="17" width="12.5703125" customWidth="1"/>
  </cols>
  <sheetData>
    <row r="1" spans="2:17" ht="15.75" customHeight="1" x14ac:dyDescent="0.25">
      <c r="B1" s="245" t="s">
        <v>0</v>
      </c>
      <c r="D1" s="114"/>
      <c r="F1" s="114"/>
      <c r="J1" s="114"/>
      <c r="L1" s="114"/>
      <c r="P1" s="383"/>
      <c r="Q1" s="383"/>
    </row>
    <row r="2" spans="2:17" ht="15.75" customHeight="1" x14ac:dyDescent="0.25">
      <c r="B2" s="304" t="s">
        <v>284</v>
      </c>
      <c r="C2" s="244"/>
      <c r="D2" s="114"/>
      <c r="F2" s="114"/>
      <c r="J2" s="114"/>
      <c r="L2" s="114"/>
      <c r="P2" s="383"/>
      <c r="Q2" s="383"/>
    </row>
    <row r="3" spans="2:17" ht="15.75" customHeight="1" x14ac:dyDescent="0.2">
      <c r="D3" s="114"/>
      <c r="F3" s="114"/>
      <c r="J3" s="114"/>
      <c r="L3" s="114"/>
      <c r="P3" s="383"/>
      <c r="Q3" s="383"/>
    </row>
    <row r="4" spans="2:17" ht="15.75" customHeight="1" x14ac:dyDescent="0.25">
      <c r="B4" s="950" t="s">
        <v>167</v>
      </c>
      <c r="C4" s="958" t="s">
        <v>46</v>
      </c>
      <c r="D4" s="954" t="s">
        <v>168</v>
      </c>
      <c r="E4" s="930"/>
      <c r="F4" s="930"/>
      <c r="G4" s="930"/>
      <c r="H4" s="930"/>
      <c r="I4" s="931"/>
      <c r="J4" s="954" t="s">
        <v>169</v>
      </c>
      <c r="K4" s="930"/>
      <c r="L4" s="930"/>
      <c r="M4" s="930"/>
      <c r="N4" s="930"/>
      <c r="O4" s="931"/>
      <c r="P4" s="305"/>
      <c r="Q4" s="305"/>
    </row>
    <row r="5" spans="2:17" ht="15.75" customHeight="1" x14ac:dyDescent="0.2">
      <c r="B5" s="957"/>
      <c r="C5" s="959"/>
      <c r="D5" s="384" t="s">
        <v>170</v>
      </c>
      <c r="E5" s="385" t="s">
        <v>18</v>
      </c>
      <c r="F5" s="386" t="s">
        <v>171</v>
      </c>
      <c r="G5" s="385" t="s">
        <v>18</v>
      </c>
      <c r="H5" s="386" t="s">
        <v>172</v>
      </c>
      <c r="I5" s="387" t="s">
        <v>260</v>
      </c>
      <c r="J5" s="388" t="s">
        <v>170</v>
      </c>
      <c r="K5" s="389" t="s">
        <v>18</v>
      </c>
      <c r="L5" s="390" t="s">
        <v>171</v>
      </c>
      <c r="M5" s="391" t="s">
        <v>18</v>
      </c>
      <c r="N5" s="390" t="s">
        <v>172</v>
      </c>
      <c r="O5" s="392" t="s">
        <v>260</v>
      </c>
      <c r="P5" s="91"/>
      <c r="Q5" s="91"/>
    </row>
    <row r="6" spans="2:17" ht="15.75" hidden="1" customHeight="1" x14ac:dyDescent="0.25">
      <c r="B6" s="324"/>
      <c r="C6" s="393" t="s">
        <v>78</v>
      </c>
      <c r="D6" s="394">
        <v>0</v>
      </c>
      <c r="E6" s="395"/>
      <c r="F6" s="396"/>
      <c r="G6" s="395"/>
      <c r="H6" s="397"/>
      <c r="I6" s="398"/>
      <c r="J6" s="394">
        <v>0</v>
      </c>
      <c r="K6" s="395"/>
      <c r="L6" s="396"/>
      <c r="M6" s="395"/>
      <c r="N6" s="397"/>
      <c r="O6" s="398"/>
      <c r="P6" s="383"/>
      <c r="Q6" s="383"/>
    </row>
    <row r="7" spans="2:17" ht="15.75" hidden="1" customHeight="1" x14ac:dyDescent="0.25">
      <c r="B7" s="270"/>
      <c r="C7" s="339" t="s">
        <v>85</v>
      </c>
      <c r="D7" s="399">
        <v>499</v>
      </c>
      <c r="E7" s="400"/>
      <c r="F7" s="401"/>
      <c r="G7" s="400"/>
      <c r="H7" s="402"/>
      <c r="I7" s="403"/>
      <c r="J7" s="399">
        <v>499</v>
      </c>
      <c r="K7" s="400"/>
      <c r="L7" s="401"/>
      <c r="M7" s="400"/>
      <c r="N7" s="402"/>
      <c r="O7" s="403"/>
      <c r="P7" s="383"/>
      <c r="Q7" s="383"/>
    </row>
    <row r="8" spans="2:17" ht="15.75" hidden="1" customHeight="1" x14ac:dyDescent="0.25">
      <c r="B8" s="270"/>
      <c r="C8" s="339" t="s">
        <v>92</v>
      </c>
      <c r="D8" s="399">
        <f>D24+D25+D28+D16</f>
        <v>68605</v>
      </c>
      <c r="E8" s="400"/>
      <c r="F8" s="401"/>
      <c r="G8" s="400"/>
      <c r="H8" s="402"/>
      <c r="I8" s="403"/>
      <c r="J8" s="399">
        <f>J24+J25+J28+J16</f>
        <v>18105</v>
      </c>
      <c r="K8" s="400"/>
      <c r="L8" s="401"/>
      <c r="M8" s="400"/>
      <c r="N8" s="402"/>
      <c r="O8" s="403"/>
      <c r="P8" s="383"/>
      <c r="Q8" s="383"/>
    </row>
    <row r="9" spans="2:17" ht="15.75" hidden="1" customHeight="1" x14ac:dyDescent="0.25">
      <c r="B9" s="270"/>
      <c r="C9" s="339" t="s">
        <v>99</v>
      </c>
      <c r="D9" s="399">
        <f>D17+D19+D20+D21</f>
        <v>791143</v>
      </c>
      <c r="E9" s="400"/>
      <c r="F9" s="401"/>
      <c r="G9" s="400"/>
      <c r="H9" s="402"/>
      <c r="I9" s="403"/>
      <c r="J9" s="399">
        <f>J17+J19+J20+J21</f>
        <v>789395</v>
      </c>
      <c r="K9" s="400"/>
      <c r="L9" s="401"/>
      <c r="M9" s="400"/>
      <c r="N9" s="402"/>
      <c r="O9" s="403"/>
      <c r="P9" s="383"/>
      <c r="Q9" s="383"/>
    </row>
    <row r="10" spans="2:17" ht="15.75" hidden="1" customHeight="1" x14ac:dyDescent="0.25">
      <c r="B10" s="270"/>
      <c r="C10" s="339" t="s">
        <v>106</v>
      </c>
      <c r="D10" s="399">
        <f>SUM(D8:D9)-D29</f>
        <v>0</v>
      </c>
      <c r="E10" s="400"/>
      <c r="F10" s="401"/>
      <c r="G10" s="400"/>
      <c r="H10" s="402"/>
      <c r="I10" s="403"/>
      <c r="J10" s="399">
        <f>SUM(J8:J9)-J29</f>
        <v>0</v>
      </c>
      <c r="K10" s="400"/>
      <c r="L10" s="401"/>
      <c r="M10" s="400"/>
      <c r="N10" s="402"/>
      <c r="O10" s="403"/>
      <c r="P10" s="383"/>
      <c r="Q10" s="383"/>
    </row>
    <row r="11" spans="2:17" ht="15.75" hidden="1" customHeight="1" x14ac:dyDescent="0.25">
      <c r="B11" s="270"/>
      <c r="C11" s="339" t="s">
        <v>113</v>
      </c>
      <c r="D11" s="399" t="e">
        <f t="shared" ref="D11:D12" si="0">D8/D6</f>
        <v>#DIV/0!</v>
      </c>
      <c r="E11" s="400"/>
      <c r="F11" s="401"/>
      <c r="G11" s="400"/>
      <c r="H11" s="402"/>
      <c r="I11" s="403"/>
      <c r="J11" s="399" t="e">
        <f t="shared" ref="J11:J12" si="1">J8/J6</f>
        <v>#DIV/0!</v>
      </c>
      <c r="K11" s="400"/>
      <c r="L11" s="401"/>
      <c r="M11" s="400"/>
      <c r="N11" s="402"/>
      <c r="O11" s="403"/>
      <c r="P11" s="383"/>
      <c r="Q11" s="383"/>
    </row>
    <row r="12" spans="2:17" ht="15.75" hidden="1" customHeight="1" x14ac:dyDescent="0.25">
      <c r="B12" s="270"/>
      <c r="C12" s="339" t="s">
        <v>120</v>
      </c>
      <c r="D12" s="399">
        <f t="shared" si="0"/>
        <v>1585.4569138276554</v>
      </c>
      <c r="E12" s="400"/>
      <c r="F12" s="401"/>
      <c r="G12" s="400"/>
      <c r="H12" s="402"/>
      <c r="I12" s="403"/>
      <c r="J12" s="399">
        <f t="shared" si="1"/>
        <v>1581.9539078156313</v>
      </c>
      <c r="K12" s="400"/>
      <c r="L12" s="401"/>
      <c r="M12" s="400"/>
      <c r="N12" s="402"/>
      <c r="O12" s="403"/>
      <c r="P12" s="383"/>
      <c r="Q12" s="383"/>
    </row>
    <row r="13" spans="2:17" ht="15.75" hidden="1" customHeight="1" x14ac:dyDescent="0.25">
      <c r="B13" s="270"/>
      <c r="C13" s="339"/>
      <c r="D13" s="399"/>
      <c r="E13" s="400"/>
      <c r="F13" s="401"/>
      <c r="G13" s="400"/>
      <c r="H13" s="402"/>
      <c r="I13" s="403"/>
      <c r="J13" s="399"/>
      <c r="K13" s="400"/>
      <c r="L13" s="401"/>
      <c r="M13" s="400"/>
      <c r="N13" s="402"/>
      <c r="O13" s="403"/>
      <c r="P13" s="383"/>
      <c r="Q13" s="383"/>
    </row>
    <row r="14" spans="2:17" ht="15.75" hidden="1" customHeight="1" x14ac:dyDescent="0.25">
      <c r="B14" s="314"/>
      <c r="C14" s="404"/>
      <c r="D14" s="405"/>
      <c r="E14" s="406"/>
      <c r="F14" s="407"/>
      <c r="G14" s="406"/>
      <c r="H14" s="408"/>
      <c r="I14" s="409"/>
      <c r="J14" s="405"/>
      <c r="K14" s="406"/>
      <c r="L14" s="407"/>
      <c r="M14" s="406"/>
      <c r="N14" s="408"/>
      <c r="O14" s="409"/>
      <c r="P14" s="383"/>
      <c r="Q14" s="383"/>
    </row>
    <row r="15" spans="2:17" ht="15.75" customHeight="1" x14ac:dyDescent="0.25">
      <c r="B15" s="319" t="s">
        <v>173</v>
      </c>
      <c r="C15" s="410"/>
      <c r="D15" s="257">
        <f>SUM(D16:D21)</f>
        <v>859748</v>
      </c>
      <c r="E15" s="348"/>
      <c r="F15" s="322">
        <f>SUM(F16:F21)</f>
        <v>0</v>
      </c>
      <c r="G15" s="348"/>
      <c r="H15" s="411">
        <f>SUM(H16:H21)</f>
        <v>0</v>
      </c>
      <c r="I15" s="349"/>
      <c r="J15" s="257">
        <f>SUM(J16:J21)</f>
        <v>807500</v>
      </c>
      <c r="K15" s="348"/>
      <c r="L15" s="322">
        <f>SUM(L16:L21)</f>
        <v>0</v>
      </c>
      <c r="M15" s="348"/>
      <c r="N15" s="411">
        <f>SUM(N16:N21)</f>
        <v>0</v>
      </c>
      <c r="O15" s="349"/>
      <c r="P15" s="117"/>
      <c r="Q15" s="117"/>
    </row>
    <row r="16" spans="2:17" ht="15.75" customHeight="1" x14ac:dyDescent="0.25">
      <c r="B16" s="324" t="s">
        <v>23</v>
      </c>
      <c r="C16" s="393" t="s">
        <v>175</v>
      </c>
      <c r="D16" s="261">
        <v>68605</v>
      </c>
      <c r="E16" s="372"/>
      <c r="F16" s="327">
        <v>0</v>
      </c>
      <c r="G16" s="372"/>
      <c r="H16" s="412"/>
      <c r="I16" s="413"/>
      <c r="J16" s="21">
        <v>18105</v>
      </c>
      <c r="K16" s="414"/>
      <c r="L16" s="327">
        <v>0</v>
      </c>
      <c r="M16" s="372"/>
      <c r="N16" s="412"/>
      <c r="O16" s="373"/>
      <c r="P16" s="383"/>
      <c r="Q16" s="383"/>
    </row>
    <row r="17" spans="2:17" ht="15.75" customHeight="1" x14ac:dyDescent="0.25">
      <c r="B17" s="331"/>
      <c r="C17" s="339" t="s">
        <v>176</v>
      </c>
      <c r="D17" s="265">
        <v>753785</v>
      </c>
      <c r="E17" s="313"/>
      <c r="F17" s="296"/>
      <c r="G17" s="313"/>
      <c r="H17" s="415"/>
      <c r="I17" s="344"/>
      <c r="J17" s="416">
        <v>779109</v>
      </c>
      <c r="K17" s="417"/>
      <c r="L17" s="296"/>
      <c r="M17" s="313"/>
      <c r="N17" s="415"/>
      <c r="O17" s="271"/>
      <c r="P17" s="383"/>
      <c r="Q17" s="383"/>
    </row>
    <row r="18" spans="2:17" ht="15.75" customHeight="1" x14ac:dyDescent="0.25">
      <c r="B18" s="331"/>
      <c r="C18" s="312" t="s">
        <v>261</v>
      </c>
      <c r="D18" s="265"/>
      <c r="E18" s="332">
        <f>D18/$D$15</f>
        <v>0</v>
      </c>
      <c r="F18" s="296"/>
      <c r="G18" s="332" t="e">
        <f>F18/$F$15</f>
        <v>#DIV/0!</v>
      </c>
      <c r="H18" s="296">
        <f>D18-F18</f>
        <v>0</v>
      </c>
      <c r="I18" s="336"/>
      <c r="J18" s="261"/>
      <c r="K18" s="332">
        <f>J18/$D$15</f>
        <v>0</v>
      </c>
      <c r="L18" s="296"/>
      <c r="M18" s="332" t="e">
        <f>L18/$F$15</f>
        <v>#DIV/0!</v>
      </c>
      <c r="N18" s="296">
        <f>J18-L18</f>
        <v>0</v>
      </c>
      <c r="O18" s="336"/>
      <c r="P18" s="383"/>
      <c r="Q18" s="383"/>
    </row>
    <row r="19" spans="2:17" ht="15.75" customHeight="1" x14ac:dyDescent="0.25">
      <c r="B19" s="331"/>
      <c r="C19" s="339" t="s">
        <v>177</v>
      </c>
      <c r="D19" s="265">
        <v>37358</v>
      </c>
      <c r="E19" s="313"/>
      <c r="F19" s="296"/>
      <c r="G19" s="313"/>
      <c r="H19" s="415"/>
      <c r="I19" s="271"/>
      <c r="J19" s="45">
        <v>10286</v>
      </c>
      <c r="K19" s="313"/>
      <c r="L19" s="296"/>
      <c r="M19" s="313"/>
      <c r="N19" s="415"/>
      <c r="O19" s="271"/>
      <c r="P19" s="383"/>
      <c r="Q19" s="383"/>
    </row>
    <row r="20" spans="2:17" ht="15.75" customHeight="1" x14ac:dyDescent="0.25">
      <c r="B20" s="331"/>
      <c r="C20" s="339" t="s">
        <v>178</v>
      </c>
      <c r="D20" s="265"/>
      <c r="E20" s="313"/>
      <c r="F20" s="296"/>
      <c r="G20" s="313"/>
      <c r="H20" s="415"/>
      <c r="I20" s="271"/>
      <c r="J20" s="265"/>
      <c r="K20" s="313"/>
      <c r="L20" s="296"/>
      <c r="M20" s="313"/>
      <c r="N20" s="415"/>
      <c r="O20" s="271"/>
      <c r="P20" s="383"/>
      <c r="Q20" s="383"/>
    </row>
    <row r="21" spans="2:17" ht="15.75" customHeight="1" x14ac:dyDescent="0.25">
      <c r="B21" s="418"/>
      <c r="C21" s="339" t="s">
        <v>179</v>
      </c>
      <c r="D21" s="265"/>
      <c r="E21" s="313"/>
      <c r="F21" s="296"/>
      <c r="G21" s="313"/>
      <c r="H21" s="415"/>
      <c r="I21" s="271"/>
      <c r="J21" s="265"/>
      <c r="K21" s="313"/>
      <c r="L21" s="296"/>
      <c r="M21" s="313"/>
      <c r="N21" s="415"/>
      <c r="O21" s="271"/>
      <c r="P21" s="383"/>
      <c r="Q21" s="383"/>
    </row>
    <row r="22" spans="2:17" ht="15.75" customHeight="1" x14ac:dyDescent="0.25">
      <c r="B22" s="331"/>
      <c r="C22" s="312" t="s">
        <v>263</v>
      </c>
      <c r="D22" s="265"/>
      <c r="E22" s="332">
        <f>D22/$D$15</f>
        <v>0</v>
      </c>
      <c r="F22" s="296"/>
      <c r="G22" s="332"/>
      <c r="H22" s="296">
        <f>D22-F22</f>
        <v>0</v>
      </c>
      <c r="I22" s="343" t="str">
        <f>IFERROR(H22/F22,"")</f>
        <v/>
      </c>
      <c r="J22" s="265"/>
      <c r="K22" s="332">
        <f>J22/$D$15</f>
        <v>0</v>
      </c>
      <c r="L22" s="296"/>
      <c r="M22" s="332"/>
      <c r="N22" s="296">
        <f>J22-L22</f>
        <v>0</v>
      </c>
      <c r="O22" s="343" t="str">
        <f>IFERROR(N22/L22,"")</f>
        <v/>
      </c>
      <c r="P22" s="383"/>
      <c r="Q22" s="383"/>
    </row>
    <row r="23" spans="2:17" ht="15.75" customHeight="1" x14ac:dyDescent="0.25">
      <c r="B23" s="270"/>
      <c r="C23" s="419"/>
      <c r="D23" s="265"/>
      <c r="E23" s="313"/>
      <c r="F23" s="296"/>
      <c r="G23" s="313"/>
      <c r="H23" s="415"/>
      <c r="I23" s="271"/>
      <c r="J23" s="265"/>
      <c r="K23" s="313"/>
      <c r="L23" s="296"/>
      <c r="M23" s="313"/>
      <c r="N23" s="415"/>
      <c r="O23" s="271"/>
      <c r="P23" s="383"/>
      <c r="Q23" s="383"/>
    </row>
    <row r="24" spans="2:17" ht="15.75" customHeight="1" x14ac:dyDescent="0.25">
      <c r="B24" s="270" t="s">
        <v>21</v>
      </c>
      <c r="C24" s="419" t="s">
        <v>21</v>
      </c>
      <c r="D24" s="265">
        <v>0</v>
      </c>
      <c r="E24" s="313"/>
      <c r="F24" s="296"/>
      <c r="G24" s="313"/>
      <c r="H24" s="415">
        <v>0</v>
      </c>
      <c r="I24" s="271"/>
      <c r="J24" s="265">
        <v>0</v>
      </c>
      <c r="K24" s="313"/>
      <c r="L24" s="296"/>
      <c r="M24" s="313"/>
      <c r="N24" s="415">
        <v>0</v>
      </c>
      <c r="O24" s="271"/>
      <c r="P24" s="383"/>
      <c r="Q24" s="383"/>
    </row>
    <row r="25" spans="2:17" ht="15.75" customHeight="1" x14ac:dyDescent="0.25">
      <c r="B25" s="270" t="s">
        <v>22</v>
      </c>
      <c r="C25" s="419" t="s">
        <v>22</v>
      </c>
      <c r="D25" s="265">
        <v>0</v>
      </c>
      <c r="E25" s="313"/>
      <c r="F25" s="296"/>
      <c r="G25" s="313"/>
      <c r="H25" s="415">
        <v>0</v>
      </c>
      <c r="I25" s="271"/>
      <c r="J25" s="276">
        <v>0</v>
      </c>
      <c r="K25" s="313"/>
      <c r="L25" s="296"/>
      <c r="M25" s="313"/>
      <c r="N25" s="415">
        <v>0</v>
      </c>
      <c r="O25" s="271"/>
      <c r="P25" s="383"/>
      <c r="Q25" s="383"/>
    </row>
    <row r="26" spans="2:17" ht="15.75" customHeight="1" x14ac:dyDescent="0.25">
      <c r="B26" s="270" t="s">
        <v>23</v>
      </c>
      <c r="C26" s="419" t="s">
        <v>180</v>
      </c>
      <c r="D26" s="268">
        <f>SUM(D16:D22)</f>
        <v>859748</v>
      </c>
      <c r="E26" s="313"/>
      <c r="F26" s="345"/>
      <c r="G26" s="313"/>
      <c r="H26" s="420">
        <f>SUM(H16:H21)</f>
        <v>0</v>
      </c>
      <c r="I26" s="344"/>
      <c r="J26" s="268">
        <f>SUM(J16:J22)</f>
        <v>807500</v>
      </c>
      <c r="K26" s="417"/>
      <c r="L26" s="345"/>
      <c r="M26" s="313"/>
      <c r="N26" s="420">
        <f>SUM(N16:N21)</f>
        <v>0</v>
      </c>
      <c r="O26" s="271"/>
      <c r="P26" s="383"/>
      <c r="Q26" s="383"/>
    </row>
    <row r="27" spans="2:17" ht="15.75" customHeight="1" x14ac:dyDescent="0.25">
      <c r="B27" s="331"/>
      <c r="C27" s="419"/>
      <c r="D27" s="265"/>
      <c r="E27" s="313"/>
      <c r="F27" s="296"/>
      <c r="G27" s="313"/>
      <c r="H27" s="313"/>
      <c r="I27" s="271"/>
      <c r="J27" s="261"/>
      <c r="K27" s="313"/>
      <c r="L27" s="296"/>
      <c r="M27" s="313"/>
      <c r="N27" s="313"/>
      <c r="O27" s="271"/>
      <c r="P27" s="383"/>
      <c r="Q27" s="383"/>
    </row>
    <row r="28" spans="2:17" ht="15.75" customHeight="1" x14ac:dyDescent="0.25">
      <c r="B28" s="346"/>
      <c r="C28" s="421" t="s">
        <v>181</v>
      </c>
      <c r="D28" s="276"/>
      <c r="E28" s="316"/>
      <c r="F28" s="317">
        <v>0</v>
      </c>
      <c r="G28" s="316"/>
      <c r="H28" s="316"/>
      <c r="I28" s="318"/>
      <c r="J28" s="276"/>
      <c r="K28" s="316"/>
      <c r="L28" s="317">
        <v>0</v>
      </c>
      <c r="M28" s="316"/>
      <c r="N28" s="316"/>
      <c r="O28" s="318"/>
      <c r="P28" s="383"/>
      <c r="Q28" s="383"/>
    </row>
    <row r="29" spans="2:17" ht="15.75" customHeight="1" x14ac:dyDescent="0.25">
      <c r="B29" s="347"/>
      <c r="C29" s="410" t="s">
        <v>182</v>
      </c>
      <c r="D29" s="257">
        <f>D24+D25+D26+D28</f>
        <v>859748</v>
      </c>
      <c r="E29" s="348"/>
      <c r="F29" s="322">
        <f>F24+F25+F26+F28</f>
        <v>0</v>
      </c>
      <c r="G29" s="348"/>
      <c r="H29" s="411">
        <f>H24+H25+H26+H28</f>
        <v>0</v>
      </c>
      <c r="I29" s="349"/>
      <c r="J29" s="257">
        <f>J24+J25+J26+J28</f>
        <v>807500</v>
      </c>
      <c r="K29" s="348"/>
      <c r="L29" s="322">
        <f>L24+L25+L26+L28</f>
        <v>0</v>
      </c>
      <c r="M29" s="348"/>
      <c r="N29" s="411">
        <f>N24+N25+N26+N28</f>
        <v>0</v>
      </c>
      <c r="O29" s="349"/>
      <c r="P29" s="117"/>
      <c r="Q29" s="117"/>
    </row>
    <row r="30" spans="2:17" ht="15.75" customHeight="1" x14ac:dyDescent="0.25">
      <c r="B30" s="324" t="s">
        <v>183</v>
      </c>
      <c r="C30" s="393"/>
      <c r="D30" s="261"/>
      <c r="E30" s="372"/>
      <c r="F30" s="327"/>
      <c r="G30" s="372"/>
      <c r="H30" s="372"/>
      <c r="I30" s="373"/>
      <c r="J30" s="261"/>
      <c r="K30" s="372"/>
      <c r="L30" s="327"/>
      <c r="M30" s="372"/>
      <c r="N30" s="372"/>
      <c r="O30" s="373"/>
      <c r="P30" s="383"/>
      <c r="Q30" s="383"/>
    </row>
    <row r="31" spans="2:17" ht="15.75" customHeight="1" x14ac:dyDescent="0.25">
      <c r="B31" s="270"/>
      <c r="C31" s="271"/>
      <c r="D31" s="265"/>
      <c r="E31" s="313"/>
      <c r="F31" s="296"/>
      <c r="G31" s="313"/>
      <c r="H31" s="313"/>
      <c r="I31" s="271"/>
      <c r="J31" s="265"/>
      <c r="K31" s="313"/>
      <c r="L31" s="296"/>
      <c r="M31" s="313"/>
      <c r="N31" s="313"/>
      <c r="O31" s="271"/>
      <c r="P31" s="383"/>
      <c r="Q31" s="383"/>
    </row>
    <row r="32" spans="2:17" ht="15.75" customHeight="1" x14ac:dyDescent="0.25">
      <c r="B32" s="350" t="s">
        <v>186</v>
      </c>
      <c r="C32" s="422"/>
      <c r="D32" s="265"/>
      <c r="E32" s="313"/>
      <c r="F32" s="296"/>
      <c r="G32" s="313"/>
      <c r="H32" s="313"/>
      <c r="I32" s="271"/>
      <c r="J32" s="265"/>
      <c r="K32" s="313"/>
      <c r="L32" s="296"/>
      <c r="M32" s="313"/>
      <c r="N32" s="313"/>
      <c r="O32" s="271"/>
      <c r="P32" s="383"/>
      <c r="Q32" s="383"/>
    </row>
    <row r="33" spans="2:17" ht="15.75" customHeight="1" x14ac:dyDescent="0.25">
      <c r="B33" s="270" t="s">
        <v>28</v>
      </c>
      <c r="C33" s="339"/>
      <c r="D33" s="265"/>
      <c r="E33" s="313"/>
      <c r="F33" s="296"/>
      <c r="G33" s="313"/>
      <c r="H33" s="313"/>
      <c r="I33" s="271"/>
      <c r="J33" s="265"/>
      <c r="K33" s="313"/>
      <c r="L33" s="296"/>
      <c r="M33" s="313"/>
      <c r="N33" s="313"/>
      <c r="O33" s="271"/>
      <c r="P33" s="383"/>
      <c r="Q33" s="383"/>
    </row>
    <row r="34" spans="2:17" ht="15.75" customHeight="1" x14ac:dyDescent="0.25">
      <c r="B34" s="331"/>
      <c r="C34" s="423" t="s">
        <v>187</v>
      </c>
      <c r="D34" s="265"/>
      <c r="E34" s="313"/>
      <c r="F34" s="296"/>
      <c r="G34" s="313"/>
      <c r="H34" s="313"/>
      <c r="I34" s="271"/>
      <c r="J34" s="265"/>
      <c r="K34" s="313"/>
      <c r="L34" s="296"/>
      <c r="M34" s="313"/>
      <c r="N34" s="313"/>
      <c r="O34" s="271"/>
      <c r="P34" s="383"/>
      <c r="Q34" s="383"/>
    </row>
    <row r="35" spans="2:17" ht="15.75" customHeight="1" x14ac:dyDescent="0.25">
      <c r="B35" s="331"/>
      <c r="C35" s="419" t="s">
        <v>188</v>
      </c>
      <c r="D35" s="265">
        <v>0</v>
      </c>
      <c r="E35" s="313"/>
      <c r="F35" s="296"/>
      <c r="G35" s="332"/>
      <c r="H35" s="313"/>
      <c r="I35" s="271"/>
      <c r="J35" s="276">
        <v>0</v>
      </c>
      <c r="K35" s="313"/>
      <c r="L35" s="296"/>
      <c r="M35" s="332"/>
      <c r="N35" s="313"/>
      <c r="O35" s="271"/>
      <c r="P35" s="383"/>
      <c r="Q35" s="383"/>
    </row>
    <row r="36" spans="2:17" ht="15.75" customHeight="1" x14ac:dyDescent="0.25">
      <c r="B36" s="331"/>
      <c r="C36" s="419" t="s">
        <v>189</v>
      </c>
      <c r="D36" s="265">
        <v>274708.36447313381</v>
      </c>
      <c r="E36" s="332"/>
      <c r="F36" s="296"/>
      <c r="G36" s="332"/>
      <c r="H36" s="313"/>
      <c r="I36" s="344"/>
      <c r="J36" s="424">
        <v>275813.01</v>
      </c>
      <c r="K36" s="335"/>
      <c r="L36" s="296"/>
      <c r="M36" s="332"/>
      <c r="N36" s="313"/>
      <c r="O36" s="271"/>
      <c r="P36" s="383"/>
      <c r="Q36" s="383"/>
    </row>
    <row r="37" spans="2:17" ht="15.75" customHeight="1" x14ac:dyDescent="0.25">
      <c r="B37" s="331"/>
      <c r="C37" s="419" t="s">
        <v>21</v>
      </c>
      <c r="D37" s="265">
        <v>0</v>
      </c>
      <c r="E37" s="313"/>
      <c r="F37" s="296"/>
      <c r="G37" s="332"/>
      <c r="H37" s="313"/>
      <c r="I37" s="271"/>
      <c r="J37" s="261">
        <v>0</v>
      </c>
      <c r="K37" s="313"/>
      <c r="L37" s="296"/>
      <c r="M37" s="332"/>
      <c r="N37" s="313"/>
      <c r="O37" s="271"/>
      <c r="P37" s="383"/>
      <c r="Q37" s="383"/>
    </row>
    <row r="38" spans="2:17" ht="15.75" customHeight="1" x14ac:dyDescent="0.25">
      <c r="B38" s="331"/>
      <c r="C38" s="419" t="s">
        <v>22</v>
      </c>
      <c r="D38" s="265">
        <v>0</v>
      </c>
      <c r="E38" s="313"/>
      <c r="F38" s="296"/>
      <c r="G38" s="332"/>
      <c r="H38" s="313"/>
      <c r="I38" s="271"/>
      <c r="J38" s="265">
        <v>0</v>
      </c>
      <c r="K38" s="313"/>
      <c r="L38" s="296"/>
      <c r="M38" s="332"/>
      <c r="N38" s="313"/>
      <c r="O38" s="271"/>
      <c r="P38" s="383"/>
      <c r="Q38" s="383"/>
    </row>
    <row r="39" spans="2:17" ht="15.75" customHeight="1" x14ac:dyDescent="0.25">
      <c r="B39" s="346"/>
      <c r="C39" s="404" t="s">
        <v>190</v>
      </c>
      <c r="D39" s="276">
        <f>'Calculation Sheet for GST on Pu'!C22</f>
        <v>11548.065957426417</v>
      </c>
      <c r="E39" s="337"/>
      <c r="F39" s="317"/>
      <c r="G39" s="337"/>
      <c r="H39" s="316"/>
      <c r="I39" s="318"/>
      <c r="J39" s="276">
        <f>'Calculation Sheet for GST on Pu'!D22</f>
        <v>11344.012915646796</v>
      </c>
      <c r="K39" s="337"/>
      <c r="L39" s="317"/>
      <c r="M39" s="337"/>
      <c r="N39" s="316"/>
      <c r="O39" s="318"/>
      <c r="P39" s="383"/>
      <c r="Q39" s="383"/>
    </row>
    <row r="40" spans="2:17" ht="15.75" customHeight="1" x14ac:dyDescent="0.25">
      <c r="B40" s="347"/>
      <c r="C40" s="410" t="s">
        <v>191</v>
      </c>
      <c r="D40" s="257">
        <f>SUM(D35:D39)</f>
        <v>286256.43043056026</v>
      </c>
      <c r="E40" s="321">
        <f>D40/D$29</f>
        <v>0.3329538776834145</v>
      </c>
      <c r="F40" s="322">
        <f>SUM(F35:F39)</f>
        <v>0</v>
      </c>
      <c r="G40" s="321" t="e">
        <f>F40/F$29</f>
        <v>#DIV/0!</v>
      </c>
      <c r="H40" s="348">
        <f>SUM(H35:H39)</f>
        <v>0</v>
      </c>
      <c r="I40" s="349"/>
      <c r="J40" s="257">
        <f>SUM(J35:J39)</f>
        <v>287157.02291564678</v>
      </c>
      <c r="K40" s="321">
        <f>J40/J$29</f>
        <v>0.35561241227943874</v>
      </c>
      <c r="L40" s="322">
        <f>SUM(L35:L39)</f>
        <v>0</v>
      </c>
      <c r="M40" s="321" t="e">
        <f>L40/L$29</f>
        <v>#DIV/0!</v>
      </c>
      <c r="N40" s="348">
        <f>SUM(N35:N39)</f>
        <v>0</v>
      </c>
      <c r="O40" s="349"/>
      <c r="P40" s="117"/>
      <c r="Q40" s="117"/>
    </row>
    <row r="41" spans="2:17" ht="15.75" customHeight="1" x14ac:dyDescent="0.25">
      <c r="B41" s="354"/>
      <c r="C41" s="425" t="s">
        <v>192</v>
      </c>
      <c r="D41" s="294">
        <v>43654</v>
      </c>
      <c r="E41" s="356"/>
      <c r="F41" s="357"/>
      <c r="G41" s="356"/>
      <c r="H41" s="381"/>
      <c r="I41" s="253"/>
      <c r="J41" s="294">
        <v>29560</v>
      </c>
      <c r="K41" s="356"/>
      <c r="L41" s="357"/>
      <c r="M41" s="356"/>
      <c r="N41" s="381"/>
      <c r="O41" s="253"/>
      <c r="P41" s="383"/>
      <c r="Q41" s="383"/>
    </row>
    <row r="42" spans="2:17" ht="15.75" customHeight="1" x14ac:dyDescent="0.25">
      <c r="B42" s="347"/>
      <c r="C42" s="410" t="s">
        <v>193</v>
      </c>
      <c r="D42" s="257">
        <f>D40+D41</f>
        <v>329910.43043056026</v>
      </c>
      <c r="E42" s="321">
        <f t="shared" ref="E42:E43" si="2">D42/D$29</f>
        <v>0.38372922115615304</v>
      </c>
      <c r="F42" s="322">
        <f>F40+F41</f>
        <v>0</v>
      </c>
      <c r="G42" s="321" t="e">
        <f t="shared" ref="G42:G43" si="3">F42/F$29</f>
        <v>#DIV/0!</v>
      </c>
      <c r="H42" s="348">
        <f>H40+H41</f>
        <v>0</v>
      </c>
      <c r="I42" s="349"/>
      <c r="J42" s="257">
        <f>J40+J41</f>
        <v>316717.02291564678</v>
      </c>
      <c r="K42" s="321">
        <f t="shared" ref="K42:K43" si="4">J42/J$29</f>
        <v>0.39221922342494958</v>
      </c>
      <c r="L42" s="322">
        <f>L40+L41</f>
        <v>0</v>
      </c>
      <c r="M42" s="321" t="e">
        <f t="shared" ref="M42:M43" si="5">L42/L$29</f>
        <v>#DIV/0!</v>
      </c>
      <c r="N42" s="348">
        <f>N40+N41</f>
        <v>0</v>
      </c>
      <c r="O42" s="349"/>
      <c r="P42" s="117"/>
      <c r="Q42" s="117"/>
    </row>
    <row r="43" spans="2:17" ht="15.75" customHeight="1" x14ac:dyDescent="0.25">
      <c r="B43" s="426" t="s">
        <v>32</v>
      </c>
      <c r="C43" s="427" t="s">
        <v>32</v>
      </c>
      <c r="D43" s="257">
        <f>D29-D42</f>
        <v>529837.56956943974</v>
      </c>
      <c r="E43" s="321">
        <f t="shared" si="2"/>
        <v>0.61627077884384696</v>
      </c>
      <c r="F43" s="322">
        <f>F29-F42</f>
        <v>0</v>
      </c>
      <c r="G43" s="321" t="e">
        <f t="shared" si="3"/>
        <v>#DIV/0!</v>
      </c>
      <c r="H43" s="322">
        <f>H29-H42</f>
        <v>0</v>
      </c>
      <c r="I43" s="323" t="e">
        <f>H43/H$29</f>
        <v>#DIV/0!</v>
      </c>
      <c r="J43" s="257">
        <f>J29-J42</f>
        <v>490782.97708435322</v>
      </c>
      <c r="K43" s="321">
        <f t="shared" si="4"/>
        <v>0.60778077657505047</v>
      </c>
      <c r="L43" s="322">
        <f>L29-L42</f>
        <v>0</v>
      </c>
      <c r="M43" s="321" t="e">
        <f t="shared" si="5"/>
        <v>#DIV/0!</v>
      </c>
      <c r="N43" s="322">
        <f>N29-N42</f>
        <v>0</v>
      </c>
      <c r="O43" s="323" t="e">
        <f>N43/N$29</f>
        <v>#DIV/0!</v>
      </c>
      <c r="P43" s="383"/>
      <c r="Q43" s="383"/>
    </row>
    <row r="44" spans="2:17" ht="15.75" customHeight="1" x14ac:dyDescent="0.25">
      <c r="B44" s="371"/>
      <c r="C44" s="393"/>
      <c r="D44" s="261"/>
      <c r="E44" s="372"/>
      <c r="F44" s="327"/>
      <c r="G44" s="372"/>
      <c r="H44" s="372"/>
      <c r="I44" s="373"/>
      <c r="J44" s="261"/>
      <c r="K44" s="372"/>
      <c r="L44" s="327"/>
      <c r="M44" s="372"/>
      <c r="N44" s="372"/>
      <c r="O44" s="373"/>
      <c r="P44" s="383"/>
      <c r="Q44" s="383"/>
    </row>
    <row r="45" spans="2:17" ht="15.75" customHeight="1" x14ac:dyDescent="0.25">
      <c r="B45" s="331"/>
      <c r="C45" s="428" t="s">
        <v>194</v>
      </c>
      <c r="D45" s="265"/>
      <c r="E45" s="313"/>
      <c r="F45" s="296"/>
      <c r="G45" s="313"/>
      <c r="H45" s="313"/>
      <c r="I45" s="271"/>
      <c r="J45" s="265"/>
      <c r="K45" s="313"/>
      <c r="L45" s="296"/>
      <c r="M45" s="313"/>
      <c r="N45" s="313"/>
      <c r="O45" s="271"/>
      <c r="P45" s="383"/>
      <c r="Q45" s="383"/>
    </row>
    <row r="46" spans="2:17" ht="15.75" customHeight="1" x14ac:dyDescent="0.25">
      <c r="B46" s="331"/>
      <c r="C46" s="339" t="s">
        <v>195</v>
      </c>
      <c r="D46" s="265">
        <v>2160.34</v>
      </c>
      <c r="E46" s="332">
        <f t="shared" ref="E46:E52" si="6">D46/D$29</f>
        <v>2.5127595527991925E-3</v>
      </c>
      <c r="F46" s="296"/>
      <c r="G46" s="332">
        <v>0</v>
      </c>
      <c r="H46" s="313"/>
      <c r="I46" s="271"/>
      <c r="J46" s="265">
        <v>4305</v>
      </c>
      <c r="K46" s="332">
        <f t="shared" ref="K46:K52" si="7">J46/J$29</f>
        <v>5.331269349845201E-3</v>
      </c>
      <c r="L46" s="296"/>
      <c r="M46" s="332">
        <v>0</v>
      </c>
      <c r="N46" s="313"/>
      <c r="O46" s="271"/>
      <c r="P46" s="383"/>
      <c r="Q46" s="383"/>
    </row>
    <row r="47" spans="2:17" ht="15.75" customHeight="1" x14ac:dyDescent="0.25">
      <c r="B47" s="331"/>
      <c r="C47" s="339" t="s">
        <v>196</v>
      </c>
      <c r="D47" s="265">
        <v>41715.949999999997</v>
      </c>
      <c r="E47" s="332">
        <f t="shared" si="6"/>
        <v>4.8521136426022508E-2</v>
      </c>
      <c r="F47" s="296"/>
      <c r="G47" s="332">
        <v>0</v>
      </c>
      <c r="H47" s="313"/>
      <c r="I47" s="271"/>
      <c r="J47" s="265">
        <v>30814</v>
      </c>
      <c r="K47" s="332">
        <f t="shared" si="7"/>
        <v>3.8159752321981426E-2</v>
      </c>
      <c r="L47" s="296"/>
      <c r="M47" s="332">
        <v>0</v>
      </c>
      <c r="N47" s="313"/>
      <c r="O47" s="271"/>
      <c r="P47" s="383"/>
      <c r="Q47" s="383"/>
    </row>
    <row r="48" spans="2:17" ht="15.75" customHeight="1" x14ac:dyDescent="0.25">
      <c r="B48" s="331"/>
      <c r="C48" s="339" t="s">
        <v>266</v>
      </c>
      <c r="D48" s="265">
        <v>0</v>
      </c>
      <c r="E48" s="332">
        <f t="shared" si="6"/>
        <v>0</v>
      </c>
      <c r="F48" s="296"/>
      <c r="G48" s="332">
        <v>0</v>
      </c>
      <c r="H48" s="313"/>
      <c r="I48" s="271"/>
      <c r="J48" s="265">
        <v>0</v>
      </c>
      <c r="K48" s="332">
        <f t="shared" si="7"/>
        <v>0</v>
      </c>
      <c r="L48" s="296"/>
      <c r="M48" s="332">
        <v>0</v>
      </c>
      <c r="N48" s="313"/>
      <c r="O48" s="271"/>
      <c r="P48" s="383"/>
      <c r="Q48" s="383"/>
    </row>
    <row r="49" spans="1:17" ht="15.75" customHeight="1" x14ac:dyDescent="0.25">
      <c r="B49" s="331"/>
      <c r="C49" s="339" t="s">
        <v>197</v>
      </c>
      <c r="D49" s="265">
        <v>788</v>
      </c>
      <c r="E49" s="332">
        <f t="shared" si="6"/>
        <v>9.1654763954088876E-4</v>
      </c>
      <c r="F49" s="296"/>
      <c r="G49" s="332">
        <v>0</v>
      </c>
      <c r="H49" s="313"/>
      <c r="I49" s="271"/>
      <c r="J49" s="265">
        <v>4792</v>
      </c>
      <c r="K49" s="332">
        <f t="shared" si="7"/>
        <v>5.9343653250773995E-3</v>
      </c>
      <c r="L49" s="296"/>
      <c r="M49" s="332">
        <v>0</v>
      </c>
      <c r="N49" s="313"/>
      <c r="O49" s="271"/>
      <c r="P49" s="383"/>
      <c r="Q49" s="383"/>
    </row>
    <row r="50" spans="1:17" ht="15.75" customHeight="1" x14ac:dyDescent="0.25">
      <c r="B50" s="331"/>
      <c r="C50" s="339" t="s">
        <v>198</v>
      </c>
      <c r="D50" s="265">
        <v>3225</v>
      </c>
      <c r="E50" s="332">
        <f t="shared" si="6"/>
        <v>3.7510991592885358E-3</v>
      </c>
      <c r="F50" s="296"/>
      <c r="G50" s="332">
        <v>0</v>
      </c>
      <c r="H50" s="313"/>
      <c r="I50" s="271"/>
      <c r="J50" s="265">
        <v>3480</v>
      </c>
      <c r="K50" s="332">
        <f t="shared" si="7"/>
        <v>4.3095975232198139E-3</v>
      </c>
      <c r="L50" s="296"/>
      <c r="M50" s="332">
        <v>0</v>
      </c>
      <c r="N50" s="313"/>
      <c r="O50" s="271"/>
      <c r="P50" s="383"/>
      <c r="Q50" s="383"/>
    </row>
    <row r="51" spans="1:17" ht="15.75" customHeight="1" x14ac:dyDescent="0.25">
      <c r="B51" s="331"/>
      <c r="C51" s="339" t="s">
        <v>199</v>
      </c>
      <c r="D51" s="265">
        <v>0</v>
      </c>
      <c r="E51" s="332">
        <f t="shared" si="6"/>
        <v>0</v>
      </c>
      <c r="F51" s="296"/>
      <c r="G51" s="332">
        <v>0</v>
      </c>
      <c r="H51" s="313"/>
      <c r="I51" s="271"/>
      <c r="J51" s="265">
        <v>0</v>
      </c>
      <c r="K51" s="332">
        <f t="shared" si="7"/>
        <v>0</v>
      </c>
      <c r="L51" s="296"/>
      <c r="M51" s="332">
        <v>0</v>
      </c>
      <c r="N51" s="313"/>
      <c r="O51" s="271"/>
      <c r="P51" s="383"/>
      <c r="Q51" s="383"/>
    </row>
    <row r="52" spans="1:17" ht="15.75" customHeight="1" x14ac:dyDescent="0.25">
      <c r="B52" s="429"/>
      <c r="C52" s="430" t="s">
        <v>200</v>
      </c>
      <c r="D52" s="431">
        <f>SUM(D46:D51)</f>
        <v>47889.289999999994</v>
      </c>
      <c r="E52" s="432">
        <f t="shared" si="6"/>
        <v>5.5701542777651117E-2</v>
      </c>
      <c r="F52" s="433">
        <f>SUM(F46:F51)</f>
        <v>0</v>
      </c>
      <c r="G52" s="432" t="e">
        <f>F52/F$29</f>
        <v>#DIV/0!</v>
      </c>
      <c r="H52" s="434">
        <f>SUM(H46:H51)</f>
        <v>0</v>
      </c>
      <c r="I52" s="435"/>
      <c r="J52" s="431">
        <f>SUM(J46:J51)</f>
        <v>43391</v>
      </c>
      <c r="K52" s="432">
        <f t="shared" si="7"/>
        <v>5.3734984520123839E-2</v>
      </c>
      <c r="L52" s="433">
        <f>SUM(L46:L51)</f>
        <v>0</v>
      </c>
      <c r="M52" s="432" t="e">
        <f>L52/L$29</f>
        <v>#DIV/0!</v>
      </c>
      <c r="N52" s="434">
        <f>SUM(N46:N51)</f>
        <v>0</v>
      </c>
      <c r="O52" s="435"/>
      <c r="P52" s="117"/>
      <c r="Q52" s="117"/>
    </row>
    <row r="53" spans="1:17" ht="15.75" hidden="1" customHeight="1" x14ac:dyDescent="0.25">
      <c r="B53" s="331"/>
      <c r="C53" s="339"/>
      <c r="D53" s="265"/>
      <c r="E53" s="313"/>
      <c r="F53" s="296"/>
      <c r="G53" s="313"/>
      <c r="H53" s="313"/>
      <c r="I53" s="271"/>
      <c r="J53" s="265"/>
      <c r="K53" s="313"/>
      <c r="L53" s="296"/>
      <c r="M53" s="313"/>
      <c r="N53" s="313"/>
      <c r="O53" s="271"/>
      <c r="P53" s="383"/>
      <c r="Q53" s="383"/>
    </row>
    <row r="54" spans="1:17" ht="15.75" hidden="1" customHeight="1" x14ac:dyDescent="0.25">
      <c r="B54" s="331"/>
      <c r="C54" s="339"/>
      <c r="D54" s="265"/>
      <c r="E54" s="313"/>
      <c r="F54" s="296"/>
      <c r="G54" s="313"/>
      <c r="H54" s="313"/>
      <c r="I54" s="271"/>
      <c r="J54" s="265"/>
      <c r="K54" s="313"/>
      <c r="L54" s="296"/>
      <c r="M54" s="313"/>
      <c r="N54" s="313"/>
      <c r="O54" s="271"/>
      <c r="P54" s="383"/>
      <c r="Q54" s="383"/>
    </row>
    <row r="55" spans="1:17" ht="15.75" hidden="1" customHeight="1" x14ac:dyDescent="0.25">
      <c r="B55" s="331"/>
      <c r="C55" s="339"/>
      <c r="D55" s="265"/>
      <c r="E55" s="313"/>
      <c r="F55" s="296"/>
      <c r="G55" s="313"/>
      <c r="H55" s="313"/>
      <c r="I55" s="271"/>
      <c r="J55" s="265"/>
      <c r="K55" s="313"/>
      <c r="L55" s="296"/>
      <c r="M55" s="313"/>
      <c r="N55" s="313"/>
      <c r="O55" s="271"/>
      <c r="P55" s="383"/>
      <c r="Q55" s="383"/>
    </row>
    <row r="56" spans="1:17" ht="15.75" hidden="1" customHeight="1" x14ac:dyDescent="0.25">
      <c r="B56" s="331"/>
      <c r="C56" s="339"/>
      <c r="D56" s="265"/>
      <c r="E56" s="313"/>
      <c r="F56" s="296"/>
      <c r="G56" s="313"/>
      <c r="H56" s="313"/>
      <c r="I56" s="271"/>
      <c r="J56" s="265"/>
      <c r="K56" s="313"/>
      <c r="L56" s="296"/>
      <c r="M56" s="313"/>
      <c r="N56" s="313"/>
      <c r="O56" s="271"/>
      <c r="P56" s="383"/>
      <c r="Q56" s="383"/>
    </row>
    <row r="57" spans="1:17" ht="15.75" hidden="1" customHeight="1" x14ac:dyDescent="0.25">
      <c r="B57" s="331"/>
      <c r="C57" s="339"/>
      <c r="D57" s="265"/>
      <c r="E57" s="313"/>
      <c r="F57" s="296"/>
      <c r="G57" s="313"/>
      <c r="H57" s="313"/>
      <c r="I57" s="271"/>
      <c r="J57" s="265"/>
      <c r="K57" s="313"/>
      <c r="L57" s="296"/>
      <c r="M57" s="313"/>
      <c r="N57" s="313"/>
      <c r="O57" s="271"/>
      <c r="P57" s="383"/>
      <c r="Q57" s="383"/>
    </row>
    <row r="58" spans="1:17" ht="15.75" hidden="1" customHeight="1" x14ac:dyDescent="0.25">
      <c r="B58" s="331"/>
      <c r="C58" s="339"/>
      <c r="D58" s="265"/>
      <c r="E58" s="313"/>
      <c r="F58" s="296"/>
      <c r="G58" s="313"/>
      <c r="H58" s="313"/>
      <c r="I58" s="271"/>
      <c r="J58" s="265"/>
      <c r="K58" s="313"/>
      <c r="L58" s="296"/>
      <c r="M58" s="313"/>
      <c r="N58" s="313"/>
      <c r="O58" s="271"/>
      <c r="P58" s="383"/>
      <c r="Q58" s="383"/>
    </row>
    <row r="59" spans="1:17" ht="15.75" hidden="1" customHeight="1" x14ac:dyDescent="0.25">
      <c r="B59" s="331"/>
      <c r="C59" s="339"/>
      <c r="D59" s="265"/>
      <c r="E59" s="313"/>
      <c r="F59" s="296"/>
      <c r="G59" s="313"/>
      <c r="H59" s="313"/>
      <c r="I59" s="271"/>
      <c r="J59" s="265"/>
      <c r="K59" s="313"/>
      <c r="L59" s="296"/>
      <c r="M59" s="313"/>
      <c r="N59" s="313"/>
      <c r="O59" s="271"/>
      <c r="P59" s="383"/>
      <c r="Q59" s="383"/>
    </row>
    <row r="60" spans="1:17" ht="15.75" customHeight="1" x14ac:dyDescent="0.25">
      <c r="B60" s="331"/>
      <c r="C60" s="339"/>
      <c r="D60" s="265"/>
      <c r="E60" s="313"/>
      <c r="F60" s="296"/>
      <c r="G60" s="313"/>
      <c r="H60" s="313"/>
      <c r="I60" s="271"/>
      <c r="J60" s="265"/>
      <c r="K60" s="313"/>
      <c r="L60" s="296"/>
      <c r="M60" s="313"/>
      <c r="N60" s="313"/>
      <c r="O60" s="271"/>
      <c r="P60" s="383"/>
      <c r="Q60" s="383"/>
    </row>
    <row r="61" spans="1:17" ht="15.75" customHeight="1" x14ac:dyDescent="0.25">
      <c r="B61" s="436"/>
      <c r="C61" s="437"/>
      <c r="D61" s="438"/>
      <c r="E61" s="439"/>
      <c r="F61" s="440"/>
      <c r="G61" s="439"/>
      <c r="H61" s="441"/>
      <c r="I61" s="442"/>
      <c r="J61" s="438"/>
      <c r="K61" s="439"/>
      <c r="L61" s="440"/>
      <c r="M61" s="439"/>
      <c r="N61" s="441"/>
      <c r="O61" s="442"/>
      <c r="P61" s="383"/>
      <c r="Q61" s="383"/>
    </row>
    <row r="62" spans="1:17" ht="15.75" customHeight="1" x14ac:dyDescent="0.25">
      <c r="B62" s="331"/>
      <c r="C62" s="339"/>
      <c r="D62" s="265"/>
      <c r="E62" s="313"/>
      <c r="F62" s="296"/>
      <c r="G62" s="313"/>
      <c r="H62" s="313"/>
      <c r="I62" s="271"/>
      <c r="J62" s="265"/>
      <c r="K62" s="313"/>
      <c r="L62" s="296"/>
      <c r="M62" s="313"/>
      <c r="N62" s="313"/>
      <c r="O62" s="271"/>
      <c r="P62" s="383"/>
      <c r="Q62" s="383"/>
    </row>
    <row r="63" spans="1:17" ht="15.75" customHeight="1" x14ac:dyDescent="0.25">
      <c r="B63" s="443" t="s">
        <v>204</v>
      </c>
      <c r="C63" s="444"/>
      <c r="D63" s="265"/>
      <c r="E63" s="313"/>
      <c r="F63" s="296"/>
      <c r="G63" s="313"/>
      <c r="H63" s="313"/>
      <c r="I63" s="271"/>
      <c r="J63" s="265"/>
      <c r="K63" s="313"/>
      <c r="L63" s="296"/>
      <c r="M63" s="313"/>
      <c r="N63" s="313"/>
      <c r="O63" s="271"/>
      <c r="P63" s="383"/>
      <c r="Q63" s="383"/>
    </row>
    <row r="64" spans="1:17" ht="15.75" customHeight="1" x14ac:dyDescent="0.25">
      <c r="A64" s="383"/>
      <c r="B64" s="331"/>
      <c r="C64" s="423" t="s">
        <v>205</v>
      </c>
      <c r="D64" s="445">
        <f>SUM(D65:D72)</f>
        <v>89556.69</v>
      </c>
      <c r="E64" s="446">
        <f t="shared" ref="E64:E65" si="8">D64/D$29</f>
        <v>0.10416620916826791</v>
      </c>
      <c r="F64" s="447">
        <f>SUM(F65:F72)</f>
        <v>0</v>
      </c>
      <c r="G64" s="446" t="e">
        <f t="shared" ref="G64:G65" si="9">F64/F$29</f>
        <v>#DIV/0!</v>
      </c>
      <c r="H64" s="448">
        <f>SUM(H65:H72)</f>
        <v>0</v>
      </c>
      <c r="I64" s="449"/>
      <c r="J64" s="445">
        <f>SUM(J65:J72)</f>
        <v>89697</v>
      </c>
      <c r="K64" s="446">
        <f t="shared" ref="K64:K65" si="10">J64/J$29</f>
        <v>0.11107987616099071</v>
      </c>
      <c r="L64" s="447">
        <f>SUM(L65:L72)</f>
        <v>0</v>
      </c>
      <c r="M64" s="446" t="e">
        <f t="shared" ref="M64:M65" si="11">L64/L$29</f>
        <v>#DIV/0!</v>
      </c>
      <c r="N64" s="448">
        <f>SUM(N65:N72)</f>
        <v>0</v>
      </c>
      <c r="O64" s="449"/>
      <c r="P64" s="117"/>
      <c r="Q64" s="117"/>
    </row>
    <row r="65" spans="1:17" ht="15.75" customHeight="1" x14ac:dyDescent="0.25">
      <c r="B65" s="331"/>
      <c r="C65" s="339" t="s">
        <v>268</v>
      </c>
      <c r="D65" s="265"/>
      <c r="E65" s="332">
        <f t="shared" si="8"/>
        <v>0</v>
      </c>
      <c r="F65" s="296"/>
      <c r="G65" s="332" t="e">
        <f t="shared" si="9"/>
        <v>#DIV/0!</v>
      </c>
      <c r="H65" s="313"/>
      <c r="I65" s="271"/>
      <c r="J65" s="265"/>
      <c r="K65" s="332">
        <f t="shared" si="10"/>
        <v>0</v>
      </c>
      <c r="L65" s="296"/>
      <c r="M65" s="332" t="e">
        <f t="shared" si="11"/>
        <v>#DIV/0!</v>
      </c>
      <c r="N65" s="313"/>
      <c r="O65" s="271"/>
      <c r="P65" s="383"/>
      <c r="Q65" s="383"/>
    </row>
    <row r="66" spans="1:17" ht="15.75" customHeight="1" x14ac:dyDescent="0.25">
      <c r="B66" s="331"/>
      <c r="C66" s="450" t="s">
        <v>269</v>
      </c>
      <c r="D66" s="265"/>
      <c r="E66" s="332"/>
      <c r="F66" s="296"/>
      <c r="G66" s="332"/>
      <c r="H66" s="313"/>
      <c r="I66" s="271"/>
      <c r="J66" s="265"/>
      <c r="K66" s="332"/>
      <c r="L66" s="296"/>
      <c r="M66" s="332"/>
      <c r="N66" s="313"/>
      <c r="O66" s="271"/>
      <c r="P66" s="383"/>
      <c r="Q66" s="383"/>
    </row>
    <row r="67" spans="1:17" ht="15.75" customHeight="1" x14ac:dyDescent="0.25">
      <c r="B67" s="331"/>
      <c r="C67" s="339" t="s">
        <v>212</v>
      </c>
      <c r="D67" s="265"/>
      <c r="E67" s="332">
        <f t="shared" ref="E67:E72" si="12">D67/D$29</f>
        <v>0</v>
      </c>
      <c r="F67" s="296"/>
      <c r="G67" s="332" t="e">
        <f t="shared" ref="G67:G71" si="13">F67/F$29</f>
        <v>#DIV/0!</v>
      </c>
      <c r="H67" s="313"/>
      <c r="I67" s="271"/>
      <c r="J67" s="265"/>
      <c r="K67" s="332">
        <f t="shared" ref="K67:K72" si="14">J67/J$29</f>
        <v>0</v>
      </c>
      <c r="L67" s="296"/>
      <c r="M67" s="332" t="e">
        <f t="shared" ref="M67:M71" si="15">L67/L$29</f>
        <v>#DIV/0!</v>
      </c>
      <c r="N67" s="313"/>
      <c r="O67" s="271"/>
      <c r="P67" s="383"/>
      <c r="Q67" s="383"/>
    </row>
    <row r="68" spans="1:17" ht="15.75" customHeight="1" x14ac:dyDescent="0.25">
      <c r="B68" s="331"/>
      <c r="C68" s="450" t="s">
        <v>213</v>
      </c>
      <c r="D68" s="265"/>
      <c r="E68" s="332">
        <f t="shared" si="12"/>
        <v>0</v>
      </c>
      <c r="F68" s="296"/>
      <c r="G68" s="332" t="e">
        <f t="shared" si="13"/>
        <v>#DIV/0!</v>
      </c>
      <c r="H68" s="313"/>
      <c r="I68" s="271"/>
      <c r="J68" s="265"/>
      <c r="K68" s="332">
        <f t="shared" si="14"/>
        <v>0</v>
      </c>
      <c r="L68" s="296"/>
      <c r="M68" s="332" t="e">
        <f t="shared" si="15"/>
        <v>#DIV/0!</v>
      </c>
      <c r="N68" s="313"/>
      <c r="O68" s="271"/>
      <c r="P68" s="383"/>
      <c r="Q68" s="383"/>
    </row>
    <row r="69" spans="1:17" ht="15.75" customHeight="1" x14ac:dyDescent="0.25">
      <c r="B69" s="331"/>
      <c r="C69" s="339" t="s">
        <v>285</v>
      </c>
      <c r="D69" s="265"/>
      <c r="E69" s="332">
        <f t="shared" si="12"/>
        <v>0</v>
      </c>
      <c r="F69" s="296"/>
      <c r="G69" s="332" t="e">
        <f t="shared" si="13"/>
        <v>#DIV/0!</v>
      </c>
      <c r="H69" s="313"/>
      <c r="I69" s="271"/>
      <c r="J69" s="265"/>
      <c r="K69" s="332">
        <f t="shared" si="14"/>
        <v>0</v>
      </c>
      <c r="L69" s="296"/>
      <c r="M69" s="332" t="e">
        <f t="shared" si="15"/>
        <v>#DIV/0!</v>
      </c>
      <c r="N69" s="313"/>
      <c r="O69" s="271"/>
      <c r="P69" s="383"/>
      <c r="Q69" s="383"/>
    </row>
    <row r="70" spans="1:17" ht="15.75" customHeight="1" x14ac:dyDescent="0.25">
      <c r="A70" s="383"/>
      <c r="B70" s="331"/>
      <c r="C70" s="339" t="s">
        <v>286</v>
      </c>
      <c r="D70" s="265"/>
      <c r="E70" s="332">
        <f t="shared" si="12"/>
        <v>0</v>
      </c>
      <c r="F70" s="296"/>
      <c r="G70" s="332" t="e">
        <f t="shared" si="13"/>
        <v>#DIV/0!</v>
      </c>
      <c r="H70" s="313"/>
      <c r="I70" s="271"/>
      <c r="J70" s="265"/>
      <c r="K70" s="332">
        <f t="shared" si="14"/>
        <v>0</v>
      </c>
      <c r="L70" s="296"/>
      <c r="M70" s="332" t="e">
        <f t="shared" si="15"/>
        <v>#DIV/0!</v>
      </c>
      <c r="N70" s="313"/>
      <c r="O70" s="271"/>
      <c r="P70" s="383"/>
      <c r="Q70" s="383"/>
    </row>
    <row r="71" spans="1:17" ht="15.75" customHeight="1" x14ac:dyDescent="0.25">
      <c r="A71" s="383"/>
      <c r="B71" s="331"/>
      <c r="C71" s="339" t="s">
        <v>207</v>
      </c>
      <c r="D71" s="265"/>
      <c r="E71" s="332">
        <f t="shared" si="12"/>
        <v>0</v>
      </c>
      <c r="F71" s="296"/>
      <c r="G71" s="332" t="e">
        <f t="shared" si="13"/>
        <v>#DIV/0!</v>
      </c>
      <c r="H71" s="313"/>
      <c r="I71" s="271"/>
      <c r="J71" s="265"/>
      <c r="K71" s="332">
        <f t="shared" si="14"/>
        <v>0</v>
      </c>
      <c r="L71" s="296"/>
      <c r="M71" s="332" t="e">
        <f t="shared" si="15"/>
        <v>#DIV/0!</v>
      </c>
      <c r="N71" s="313"/>
      <c r="O71" s="271"/>
      <c r="P71" s="383"/>
      <c r="Q71" s="383"/>
    </row>
    <row r="72" spans="1:17" ht="15.75" customHeight="1" x14ac:dyDescent="0.25">
      <c r="B72" s="331"/>
      <c r="C72" s="339" t="s">
        <v>271</v>
      </c>
      <c r="D72" s="265">
        <v>89556.69</v>
      </c>
      <c r="E72" s="332">
        <f t="shared" si="12"/>
        <v>0.10416620916826791</v>
      </c>
      <c r="F72" s="296"/>
      <c r="G72" s="332"/>
      <c r="H72" s="313"/>
      <c r="I72" s="271"/>
      <c r="J72" s="265">
        <v>89697</v>
      </c>
      <c r="K72" s="332">
        <f t="shared" si="14"/>
        <v>0.11107987616099071</v>
      </c>
      <c r="L72" s="296"/>
      <c r="M72" s="332"/>
      <c r="N72" s="313"/>
      <c r="O72" s="271"/>
      <c r="P72" s="383"/>
      <c r="Q72" s="383"/>
    </row>
    <row r="73" spans="1:17" ht="15.75" customHeight="1" x14ac:dyDescent="0.25">
      <c r="A73" s="383"/>
      <c r="B73" s="331"/>
      <c r="C73" s="339"/>
      <c r="D73" s="265"/>
      <c r="E73" s="332"/>
      <c r="F73" s="296"/>
      <c r="G73" s="332"/>
      <c r="H73" s="313"/>
      <c r="I73" s="271"/>
      <c r="J73" s="265"/>
      <c r="K73" s="332"/>
      <c r="L73" s="296"/>
      <c r="M73" s="332"/>
      <c r="N73" s="313"/>
      <c r="O73" s="271"/>
      <c r="P73" s="383"/>
      <c r="Q73" s="383"/>
    </row>
    <row r="74" spans="1:17" ht="15.75" customHeight="1" x14ac:dyDescent="0.25">
      <c r="A74" s="383"/>
      <c r="B74" s="331"/>
      <c r="C74" s="423" t="s">
        <v>35</v>
      </c>
      <c r="D74" s="445">
        <f>SUM(D75:D77)</f>
        <v>112186.48000000001</v>
      </c>
      <c r="E74" s="332">
        <f t="shared" ref="E74:E77" si="16">D74/D$29</f>
        <v>0.13048763125939231</v>
      </c>
      <c r="F74" s="296"/>
      <c r="G74" s="332" t="e">
        <f t="shared" ref="G74:G77" si="17">F74/F$29</f>
        <v>#DIV/0!</v>
      </c>
      <c r="H74" s="313">
        <f>SUM(H75:H77)</f>
        <v>0</v>
      </c>
      <c r="I74" s="271"/>
      <c r="J74" s="445">
        <f>SUM(J75:J77)</f>
        <v>116787.54999999999</v>
      </c>
      <c r="K74" s="332">
        <f t="shared" ref="K74:K77" si="18">J74/J$29</f>
        <v>0.14462854489164084</v>
      </c>
      <c r="L74" s="296"/>
      <c r="M74" s="332" t="e">
        <f t="shared" ref="M74:M77" si="19">L74/L$29</f>
        <v>#DIV/0!</v>
      </c>
      <c r="N74" s="313">
        <f>SUM(N75:N77)</f>
        <v>0</v>
      </c>
      <c r="O74" s="271"/>
      <c r="P74" s="117"/>
      <c r="Q74" s="117"/>
    </row>
    <row r="75" spans="1:17" ht="15.75" customHeight="1" x14ac:dyDescent="0.25">
      <c r="B75" s="331"/>
      <c r="C75" s="339" t="s">
        <v>216</v>
      </c>
      <c r="D75" s="265"/>
      <c r="E75" s="332">
        <f t="shared" si="16"/>
        <v>0</v>
      </c>
      <c r="F75" s="296"/>
      <c r="G75" s="332" t="e">
        <f t="shared" si="17"/>
        <v>#DIV/0!</v>
      </c>
      <c r="H75" s="186"/>
      <c r="I75" s="339"/>
      <c r="J75" s="276"/>
      <c r="K75" s="332">
        <f t="shared" si="18"/>
        <v>0</v>
      </c>
      <c r="L75" s="296"/>
      <c r="M75" s="332" t="e">
        <f t="shared" si="19"/>
        <v>#DIV/0!</v>
      </c>
      <c r="N75" s="186"/>
      <c r="O75" s="339"/>
      <c r="P75" s="383"/>
      <c r="Q75" s="383"/>
    </row>
    <row r="76" spans="1:17" ht="15.75" customHeight="1" x14ac:dyDescent="0.25">
      <c r="B76" s="331"/>
      <c r="C76" s="339" t="s">
        <v>287</v>
      </c>
      <c r="D76" s="265">
        <v>68579.86</v>
      </c>
      <c r="E76" s="332">
        <f t="shared" si="16"/>
        <v>7.9767396958178444E-2</v>
      </c>
      <c r="F76" s="296"/>
      <c r="G76" s="332" t="e">
        <f t="shared" si="17"/>
        <v>#DIV/0!</v>
      </c>
      <c r="H76" s="186"/>
      <c r="I76" s="312"/>
      <c r="J76" s="416">
        <v>64635.78</v>
      </c>
      <c r="K76" s="335">
        <f t="shared" si="18"/>
        <v>8.0044309597523219E-2</v>
      </c>
      <c r="L76" s="296"/>
      <c r="M76" s="332" t="e">
        <f t="shared" si="19"/>
        <v>#DIV/0!</v>
      </c>
      <c r="N76" s="186"/>
      <c r="O76" s="339"/>
      <c r="P76" s="383"/>
      <c r="Q76" s="383"/>
    </row>
    <row r="77" spans="1:17" ht="15.75" customHeight="1" x14ac:dyDescent="0.25">
      <c r="B77" s="331"/>
      <c r="C77" s="339" t="s">
        <v>288</v>
      </c>
      <c r="D77" s="265">
        <v>43606.62</v>
      </c>
      <c r="E77" s="332">
        <f t="shared" si="16"/>
        <v>5.0720234301213848E-2</v>
      </c>
      <c r="F77" s="296"/>
      <c r="G77" s="332" t="e">
        <f t="shared" si="17"/>
        <v>#DIV/0!</v>
      </c>
      <c r="H77" s="186"/>
      <c r="I77" s="312"/>
      <c r="J77" s="416">
        <v>52151.77</v>
      </c>
      <c r="K77" s="335">
        <f t="shared" si="18"/>
        <v>6.4584235294117637E-2</v>
      </c>
      <c r="L77" s="296"/>
      <c r="M77" s="332" t="e">
        <f t="shared" si="19"/>
        <v>#DIV/0!</v>
      </c>
      <c r="N77" s="186"/>
      <c r="O77" s="339"/>
      <c r="P77" s="383"/>
      <c r="Q77" s="383"/>
    </row>
    <row r="78" spans="1:17" ht="15.75" customHeight="1" x14ac:dyDescent="0.25">
      <c r="B78" s="331"/>
      <c r="C78" s="339"/>
      <c r="D78" s="265"/>
      <c r="E78" s="186"/>
      <c r="F78" s="451"/>
      <c r="G78" s="186"/>
      <c r="H78" s="186"/>
      <c r="I78" s="339"/>
      <c r="J78" s="261"/>
      <c r="K78" s="186"/>
      <c r="L78" s="451"/>
      <c r="M78" s="186"/>
      <c r="N78" s="186"/>
      <c r="O78" s="339"/>
      <c r="P78" s="383"/>
      <c r="Q78" s="383"/>
    </row>
    <row r="79" spans="1:17" ht="15.75" customHeight="1" x14ac:dyDescent="0.25">
      <c r="B79" s="331"/>
      <c r="C79" s="339"/>
      <c r="D79" s="265"/>
      <c r="E79" s="186"/>
      <c r="F79" s="451"/>
      <c r="G79" s="186"/>
      <c r="H79" s="186"/>
      <c r="I79" s="339"/>
      <c r="J79" s="265"/>
      <c r="K79" s="186"/>
      <c r="L79" s="451"/>
      <c r="M79" s="186"/>
      <c r="N79" s="186"/>
      <c r="O79" s="339"/>
      <c r="P79" s="383"/>
      <c r="Q79" s="383"/>
    </row>
    <row r="80" spans="1:17" ht="15.75" customHeight="1" x14ac:dyDescent="0.25">
      <c r="A80" s="383"/>
      <c r="B80" s="331"/>
      <c r="C80" s="423" t="s">
        <v>219</v>
      </c>
      <c r="D80" s="445">
        <f t="shared" ref="D80:J80" si="20">SUM(D81:D84)</f>
        <v>103623</v>
      </c>
      <c r="E80" s="265">
        <f t="shared" si="20"/>
        <v>76212.031882598152</v>
      </c>
      <c r="F80" s="265">
        <f t="shared" si="20"/>
        <v>76212</v>
      </c>
      <c r="G80" s="265" t="e">
        <f t="shared" si="20"/>
        <v>#DIV/0!</v>
      </c>
      <c r="H80" s="265">
        <f t="shared" si="20"/>
        <v>76212</v>
      </c>
      <c r="I80" s="379">
        <f t="shared" si="20"/>
        <v>76212</v>
      </c>
      <c r="J80" s="445">
        <f t="shared" si="20"/>
        <v>109552</v>
      </c>
      <c r="K80" s="332">
        <f t="shared" ref="K80:K84" si="21">J80/J$29</f>
        <v>0.13566811145510835</v>
      </c>
      <c r="L80" s="296"/>
      <c r="M80" s="332" t="e">
        <f t="shared" ref="M80:M84" si="22">L80/L$29</f>
        <v>#DIV/0!</v>
      </c>
      <c r="N80" s="186">
        <f>SUM(N81:N84)</f>
        <v>0</v>
      </c>
      <c r="O80" s="339"/>
      <c r="P80" s="117"/>
      <c r="Q80" s="117"/>
    </row>
    <row r="81" spans="1:17" ht="15.75" customHeight="1" x14ac:dyDescent="0.25">
      <c r="B81" s="331"/>
      <c r="C81" s="339" t="s">
        <v>220</v>
      </c>
      <c r="D81" s="265">
        <v>75332</v>
      </c>
      <c r="E81" s="265">
        <v>75332</v>
      </c>
      <c r="F81" s="265">
        <v>75332</v>
      </c>
      <c r="G81" s="265">
        <v>75332</v>
      </c>
      <c r="H81" s="265">
        <v>75332</v>
      </c>
      <c r="I81" s="379">
        <v>75332</v>
      </c>
      <c r="J81" s="452">
        <v>86582</v>
      </c>
      <c r="K81" s="332">
        <f t="shared" si="21"/>
        <v>0.10722229102167183</v>
      </c>
      <c r="L81" s="296"/>
      <c r="M81" s="332" t="e">
        <f t="shared" si="22"/>
        <v>#DIV/0!</v>
      </c>
      <c r="N81" s="186"/>
      <c r="O81" s="339"/>
      <c r="P81" s="383"/>
      <c r="Q81" s="383"/>
    </row>
    <row r="82" spans="1:17" ht="15.75" customHeight="1" x14ac:dyDescent="0.25">
      <c r="B82" s="331"/>
      <c r="C82" s="339" t="s">
        <v>221</v>
      </c>
      <c r="D82" s="265">
        <v>27411</v>
      </c>
      <c r="E82" s="332">
        <f>D82/D$29</f>
        <v>3.1882598156669162E-2</v>
      </c>
      <c r="F82" s="296"/>
      <c r="G82" s="332" t="e">
        <f>F82/F$29</f>
        <v>#DIV/0!</v>
      </c>
      <c r="H82" s="186"/>
      <c r="I82" s="339"/>
      <c r="J82" s="265">
        <v>22090</v>
      </c>
      <c r="K82" s="332">
        <f t="shared" si="21"/>
        <v>2.7356037151702785E-2</v>
      </c>
      <c r="L82" s="296"/>
      <c r="M82" s="332" t="e">
        <f t="shared" si="22"/>
        <v>#DIV/0!</v>
      </c>
      <c r="N82" s="186"/>
      <c r="O82" s="339"/>
      <c r="P82" s="383"/>
      <c r="Q82" s="383"/>
    </row>
    <row r="83" spans="1:17" ht="15.75" customHeight="1" x14ac:dyDescent="0.25">
      <c r="B83" s="331"/>
      <c r="C83" s="339" t="s">
        <v>222</v>
      </c>
      <c r="D83" s="265">
        <v>380</v>
      </c>
      <c r="E83" s="265">
        <v>380</v>
      </c>
      <c r="F83" s="265">
        <v>380</v>
      </c>
      <c r="G83" s="265">
        <v>380</v>
      </c>
      <c r="H83" s="265">
        <v>380</v>
      </c>
      <c r="I83" s="379">
        <v>380</v>
      </c>
      <c r="J83" s="265">
        <v>380</v>
      </c>
      <c r="K83" s="332">
        <f t="shared" si="21"/>
        <v>4.7058823529411766E-4</v>
      </c>
      <c r="L83" s="296"/>
      <c r="M83" s="332" t="e">
        <f t="shared" si="22"/>
        <v>#DIV/0!</v>
      </c>
      <c r="N83" s="186"/>
      <c r="O83" s="339"/>
      <c r="P83" s="383"/>
      <c r="Q83" s="383"/>
    </row>
    <row r="84" spans="1:17" ht="15.75" customHeight="1" x14ac:dyDescent="0.25">
      <c r="B84" s="331"/>
      <c r="C84" s="339" t="s">
        <v>223</v>
      </c>
      <c r="D84" s="265">
        <v>500</v>
      </c>
      <c r="E84" s="265">
        <v>500</v>
      </c>
      <c r="F84" s="265">
        <v>500</v>
      </c>
      <c r="G84" s="265">
        <v>500</v>
      </c>
      <c r="H84" s="265">
        <v>500</v>
      </c>
      <c r="I84" s="379">
        <v>500</v>
      </c>
      <c r="J84" s="265">
        <v>500</v>
      </c>
      <c r="K84" s="332">
        <f t="shared" si="21"/>
        <v>6.1919504643962852E-4</v>
      </c>
      <c r="L84" s="451"/>
      <c r="M84" s="332" t="e">
        <f t="shared" si="22"/>
        <v>#DIV/0!</v>
      </c>
      <c r="N84" s="186"/>
      <c r="O84" s="339"/>
      <c r="P84" s="383"/>
      <c r="Q84" s="383"/>
    </row>
    <row r="85" spans="1:17" ht="15.75" customHeight="1" x14ac:dyDescent="0.25">
      <c r="B85" s="331"/>
      <c r="C85" s="423"/>
      <c r="D85" s="265"/>
      <c r="E85" s="186"/>
      <c r="F85" s="451"/>
      <c r="G85" s="186"/>
      <c r="H85" s="186"/>
      <c r="I85" s="339"/>
      <c r="J85" s="265"/>
      <c r="K85" s="186"/>
      <c r="L85" s="451"/>
      <c r="M85" s="186"/>
      <c r="N85" s="186"/>
      <c r="O85" s="339"/>
      <c r="P85" s="383"/>
      <c r="Q85" s="383"/>
    </row>
    <row r="86" spans="1:17" ht="15.75" customHeight="1" x14ac:dyDescent="0.25">
      <c r="A86" s="453"/>
      <c r="B86" s="350"/>
      <c r="C86" s="423" t="s">
        <v>37</v>
      </c>
      <c r="D86" s="445">
        <f>SUM(D87:D93)</f>
        <v>343104.24</v>
      </c>
      <c r="E86" s="446">
        <f t="shared" ref="E86:E93" si="23">D86/D$29</f>
        <v>0.39907535696506419</v>
      </c>
      <c r="F86" s="447">
        <f>SUM(F87:F93)</f>
        <v>0</v>
      </c>
      <c r="G86" s="446" t="e">
        <f t="shared" ref="G86:G93" si="24">F86/F$29</f>
        <v>#DIV/0!</v>
      </c>
      <c r="H86" s="454">
        <f>SUM(H87:H93)</f>
        <v>0</v>
      </c>
      <c r="I86" s="455"/>
      <c r="J86" s="445">
        <f>SUM(J87:J93)</f>
        <v>336606.49</v>
      </c>
      <c r="K86" s="446">
        <f t="shared" ref="K86:K93" si="25">J86/J$29</f>
        <v>0.41685014241486068</v>
      </c>
      <c r="L86" s="447">
        <f>SUM(L87:L93)</f>
        <v>0</v>
      </c>
      <c r="M86" s="446" t="e">
        <f t="shared" ref="M86:M93" si="26">L86/L$29</f>
        <v>#DIV/0!</v>
      </c>
      <c r="N86" s="454">
        <f>SUM(N87:N93)</f>
        <v>0</v>
      </c>
      <c r="O86" s="455"/>
      <c r="P86" s="91"/>
      <c r="Q86" s="91"/>
    </row>
    <row r="87" spans="1:17" ht="15.75" customHeight="1" x14ac:dyDescent="0.25">
      <c r="B87" s="331"/>
      <c r="C87" s="339" t="s">
        <v>224</v>
      </c>
      <c r="D87" s="265">
        <v>0</v>
      </c>
      <c r="E87" s="332">
        <f t="shared" si="23"/>
        <v>0</v>
      </c>
      <c r="F87" s="296"/>
      <c r="G87" s="332" t="e">
        <f t="shared" si="24"/>
        <v>#DIV/0!</v>
      </c>
      <c r="H87" s="186"/>
      <c r="I87" s="339"/>
      <c r="J87" s="276">
        <v>0</v>
      </c>
      <c r="K87" s="332">
        <f t="shared" si="25"/>
        <v>0</v>
      </c>
      <c r="L87" s="296"/>
      <c r="M87" s="332" t="e">
        <f t="shared" si="26"/>
        <v>#DIV/0!</v>
      </c>
      <c r="N87" s="186"/>
      <c r="O87" s="339"/>
      <c r="P87" s="383"/>
      <c r="Q87" s="383"/>
    </row>
    <row r="88" spans="1:17" ht="15.75" customHeight="1" x14ac:dyDescent="0.25">
      <c r="B88" s="331"/>
      <c r="C88" s="339" t="s">
        <v>225</v>
      </c>
      <c r="D88" s="265">
        <v>310967</v>
      </c>
      <c r="E88" s="332">
        <f t="shared" si="23"/>
        <v>0.36169552008262884</v>
      </c>
      <c r="F88" s="296"/>
      <c r="G88" s="332" t="e">
        <f t="shared" si="24"/>
        <v>#DIV/0!</v>
      </c>
      <c r="H88" s="186"/>
      <c r="I88" s="312"/>
      <c r="J88" s="416">
        <v>301951</v>
      </c>
      <c r="K88" s="335">
        <f t="shared" si="25"/>
        <v>0.37393312693498454</v>
      </c>
      <c r="L88" s="296"/>
      <c r="M88" s="332" t="e">
        <f t="shared" si="26"/>
        <v>#DIV/0!</v>
      </c>
      <c r="N88" s="186"/>
      <c r="O88" s="339"/>
      <c r="P88" s="383"/>
      <c r="Q88" s="383"/>
    </row>
    <row r="89" spans="1:17" ht="15.75" customHeight="1" x14ac:dyDescent="0.25">
      <c r="B89" s="331"/>
      <c r="C89" s="339" t="s">
        <v>226</v>
      </c>
      <c r="D89" s="265">
        <v>0</v>
      </c>
      <c r="E89" s="332">
        <f t="shared" si="23"/>
        <v>0</v>
      </c>
      <c r="F89" s="296"/>
      <c r="G89" s="332" t="e">
        <f t="shared" si="24"/>
        <v>#DIV/0!</v>
      </c>
      <c r="H89" s="186"/>
      <c r="I89" s="339"/>
      <c r="J89" s="294">
        <v>0</v>
      </c>
      <c r="K89" s="332">
        <f t="shared" si="25"/>
        <v>0</v>
      </c>
      <c r="L89" s="296"/>
      <c r="M89" s="332" t="e">
        <f t="shared" si="26"/>
        <v>#DIV/0!</v>
      </c>
      <c r="N89" s="186"/>
      <c r="O89" s="339"/>
      <c r="P89" s="383"/>
      <c r="Q89" s="383"/>
    </row>
    <row r="90" spans="1:17" ht="15.75" customHeight="1" x14ac:dyDescent="0.25">
      <c r="A90" s="383"/>
      <c r="B90" s="331"/>
      <c r="C90" s="339" t="s">
        <v>228</v>
      </c>
      <c r="D90" s="265">
        <v>10137.24</v>
      </c>
      <c r="E90" s="332">
        <f t="shared" si="23"/>
        <v>1.1790943392715074E-2</v>
      </c>
      <c r="F90" s="296"/>
      <c r="G90" s="332" t="e">
        <f t="shared" si="24"/>
        <v>#DIV/0!</v>
      </c>
      <c r="H90" s="186"/>
      <c r="I90" s="312"/>
      <c r="J90" s="416">
        <v>11822.49</v>
      </c>
      <c r="K90" s="335">
        <f t="shared" si="25"/>
        <v>1.4640854489164086E-2</v>
      </c>
      <c r="L90" s="296"/>
      <c r="M90" s="332" t="e">
        <f t="shared" si="26"/>
        <v>#DIV/0!</v>
      </c>
      <c r="N90" s="186"/>
      <c r="O90" s="339"/>
      <c r="P90" s="383"/>
      <c r="Q90" s="383"/>
    </row>
    <row r="91" spans="1:17" ht="15.75" customHeight="1" x14ac:dyDescent="0.25">
      <c r="B91" s="331"/>
      <c r="C91" s="339" t="s">
        <v>229</v>
      </c>
      <c r="D91" s="265">
        <v>22000</v>
      </c>
      <c r="E91" s="332">
        <f t="shared" si="23"/>
        <v>2.5588893489720245E-2</v>
      </c>
      <c r="F91" s="296"/>
      <c r="G91" s="332" t="e">
        <f t="shared" si="24"/>
        <v>#DIV/0!</v>
      </c>
      <c r="H91" s="186"/>
      <c r="I91" s="312"/>
      <c r="J91" s="416">
        <f>22000+833</f>
        <v>22833</v>
      </c>
      <c r="K91" s="335">
        <f t="shared" si="25"/>
        <v>2.8276160990712073E-2</v>
      </c>
      <c r="L91" s="296"/>
      <c r="M91" s="332" t="e">
        <f t="shared" si="26"/>
        <v>#DIV/0!</v>
      </c>
      <c r="N91" s="186"/>
      <c r="O91" s="339"/>
      <c r="P91" s="383"/>
      <c r="Q91" s="383"/>
    </row>
    <row r="92" spans="1:17" ht="15.75" customHeight="1" x14ac:dyDescent="0.25">
      <c r="B92" s="331"/>
      <c r="C92" s="339" t="s">
        <v>230</v>
      </c>
      <c r="D92" s="265">
        <v>0</v>
      </c>
      <c r="E92" s="332">
        <f t="shared" si="23"/>
        <v>0</v>
      </c>
      <c r="F92" s="296"/>
      <c r="G92" s="332" t="e">
        <f t="shared" si="24"/>
        <v>#DIV/0!</v>
      </c>
      <c r="H92" s="186"/>
      <c r="I92" s="339"/>
      <c r="J92" s="261">
        <v>0</v>
      </c>
      <c r="K92" s="332">
        <f t="shared" si="25"/>
        <v>0</v>
      </c>
      <c r="L92" s="296"/>
      <c r="M92" s="332" t="e">
        <f t="shared" si="26"/>
        <v>#DIV/0!</v>
      </c>
      <c r="N92" s="186"/>
      <c r="O92" s="339"/>
      <c r="P92" s="383"/>
      <c r="Q92" s="383"/>
    </row>
    <row r="93" spans="1:17" ht="15.75" customHeight="1" x14ac:dyDescent="0.25">
      <c r="B93" s="331"/>
      <c r="C93" s="339" t="s">
        <v>231</v>
      </c>
      <c r="D93" s="265">
        <v>0</v>
      </c>
      <c r="E93" s="332">
        <f t="shared" si="23"/>
        <v>0</v>
      </c>
      <c r="F93" s="296"/>
      <c r="G93" s="332" t="e">
        <f t="shared" si="24"/>
        <v>#DIV/0!</v>
      </c>
      <c r="H93" s="186"/>
      <c r="I93" s="339"/>
      <c r="J93" s="265">
        <v>0</v>
      </c>
      <c r="K93" s="332">
        <f t="shared" si="25"/>
        <v>0</v>
      </c>
      <c r="L93" s="296"/>
      <c r="M93" s="332" t="e">
        <f t="shared" si="26"/>
        <v>#DIV/0!</v>
      </c>
      <c r="N93" s="186"/>
      <c r="O93" s="339"/>
      <c r="P93" s="383"/>
      <c r="Q93" s="383"/>
    </row>
    <row r="94" spans="1:17" ht="15.75" customHeight="1" x14ac:dyDescent="0.25">
      <c r="B94" s="331"/>
      <c r="C94" s="339" t="s">
        <v>232</v>
      </c>
      <c r="D94" s="265"/>
      <c r="E94" s="186"/>
      <c r="F94" s="451"/>
      <c r="G94" s="186"/>
      <c r="H94" s="186"/>
      <c r="I94" s="339"/>
      <c r="J94" s="265"/>
      <c r="K94" s="186"/>
      <c r="L94" s="451"/>
      <c r="M94" s="186"/>
      <c r="N94" s="186"/>
      <c r="O94" s="339"/>
      <c r="P94" s="383"/>
      <c r="Q94" s="383"/>
    </row>
    <row r="95" spans="1:17" ht="15.75" customHeight="1" x14ac:dyDescent="0.25">
      <c r="B95" s="331"/>
      <c r="C95" s="423"/>
      <c r="D95" s="265"/>
      <c r="E95" s="186"/>
      <c r="F95" s="451"/>
      <c r="G95" s="186"/>
      <c r="H95" s="186"/>
      <c r="I95" s="339"/>
      <c r="J95" s="265"/>
      <c r="K95" s="186"/>
      <c r="L95" s="451"/>
      <c r="M95" s="186"/>
      <c r="N95" s="186"/>
      <c r="O95" s="339"/>
      <c r="P95" s="383"/>
      <c r="Q95" s="383"/>
    </row>
    <row r="96" spans="1:17" ht="15.75" customHeight="1" x14ac:dyDescent="0.25">
      <c r="A96" s="383"/>
      <c r="B96" s="331"/>
      <c r="C96" s="423" t="s">
        <v>38</v>
      </c>
      <c r="D96" s="265">
        <f>SUM(D97)</f>
        <v>0</v>
      </c>
      <c r="E96" s="332">
        <f>D96/D$29</f>
        <v>0</v>
      </c>
      <c r="F96" s="451">
        <f>SUM(F97)</f>
        <v>0</v>
      </c>
      <c r="G96" s="186"/>
      <c r="H96" s="186">
        <f>SUM(H97)</f>
        <v>0</v>
      </c>
      <c r="I96" s="339"/>
      <c r="J96" s="265">
        <f>SUM(J97)</f>
        <v>0</v>
      </c>
      <c r="K96" s="332">
        <f>J96/J$29</f>
        <v>0</v>
      </c>
      <c r="L96" s="451">
        <f>SUM(L97)</f>
        <v>0</v>
      </c>
      <c r="M96" s="186"/>
      <c r="N96" s="186">
        <f>SUM(N97)</f>
        <v>0</v>
      </c>
      <c r="O96" s="339"/>
      <c r="P96" s="117"/>
      <c r="Q96" s="117"/>
    </row>
    <row r="97" spans="1:17" ht="15.75" customHeight="1" x14ac:dyDescent="0.25">
      <c r="B97" s="331"/>
      <c r="C97" s="339" t="s">
        <v>276</v>
      </c>
      <c r="D97" s="265">
        <v>0</v>
      </c>
      <c r="E97" s="186"/>
      <c r="F97" s="451"/>
      <c r="G97" s="186"/>
      <c r="H97" s="186"/>
      <c r="I97" s="339"/>
      <c r="J97" s="265">
        <v>0</v>
      </c>
      <c r="K97" s="186"/>
      <c r="L97" s="451"/>
      <c r="M97" s="186"/>
      <c r="N97" s="186"/>
      <c r="O97" s="339"/>
      <c r="P97" s="383"/>
      <c r="Q97" s="383"/>
    </row>
    <row r="98" spans="1:17" ht="15.75" customHeight="1" x14ac:dyDescent="0.25">
      <c r="B98" s="331"/>
      <c r="C98" s="339"/>
      <c r="D98" s="265"/>
      <c r="E98" s="186"/>
      <c r="F98" s="451"/>
      <c r="G98" s="186"/>
      <c r="H98" s="186"/>
      <c r="I98" s="339"/>
      <c r="J98" s="265"/>
      <c r="K98" s="186"/>
      <c r="L98" s="451"/>
      <c r="M98" s="186"/>
      <c r="N98" s="186"/>
      <c r="O98" s="339"/>
      <c r="P98" s="383"/>
      <c r="Q98" s="383"/>
    </row>
    <row r="99" spans="1:17" ht="15.75" customHeight="1" x14ac:dyDescent="0.25">
      <c r="A99" s="383"/>
      <c r="B99" s="331"/>
      <c r="C99" s="423" t="s">
        <v>238</v>
      </c>
      <c r="D99" s="445">
        <f t="shared" ref="D99:J99" si="27">SUM(D100:D101)</f>
        <v>23091</v>
      </c>
      <c r="E99" s="265">
        <f t="shared" si="27"/>
        <v>0</v>
      </c>
      <c r="F99" s="265">
        <f t="shared" si="27"/>
        <v>0</v>
      </c>
      <c r="G99" s="265">
        <f t="shared" si="27"/>
        <v>0</v>
      </c>
      <c r="H99" s="265">
        <f t="shared" si="27"/>
        <v>0</v>
      </c>
      <c r="I99" s="379">
        <f t="shared" si="27"/>
        <v>0</v>
      </c>
      <c r="J99" s="445">
        <f t="shared" si="27"/>
        <v>23090</v>
      </c>
      <c r="K99" s="332">
        <f>J99/J$29</f>
        <v>2.8594427244582044E-2</v>
      </c>
      <c r="L99" s="451">
        <f>SUM(L100:L101)</f>
        <v>0</v>
      </c>
      <c r="M99" s="186"/>
      <c r="N99" s="186">
        <f>SUM(N100:N101)</f>
        <v>0</v>
      </c>
      <c r="O99" s="339"/>
      <c r="P99" s="117"/>
      <c r="Q99" s="117"/>
    </row>
    <row r="100" spans="1:17" ht="15.75" customHeight="1" x14ac:dyDescent="0.25">
      <c r="B100" s="331"/>
      <c r="C100" s="339" t="s">
        <v>239</v>
      </c>
      <c r="D100" s="265"/>
      <c r="E100" s="186"/>
      <c r="F100" s="451"/>
      <c r="G100" s="186"/>
      <c r="H100" s="186"/>
      <c r="I100" s="339"/>
      <c r="J100" s="265"/>
      <c r="K100" s="186"/>
      <c r="L100" s="451"/>
      <c r="M100" s="186"/>
      <c r="N100" s="186"/>
      <c r="O100" s="339"/>
      <c r="P100" s="383"/>
      <c r="Q100" s="383"/>
    </row>
    <row r="101" spans="1:17" ht="15.75" customHeight="1" x14ac:dyDescent="0.25">
      <c r="B101" s="331"/>
      <c r="C101" s="339" t="s">
        <v>289</v>
      </c>
      <c r="D101" s="265">
        <v>23091</v>
      </c>
      <c r="E101" s="186"/>
      <c r="F101" s="451"/>
      <c r="G101" s="186"/>
      <c r="H101" s="186"/>
      <c r="I101" s="339"/>
      <c r="J101" s="265">
        <v>23090</v>
      </c>
      <c r="K101" s="186"/>
      <c r="L101" s="451"/>
      <c r="M101" s="186"/>
      <c r="N101" s="186"/>
      <c r="O101" s="339"/>
      <c r="P101" s="383"/>
      <c r="Q101" s="383"/>
    </row>
    <row r="102" spans="1:17" ht="15.75" customHeight="1" x14ac:dyDescent="0.25">
      <c r="B102" s="331"/>
      <c r="C102" s="339"/>
      <c r="D102" s="265"/>
      <c r="E102" s="186"/>
      <c r="F102" s="451"/>
      <c r="G102" s="186"/>
      <c r="H102" s="186"/>
      <c r="I102" s="339"/>
      <c r="J102" s="265"/>
      <c r="K102" s="186"/>
      <c r="L102" s="451"/>
      <c r="M102" s="186"/>
      <c r="N102" s="186"/>
      <c r="O102" s="339"/>
      <c r="P102" s="383"/>
      <c r="Q102" s="383"/>
    </row>
    <row r="103" spans="1:17" ht="15.75" customHeight="1" x14ac:dyDescent="0.25">
      <c r="A103" s="383"/>
      <c r="B103" s="331"/>
      <c r="C103" s="423" t="s">
        <v>40</v>
      </c>
      <c r="D103" s="445">
        <f>SUM(D104:D113)</f>
        <v>125277</v>
      </c>
      <c r="E103" s="446">
        <f t="shared" ref="E103:E114" si="28">D103/D$29</f>
        <v>0.1457136277141674</v>
      </c>
      <c r="F103" s="456">
        <f>SUM(F104:F113)</f>
        <v>0</v>
      </c>
      <c r="G103" s="454"/>
      <c r="H103" s="454">
        <f>SUM(H104:H113)</f>
        <v>0</v>
      </c>
      <c r="I103" s="455"/>
      <c r="J103" s="445">
        <f>SUM(J104:J113)</f>
        <v>30642</v>
      </c>
      <c r="K103" s="446">
        <f t="shared" ref="K103:K114" si="29">J103/J$29</f>
        <v>3.7946749226006195E-2</v>
      </c>
      <c r="L103" s="456">
        <f>SUM(L104:L113)</f>
        <v>0</v>
      </c>
      <c r="M103" s="454"/>
      <c r="N103" s="454">
        <f>SUM(N104:N113)</f>
        <v>0</v>
      </c>
      <c r="O103" s="455"/>
      <c r="P103" s="117"/>
      <c r="Q103" s="117"/>
    </row>
    <row r="104" spans="1:17" ht="15.75" customHeight="1" x14ac:dyDescent="0.25">
      <c r="B104" s="331"/>
      <c r="C104" s="339" t="s">
        <v>241</v>
      </c>
      <c r="D104" s="265">
        <v>0</v>
      </c>
      <c r="E104" s="332">
        <f t="shared" si="28"/>
        <v>0</v>
      </c>
      <c r="F104" s="451"/>
      <c r="G104" s="186"/>
      <c r="H104" s="186"/>
      <c r="I104" s="339"/>
      <c r="J104" s="265">
        <v>0</v>
      </c>
      <c r="K104" s="332">
        <f t="shared" si="29"/>
        <v>0</v>
      </c>
      <c r="L104" s="451"/>
      <c r="M104" s="186"/>
      <c r="N104" s="186"/>
      <c r="O104" s="339"/>
      <c r="P104" s="383"/>
      <c r="Q104" s="383"/>
    </row>
    <row r="105" spans="1:17" ht="15.75" customHeight="1" x14ac:dyDescent="0.25">
      <c r="B105" s="331"/>
      <c r="C105" s="339" t="s">
        <v>242</v>
      </c>
      <c r="D105" s="265">
        <v>1449</v>
      </c>
      <c r="E105" s="332">
        <f t="shared" si="28"/>
        <v>1.685377575754756E-3</v>
      </c>
      <c r="F105" s="451"/>
      <c r="G105" s="186"/>
      <c r="H105" s="186"/>
      <c r="I105" s="339"/>
      <c r="J105" s="265">
        <v>0</v>
      </c>
      <c r="K105" s="332">
        <f t="shared" si="29"/>
        <v>0</v>
      </c>
      <c r="L105" s="451"/>
      <c r="M105" s="186"/>
      <c r="N105" s="186"/>
      <c r="O105" s="339"/>
      <c r="P105" s="383"/>
      <c r="Q105" s="383"/>
    </row>
    <row r="106" spans="1:17" ht="15.75" customHeight="1" x14ac:dyDescent="0.25">
      <c r="B106" s="331"/>
      <c r="C106" s="339" t="s">
        <v>243</v>
      </c>
      <c r="D106" s="265">
        <v>0</v>
      </c>
      <c r="E106" s="332">
        <f t="shared" si="28"/>
        <v>0</v>
      </c>
      <c r="F106" s="451"/>
      <c r="G106" s="186"/>
      <c r="H106" s="186"/>
      <c r="I106" s="339"/>
      <c r="J106" s="265">
        <v>0</v>
      </c>
      <c r="K106" s="332">
        <f t="shared" si="29"/>
        <v>0</v>
      </c>
      <c r="L106" s="451"/>
      <c r="M106" s="186"/>
      <c r="N106" s="186"/>
      <c r="O106" s="339"/>
      <c r="P106" s="383"/>
      <c r="Q106" s="383"/>
    </row>
    <row r="107" spans="1:17" ht="15.75" customHeight="1" x14ac:dyDescent="0.25">
      <c r="B107" s="331"/>
      <c r="C107" s="339" t="s">
        <v>244</v>
      </c>
      <c r="D107" s="265">
        <v>0</v>
      </c>
      <c r="E107" s="332">
        <f t="shared" si="28"/>
        <v>0</v>
      </c>
      <c r="F107" s="451"/>
      <c r="G107" s="186"/>
      <c r="H107" s="186"/>
      <c r="I107" s="339"/>
      <c r="J107" s="265">
        <v>0</v>
      </c>
      <c r="K107" s="332">
        <f t="shared" si="29"/>
        <v>0</v>
      </c>
      <c r="L107" s="451"/>
      <c r="M107" s="186"/>
      <c r="N107" s="186"/>
      <c r="O107" s="339"/>
      <c r="P107" s="383"/>
      <c r="Q107" s="383"/>
    </row>
    <row r="108" spans="1:17" ht="15.75" customHeight="1" x14ac:dyDescent="0.25">
      <c r="B108" s="331"/>
      <c r="C108" s="339" t="s">
        <v>290</v>
      </c>
      <c r="D108" s="265">
        <v>0</v>
      </c>
      <c r="E108" s="332">
        <f t="shared" si="28"/>
        <v>0</v>
      </c>
      <c r="F108" s="451"/>
      <c r="G108" s="186"/>
      <c r="H108" s="186"/>
      <c r="I108" s="339"/>
      <c r="J108" s="265">
        <v>0</v>
      </c>
      <c r="K108" s="332">
        <f t="shared" si="29"/>
        <v>0</v>
      </c>
      <c r="L108" s="451"/>
      <c r="M108" s="186"/>
      <c r="N108" s="186"/>
      <c r="O108" s="339"/>
      <c r="P108" s="383"/>
      <c r="Q108" s="383"/>
    </row>
    <row r="109" spans="1:17" ht="15.75" customHeight="1" x14ac:dyDescent="0.25">
      <c r="B109" s="331"/>
      <c r="C109" s="339" t="s">
        <v>247</v>
      </c>
      <c r="D109" s="265">
        <v>115741</v>
      </c>
      <c r="E109" s="332">
        <f t="shared" si="28"/>
        <v>0.13462200551789594</v>
      </c>
      <c r="F109" s="451"/>
      <c r="G109" s="186"/>
      <c r="H109" s="186"/>
      <c r="I109" s="339"/>
      <c r="J109" s="265">
        <v>22000</v>
      </c>
      <c r="K109" s="332">
        <f t="shared" si="29"/>
        <v>2.7244582043343655E-2</v>
      </c>
      <c r="L109" s="451"/>
      <c r="M109" s="186"/>
      <c r="N109" s="186"/>
      <c r="O109" s="339"/>
      <c r="P109" s="383"/>
      <c r="Q109" s="383"/>
    </row>
    <row r="110" spans="1:17" ht="15.75" customHeight="1" x14ac:dyDescent="0.25">
      <c r="B110" s="331"/>
      <c r="C110" s="339" t="s">
        <v>249</v>
      </c>
      <c r="D110" s="265">
        <v>0</v>
      </c>
      <c r="E110" s="332">
        <f t="shared" si="28"/>
        <v>0</v>
      </c>
      <c r="F110" s="451"/>
      <c r="G110" s="186"/>
      <c r="H110" s="186"/>
      <c r="I110" s="339"/>
      <c r="J110" s="265">
        <v>0</v>
      </c>
      <c r="K110" s="332">
        <f t="shared" si="29"/>
        <v>0</v>
      </c>
      <c r="L110" s="451"/>
      <c r="M110" s="186"/>
      <c r="N110" s="186"/>
      <c r="O110" s="339"/>
      <c r="P110" s="383"/>
      <c r="Q110" s="383"/>
    </row>
    <row r="111" spans="1:17" ht="15.75" customHeight="1" x14ac:dyDescent="0.25">
      <c r="A111" s="383"/>
      <c r="B111" s="331"/>
      <c r="C111" s="339" t="s">
        <v>250</v>
      </c>
      <c r="D111" s="265">
        <v>8087</v>
      </c>
      <c r="E111" s="332">
        <f t="shared" si="28"/>
        <v>9.4062446205167103E-3</v>
      </c>
      <c r="F111" s="451"/>
      <c r="G111" s="186"/>
      <c r="H111" s="186"/>
      <c r="I111" s="339"/>
      <c r="J111" s="265">
        <v>8642</v>
      </c>
      <c r="K111" s="332">
        <f t="shared" si="29"/>
        <v>1.0702167182662538E-2</v>
      </c>
      <c r="L111" s="451"/>
      <c r="M111" s="186"/>
      <c r="N111" s="186"/>
      <c r="O111" s="339"/>
      <c r="P111" s="383"/>
      <c r="Q111" s="383"/>
    </row>
    <row r="112" spans="1:17" ht="15.75" customHeight="1" x14ac:dyDescent="0.25">
      <c r="B112" s="331"/>
      <c r="C112" s="339" t="s">
        <v>291</v>
      </c>
      <c r="D112" s="265">
        <v>0</v>
      </c>
      <c r="E112" s="332">
        <f t="shared" si="28"/>
        <v>0</v>
      </c>
      <c r="F112" s="451"/>
      <c r="G112" s="186"/>
      <c r="H112" s="186"/>
      <c r="I112" s="339"/>
      <c r="J112" s="265">
        <v>0</v>
      </c>
      <c r="K112" s="332">
        <f t="shared" si="29"/>
        <v>0</v>
      </c>
      <c r="L112" s="451"/>
      <c r="M112" s="186"/>
      <c r="N112" s="186"/>
      <c r="O112" s="339"/>
      <c r="P112" s="383"/>
      <c r="Q112" s="383"/>
    </row>
    <row r="113" spans="1:17" ht="15.75" customHeight="1" x14ac:dyDescent="0.25">
      <c r="B113" s="331"/>
      <c r="C113" s="339" t="s">
        <v>251</v>
      </c>
      <c r="D113" s="265">
        <v>0</v>
      </c>
      <c r="E113" s="332">
        <f t="shared" si="28"/>
        <v>0</v>
      </c>
      <c r="F113" s="451"/>
      <c r="G113" s="186"/>
      <c r="H113" s="186"/>
      <c r="I113" s="339"/>
      <c r="J113" s="265">
        <v>0</v>
      </c>
      <c r="K113" s="332">
        <f t="shared" si="29"/>
        <v>0</v>
      </c>
      <c r="L113" s="451"/>
      <c r="M113" s="186"/>
      <c r="N113" s="186"/>
      <c r="O113" s="339"/>
      <c r="P113" s="383"/>
      <c r="Q113" s="383"/>
    </row>
    <row r="114" spans="1:17" ht="15.75" customHeight="1" x14ac:dyDescent="0.25">
      <c r="B114" s="331"/>
      <c r="C114" s="339"/>
      <c r="D114" s="265"/>
      <c r="E114" s="332">
        <f t="shared" si="28"/>
        <v>0</v>
      </c>
      <c r="F114" s="451"/>
      <c r="G114" s="186"/>
      <c r="H114" s="186"/>
      <c r="I114" s="339"/>
      <c r="J114" s="265"/>
      <c r="K114" s="332">
        <f t="shared" si="29"/>
        <v>0</v>
      </c>
      <c r="L114" s="451"/>
      <c r="M114" s="186"/>
      <c r="N114" s="186"/>
      <c r="O114" s="339"/>
      <c r="P114" s="383"/>
      <c r="Q114" s="383"/>
    </row>
    <row r="115" spans="1:17" ht="15.75" customHeight="1" x14ac:dyDescent="0.25">
      <c r="B115" s="331"/>
      <c r="C115" s="457"/>
      <c r="D115" s="265"/>
      <c r="E115" s="186"/>
      <c r="F115" s="451"/>
      <c r="G115" s="186"/>
      <c r="H115" s="186"/>
      <c r="I115" s="339"/>
      <c r="J115" s="265"/>
      <c r="K115" s="186"/>
      <c r="L115" s="451"/>
      <c r="M115" s="186"/>
      <c r="N115" s="186"/>
      <c r="O115" s="339"/>
      <c r="P115" s="383"/>
      <c r="Q115" s="383"/>
    </row>
    <row r="116" spans="1:17" ht="15.75" customHeight="1" x14ac:dyDescent="0.25">
      <c r="A116" s="383"/>
      <c r="B116" s="331"/>
      <c r="C116" s="423" t="s">
        <v>41</v>
      </c>
      <c r="D116" s="265">
        <f>SUM(D117:D118)</f>
        <v>0</v>
      </c>
      <c r="E116" s="332">
        <f>D116/D$29</f>
        <v>0</v>
      </c>
      <c r="F116" s="451">
        <f>SUM(F117)</f>
        <v>0</v>
      </c>
      <c r="G116" s="332" t="e">
        <f>F116/F$29</f>
        <v>#DIV/0!</v>
      </c>
      <c r="H116" s="186">
        <f>SUM(H117)</f>
        <v>0</v>
      </c>
      <c r="I116" s="339"/>
      <c r="J116" s="265">
        <f>SUM(J117:J118)</f>
        <v>0</v>
      </c>
      <c r="K116" s="332">
        <f>J116/J$29</f>
        <v>0</v>
      </c>
      <c r="L116" s="451">
        <f>SUM(L117)</f>
        <v>0</v>
      </c>
      <c r="M116" s="332" t="e">
        <f>L116/L$29</f>
        <v>#DIV/0!</v>
      </c>
      <c r="N116" s="186">
        <f>SUM(N117)</f>
        <v>0</v>
      </c>
      <c r="O116" s="339"/>
      <c r="P116" s="117"/>
      <c r="Q116" s="117"/>
    </row>
    <row r="117" spans="1:17" ht="15.75" customHeight="1" x14ac:dyDescent="0.25">
      <c r="B117" s="331"/>
      <c r="C117" s="339" t="s">
        <v>253</v>
      </c>
      <c r="D117" s="265">
        <v>0</v>
      </c>
      <c r="E117" s="186"/>
      <c r="F117" s="451"/>
      <c r="G117" s="186"/>
      <c r="H117" s="186"/>
      <c r="I117" s="339"/>
      <c r="J117" s="265">
        <v>0</v>
      </c>
      <c r="K117" s="186"/>
      <c r="L117" s="451"/>
      <c r="M117" s="186"/>
      <c r="N117" s="186"/>
      <c r="O117" s="339"/>
      <c r="P117" s="383"/>
      <c r="Q117" s="383"/>
    </row>
    <row r="118" spans="1:17" ht="15.75" customHeight="1" x14ac:dyDescent="0.25">
      <c r="B118" s="331"/>
      <c r="C118" s="339" t="s">
        <v>292</v>
      </c>
      <c r="D118" s="265">
        <v>0</v>
      </c>
      <c r="E118" s="186"/>
      <c r="F118" s="451"/>
      <c r="G118" s="186"/>
      <c r="H118" s="186"/>
      <c r="I118" s="339"/>
      <c r="J118" s="265">
        <v>0</v>
      </c>
      <c r="K118" s="186"/>
      <c r="L118" s="451"/>
      <c r="M118" s="186"/>
      <c r="N118" s="186"/>
      <c r="O118" s="339"/>
      <c r="P118" s="383"/>
      <c r="Q118" s="383"/>
    </row>
    <row r="119" spans="1:17" ht="15.75" customHeight="1" x14ac:dyDescent="0.25">
      <c r="B119" s="331"/>
      <c r="C119" s="339"/>
      <c r="D119" s="265"/>
      <c r="E119" s="186"/>
      <c r="F119" s="451"/>
      <c r="G119" s="186"/>
      <c r="H119" s="186"/>
      <c r="I119" s="339"/>
      <c r="J119" s="265"/>
      <c r="K119" s="186"/>
      <c r="L119" s="451"/>
      <c r="M119" s="186"/>
      <c r="N119" s="186"/>
      <c r="O119" s="339"/>
      <c r="P119" s="383"/>
      <c r="Q119" s="383"/>
    </row>
    <row r="120" spans="1:17" ht="15.75" customHeight="1" x14ac:dyDescent="0.25">
      <c r="A120" s="383"/>
      <c r="B120" s="331"/>
      <c r="C120" s="423" t="s">
        <v>42</v>
      </c>
      <c r="D120" s="265">
        <f>SUM(D121:D122)</f>
        <v>0</v>
      </c>
      <c r="E120" s="332">
        <f>D120/D$29</f>
        <v>0</v>
      </c>
      <c r="F120" s="296">
        <f>SUM(F121:F122)</f>
        <v>0</v>
      </c>
      <c r="G120" s="332" t="e">
        <f>F120/F$29</f>
        <v>#DIV/0!</v>
      </c>
      <c r="H120" s="186">
        <f>SUM(H121:H122)</f>
        <v>0</v>
      </c>
      <c r="I120" s="339"/>
      <c r="J120" s="265">
        <f>SUM(J121:J122)</f>
        <v>0</v>
      </c>
      <c r="K120" s="332">
        <f>J120/J$29</f>
        <v>0</v>
      </c>
      <c r="L120" s="296">
        <f>SUM(L121:L122)</f>
        <v>0</v>
      </c>
      <c r="M120" s="332" t="e">
        <f>L120/L$29</f>
        <v>#DIV/0!</v>
      </c>
      <c r="N120" s="186">
        <f>SUM(N121:N122)</f>
        <v>0</v>
      </c>
      <c r="O120" s="339"/>
      <c r="P120" s="117"/>
      <c r="Q120" s="117"/>
    </row>
    <row r="121" spans="1:17" ht="15.75" customHeight="1" x14ac:dyDescent="0.25">
      <c r="B121" s="331"/>
      <c r="C121" s="339" t="s">
        <v>283</v>
      </c>
      <c r="D121" s="265">
        <v>0</v>
      </c>
      <c r="E121" s="186"/>
      <c r="F121" s="296"/>
      <c r="G121" s="332"/>
      <c r="H121" s="186"/>
      <c r="I121" s="339"/>
      <c r="J121" s="265">
        <v>0</v>
      </c>
      <c r="K121" s="186"/>
      <c r="L121" s="296"/>
      <c r="M121" s="332"/>
      <c r="N121" s="186"/>
      <c r="O121" s="339"/>
      <c r="P121" s="383"/>
      <c r="Q121" s="383"/>
    </row>
    <row r="122" spans="1:17" ht="15.75" customHeight="1" x14ac:dyDescent="0.25">
      <c r="B122" s="331"/>
      <c r="C122" s="339" t="s">
        <v>256</v>
      </c>
      <c r="D122" s="265">
        <v>0</v>
      </c>
      <c r="E122" s="186"/>
      <c r="F122" s="296"/>
      <c r="G122" s="332"/>
      <c r="H122" s="186"/>
      <c r="I122" s="339"/>
      <c r="J122" s="265">
        <v>0</v>
      </c>
      <c r="K122" s="186"/>
      <c r="L122" s="296"/>
      <c r="M122" s="332"/>
      <c r="N122" s="186"/>
      <c r="O122" s="339"/>
      <c r="P122" s="383"/>
      <c r="Q122" s="383"/>
    </row>
    <row r="123" spans="1:17" ht="15.75" customHeight="1" x14ac:dyDescent="0.25">
      <c r="B123" s="331"/>
      <c r="C123" s="339"/>
      <c r="D123" s="265"/>
      <c r="E123" s="186"/>
      <c r="F123" s="451"/>
      <c r="G123" s="186"/>
      <c r="H123" s="186"/>
      <c r="I123" s="339"/>
      <c r="J123" s="265"/>
      <c r="K123" s="186"/>
      <c r="L123" s="451"/>
      <c r="M123" s="186"/>
      <c r="N123" s="186"/>
      <c r="O123" s="339"/>
      <c r="P123" s="383"/>
      <c r="Q123" s="383"/>
    </row>
    <row r="124" spans="1:17" ht="15.75" customHeight="1" x14ac:dyDescent="0.25">
      <c r="B124" s="331"/>
      <c r="C124" s="339"/>
      <c r="D124" s="265"/>
      <c r="E124" s="186"/>
      <c r="F124" s="451"/>
      <c r="G124" s="186"/>
      <c r="H124" s="186"/>
      <c r="I124" s="339"/>
      <c r="J124" s="265"/>
      <c r="K124" s="186"/>
      <c r="L124" s="451"/>
      <c r="M124" s="186"/>
      <c r="N124" s="186"/>
      <c r="O124" s="339"/>
      <c r="P124" s="383"/>
      <c r="Q124" s="383"/>
    </row>
    <row r="125" spans="1:17" ht="15.75" customHeight="1" x14ac:dyDescent="0.25">
      <c r="A125" s="383"/>
      <c r="B125" s="350"/>
      <c r="C125" s="455" t="s">
        <v>257</v>
      </c>
      <c r="D125" s="445">
        <f>D52+D64+D74+D80+D86+D96+D99+D103+D116+D120</f>
        <v>844727.7</v>
      </c>
      <c r="E125" s="446">
        <f>D125/D$29</f>
        <v>0.98252941559619789</v>
      </c>
      <c r="F125" s="447">
        <f>F52+F64+F74+F80+F86+F96+F99+F103+F116+F120</f>
        <v>76212</v>
      </c>
      <c r="G125" s="446" t="e">
        <f>F125/F$29</f>
        <v>#DIV/0!</v>
      </c>
      <c r="H125" s="454"/>
      <c r="I125" s="455"/>
      <c r="J125" s="445">
        <f>J52+J64+J74+J80+J86+J96+J99+J103+J116+J120</f>
        <v>749766.04</v>
      </c>
      <c r="K125" s="446">
        <f>J125/J$29</f>
        <v>0.92850283591331273</v>
      </c>
      <c r="L125" s="447">
        <f>L52+L64+L74+L80+L86+L96+L99+L103+L116+L120</f>
        <v>0</v>
      </c>
      <c r="M125" s="446" t="e">
        <f>L125/L$29</f>
        <v>#DIV/0!</v>
      </c>
      <c r="N125" s="454"/>
      <c r="O125" s="455"/>
      <c r="P125" s="383"/>
      <c r="Q125" s="383"/>
    </row>
    <row r="126" spans="1:17" ht="15.75" customHeight="1" x14ac:dyDescent="0.25">
      <c r="A126" s="383"/>
      <c r="B126" s="346"/>
      <c r="C126" s="404"/>
      <c r="D126" s="276"/>
      <c r="E126" s="458"/>
      <c r="F126" s="317"/>
      <c r="G126" s="316"/>
      <c r="H126" s="458"/>
      <c r="I126" s="404"/>
      <c r="J126" s="276"/>
      <c r="K126" s="458"/>
      <c r="L126" s="317"/>
      <c r="M126" s="316"/>
      <c r="N126" s="458"/>
      <c r="O126" s="404"/>
      <c r="P126" s="383"/>
      <c r="Q126" s="383"/>
    </row>
    <row r="127" spans="1:17" ht="15.75" customHeight="1" x14ac:dyDescent="0.25">
      <c r="A127" s="383"/>
      <c r="B127" s="347"/>
      <c r="C127" s="410" t="s">
        <v>258</v>
      </c>
      <c r="D127" s="257">
        <f>D43-D125</f>
        <v>-314890.13043056021</v>
      </c>
      <c r="E127" s="321">
        <f>D127/D$29</f>
        <v>-0.36625863675235093</v>
      </c>
      <c r="F127" s="257">
        <f>F43-F125</f>
        <v>-76212</v>
      </c>
      <c r="G127" s="321" t="e">
        <f>F127/F$29</f>
        <v>#DIV/0!</v>
      </c>
      <c r="H127" s="459"/>
      <c r="I127" s="410"/>
      <c r="J127" s="257">
        <f>J43-J125</f>
        <v>-258983.06291564682</v>
      </c>
      <c r="K127" s="321">
        <f>J127/J$29</f>
        <v>-0.32072205933826231</v>
      </c>
      <c r="L127" s="257">
        <f>L43-L125</f>
        <v>0</v>
      </c>
      <c r="M127" s="321" t="e">
        <f>L127/L$29</f>
        <v>#DIV/0!</v>
      </c>
      <c r="N127" s="459"/>
      <c r="O127" s="410"/>
      <c r="P127" s="383"/>
      <c r="Q127" s="383"/>
    </row>
    <row r="128" spans="1:17" ht="15.75" customHeight="1" x14ac:dyDescent="0.2">
      <c r="D128" s="114"/>
      <c r="F128" s="114"/>
      <c r="J128" s="114"/>
      <c r="L128" s="114"/>
      <c r="P128" s="383"/>
      <c r="Q128" s="383"/>
    </row>
    <row r="129" spans="4:17" ht="15.75" customHeight="1" x14ac:dyDescent="0.2">
      <c r="D129" s="114"/>
      <c r="F129" s="114"/>
      <c r="J129" s="114"/>
      <c r="L129" s="114"/>
      <c r="P129" s="383"/>
      <c r="Q129" s="383"/>
    </row>
    <row r="130" spans="4:17" ht="15.75" customHeight="1" x14ac:dyDescent="0.2">
      <c r="D130" s="114"/>
      <c r="F130" s="114"/>
      <c r="J130" s="114"/>
      <c r="L130" s="114"/>
      <c r="P130" s="383"/>
      <c r="Q130" s="383"/>
    </row>
    <row r="131" spans="4:17" ht="15.75" customHeight="1" x14ac:dyDescent="0.2">
      <c r="D131" s="114"/>
      <c r="F131" s="114"/>
      <c r="J131" s="114"/>
      <c r="L131" s="114"/>
      <c r="P131" s="383"/>
      <c r="Q131" s="383"/>
    </row>
    <row r="132" spans="4:17" ht="15.75" customHeight="1" x14ac:dyDescent="0.2">
      <c r="D132" s="114"/>
      <c r="F132" s="114"/>
      <c r="J132" s="114"/>
      <c r="L132" s="114"/>
      <c r="P132" s="383"/>
      <c r="Q132" s="383"/>
    </row>
    <row r="133" spans="4:17" ht="15.75" customHeight="1" x14ac:dyDescent="0.2">
      <c r="D133" s="114"/>
      <c r="F133" s="114"/>
      <c r="J133" s="114"/>
      <c r="L133" s="114"/>
      <c r="P133" s="383"/>
      <c r="Q133" s="383"/>
    </row>
    <row r="134" spans="4:17" ht="15.75" customHeight="1" x14ac:dyDescent="0.2">
      <c r="D134" s="114"/>
      <c r="F134" s="114"/>
      <c r="J134" s="114"/>
      <c r="L134" s="114"/>
      <c r="P134" s="383"/>
      <c r="Q134" s="383"/>
    </row>
    <row r="135" spans="4:17" ht="15.75" customHeight="1" x14ac:dyDescent="0.2">
      <c r="D135" s="114"/>
      <c r="F135" s="114"/>
      <c r="J135" s="114"/>
      <c r="L135" s="114"/>
      <c r="P135" s="383"/>
      <c r="Q135" s="383"/>
    </row>
    <row r="136" spans="4:17" ht="15.75" customHeight="1" x14ac:dyDescent="0.2">
      <c r="D136" s="114"/>
      <c r="F136" s="114"/>
      <c r="J136" s="114"/>
      <c r="L136" s="114"/>
      <c r="P136" s="383"/>
      <c r="Q136" s="383"/>
    </row>
    <row r="137" spans="4:17" ht="15.75" customHeight="1" x14ac:dyDescent="0.2">
      <c r="D137" s="114"/>
      <c r="F137" s="114"/>
      <c r="J137" s="114"/>
      <c r="L137" s="114"/>
      <c r="P137" s="383"/>
      <c r="Q137" s="383"/>
    </row>
    <row r="138" spans="4:17" ht="15.75" customHeight="1" x14ac:dyDescent="0.2">
      <c r="D138" s="114"/>
      <c r="F138" s="114"/>
      <c r="J138" s="114"/>
      <c r="L138" s="114"/>
      <c r="P138" s="383"/>
      <c r="Q138" s="383"/>
    </row>
    <row r="139" spans="4:17" ht="15.75" customHeight="1" x14ac:dyDescent="0.2">
      <c r="D139" s="114"/>
      <c r="F139" s="114"/>
      <c r="J139" s="114"/>
      <c r="L139" s="114"/>
      <c r="P139" s="383"/>
      <c r="Q139" s="383"/>
    </row>
    <row r="140" spans="4:17" ht="15.75" customHeight="1" x14ac:dyDescent="0.2">
      <c r="D140" s="114"/>
      <c r="F140" s="114"/>
      <c r="J140" s="114"/>
      <c r="L140" s="114"/>
      <c r="P140" s="383"/>
      <c r="Q140" s="383"/>
    </row>
    <row r="141" spans="4:17" ht="15.75" customHeight="1" x14ac:dyDescent="0.2">
      <c r="D141" s="114"/>
      <c r="F141" s="114"/>
      <c r="J141" s="114"/>
      <c r="L141" s="114"/>
      <c r="P141" s="383"/>
      <c r="Q141" s="383"/>
    </row>
    <row r="142" spans="4:17" ht="15.75" customHeight="1" x14ac:dyDescent="0.2">
      <c r="D142" s="114"/>
      <c r="F142" s="114"/>
      <c r="J142" s="114"/>
      <c r="L142" s="114"/>
      <c r="P142" s="383"/>
      <c r="Q142" s="383"/>
    </row>
    <row r="143" spans="4:17" ht="15.75" customHeight="1" x14ac:dyDescent="0.2">
      <c r="D143" s="114"/>
      <c r="F143" s="114"/>
      <c r="J143" s="114"/>
      <c r="L143" s="114"/>
      <c r="P143" s="383"/>
      <c r="Q143" s="383"/>
    </row>
    <row r="144" spans="4:17" ht="15.75" customHeight="1" x14ac:dyDescent="0.2">
      <c r="D144" s="114"/>
      <c r="F144" s="114"/>
      <c r="J144" s="114"/>
      <c r="L144" s="114"/>
      <c r="P144" s="383"/>
      <c r="Q144" s="383"/>
    </row>
    <row r="145" spans="4:17" ht="15.75" customHeight="1" x14ac:dyDescent="0.2">
      <c r="D145" s="114"/>
      <c r="F145" s="114"/>
      <c r="J145" s="114"/>
      <c r="L145" s="114"/>
      <c r="P145" s="383"/>
      <c r="Q145" s="383"/>
    </row>
    <row r="146" spans="4:17" ht="15.75" customHeight="1" x14ac:dyDescent="0.2">
      <c r="D146" s="114"/>
      <c r="F146" s="114"/>
      <c r="J146" s="114"/>
      <c r="L146" s="114"/>
      <c r="P146" s="383"/>
      <c r="Q146" s="383"/>
    </row>
    <row r="147" spans="4:17" ht="15.75" customHeight="1" x14ac:dyDescent="0.2">
      <c r="D147" s="114"/>
      <c r="F147" s="114"/>
      <c r="J147" s="114"/>
      <c r="L147" s="114"/>
      <c r="P147" s="383"/>
      <c r="Q147" s="383"/>
    </row>
    <row r="148" spans="4:17" ht="15.75" customHeight="1" x14ac:dyDescent="0.2">
      <c r="D148" s="114"/>
      <c r="F148" s="114"/>
      <c r="J148" s="114"/>
      <c r="L148" s="114"/>
      <c r="P148" s="383"/>
      <c r="Q148" s="383"/>
    </row>
    <row r="149" spans="4:17" ht="15.75" customHeight="1" x14ac:dyDescent="0.2">
      <c r="D149" s="114"/>
      <c r="F149" s="114"/>
      <c r="J149" s="114"/>
      <c r="L149" s="114"/>
      <c r="P149" s="383"/>
      <c r="Q149" s="383"/>
    </row>
    <row r="150" spans="4:17" ht="15.75" customHeight="1" x14ac:dyDescent="0.2">
      <c r="D150" s="114"/>
      <c r="F150" s="114"/>
      <c r="J150" s="114"/>
      <c r="L150" s="114"/>
      <c r="P150" s="383"/>
      <c r="Q150" s="383"/>
    </row>
    <row r="151" spans="4:17" ht="15.75" customHeight="1" x14ac:dyDescent="0.2">
      <c r="D151" s="114"/>
      <c r="F151" s="114"/>
      <c r="J151" s="114"/>
      <c r="L151" s="114"/>
      <c r="P151" s="383"/>
      <c r="Q151" s="383"/>
    </row>
    <row r="152" spans="4:17" ht="15.75" customHeight="1" x14ac:dyDescent="0.2">
      <c r="D152" s="114"/>
      <c r="F152" s="114"/>
      <c r="J152" s="114"/>
      <c r="L152" s="114"/>
      <c r="P152" s="383"/>
      <c r="Q152" s="383"/>
    </row>
    <row r="153" spans="4:17" ht="15.75" customHeight="1" x14ac:dyDescent="0.2">
      <c r="D153" s="114"/>
      <c r="F153" s="114"/>
      <c r="J153" s="114"/>
      <c r="L153" s="114"/>
      <c r="P153" s="383"/>
      <c r="Q153" s="383"/>
    </row>
    <row r="154" spans="4:17" ht="15.75" customHeight="1" x14ac:dyDescent="0.2">
      <c r="D154" s="114"/>
      <c r="F154" s="114"/>
      <c r="J154" s="114"/>
      <c r="L154" s="114"/>
      <c r="P154" s="383"/>
      <c r="Q154" s="383"/>
    </row>
    <row r="155" spans="4:17" ht="15.75" customHeight="1" x14ac:dyDescent="0.2">
      <c r="D155" s="114"/>
      <c r="F155" s="114"/>
      <c r="J155" s="114"/>
      <c r="L155" s="114"/>
      <c r="P155" s="383"/>
      <c r="Q155" s="383"/>
    </row>
    <row r="156" spans="4:17" ht="15.75" customHeight="1" x14ac:dyDescent="0.2">
      <c r="D156" s="114"/>
      <c r="F156" s="114"/>
      <c r="J156" s="114"/>
      <c r="L156" s="114"/>
      <c r="P156" s="383"/>
      <c r="Q156" s="383"/>
    </row>
    <row r="157" spans="4:17" ht="15.75" customHeight="1" x14ac:dyDescent="0.2">
      <c r="D157" s="114"/>
      <c r="F157" s="114"/>
      <c r="J157" s="114"/>
      <c r="L157" s="114"/>
      <c r="P157" s="383"/>
      <c r="Q157" s="383"/>
    </row>
    <row r="158" spans="4:17" ht="15.75" customHeight="1" x14ac:dyDescent="0.2">
      <c r="D158" s="114"/>
      <c r="F158" s="114"/>
      <c r="J158" s="114"/>
      <c r="L158" s="114"/>
      <c r="P158" s="383"/>
      <c r="Q158" s="383"/>
    </row>
    <row r="159" spans="4:17" ht="15.75" customHeight="1" x14ac:dyDescent="0.2">
      <c r="D159" s="114"/>
      <c r="F159" s="114"/>
      <c r="J159" s="114"/>
      <c r="L159" s="114"/>
      <c r="P159" s="383"/>
      <c r="Q159" s="383"/>
    </row>
    <row r="160" spans="4:17" ht="15.75" customHeight="1" x14ac:dyDescent="0.2">
      <c r="D160" s="114"/>
      <c r="F160" s="114"/>
      <c r="J160" s="114"/>
      <c r="L160" s="114"/>
      <c r="P160" s="383"/>
      <c r="Q160" s="383"/>
    </row>
    <row r="161" spans="4:17" ht="15.75" customHeight="1" x14ac:dyDescent="0.2">
      <c r="D161" s="114"/>
      <c r="F161" s="114"/>
      <c r="J161" s="114"/>
      <c r="L161" s="114"/>
      <c r="P161" s="383"/>
      <c r="Q161" s="383"/>
    </row>
    <row r="162" spans="4:17" ht="15.75" customHeight="1" x14ac:dyDescent="0.2">
      <c r="D162" s="114"/>
      <c r="F162" s="114"/>
      <c r="J162" s="114"/>
      <c r="L162" s="114"/>
      <c r="P162" s="383"/>
      <c r="Q162" s="383"/>
    </row>
    <row r="163" spans="4:17" ht="15.75" customHeight="1" x14ac:dyDescent="0.2">
      <c r="D163" s="114"/>
      <c r="F163" s="114"/>
      <c r="J163" s="114"/>
      <c r="L163" s="114"/>
      <c r="P163" s="383"/>
      <c r="Q163" s="383"/>
    </row>
    <row r="164" spans="4:17" ht="15.75" customHeight="1" x14ac:dyDescent="0.2">
      <c r="D164" s="114"/>
      <c r="F164" s="114"/>
      <c r="J164" s="114"/>
      <c r="L164" s="114"/>
      <c r="P164" s="383"/>
      <c r="Q164" s="383"/>
    </row>
    <row r="165" spans="4:17" ht="15.75" customHeight="1" x14ac:dyDescent="0.2">
      <c r="D165" s="114"/>
      <c r="F165" s="114"/>
      <c r="J165" s="114"/>
      <c r="L165" s="114"/>
      <c r="P165" s="383"/>
      <c r="Q165" s="383"/>
    </row>
    <row r="166" spans="4:17" ht="15.75" customHeight="1" x14ac:dyDescent="0.2">
      <c r="D166" s="114"/>
      <c r="F166" s="114"/>
      <c r="J166" s="114"/>
      <c r="L166" s="114"/>
      <c r="P166" s="383"/>
      <c r="Q166" s="383"/>
    </row>
    <row r="167" spans="4:17" ht="15.75" customHeight="1" x14ac:dyDescent="0.2">
      <c r="D167" s="114"/>
      <c r="F167" s="114"/>
      <c r="J167" s="114"/>
      <c r="L167" s="114"/>
      <c r="P167" s="383"/>
      <c r="Q167" s="383"/>
    </row>
    <row r="168" spans="4:17" ht="15.75" customHeight="1" x14ac:dyDescent="0.2">
      <c r="D168" s="114"/>
      <c r="F168" s="114"/>
      <c r="J168" s="114"/>
      <c r="L168" s="114"/>
      <c r="P168" s="383"/>
      <c r="Q168" s="383"/>
    </row>
    <row r="169" spans="4:17" ht="15.75" customHeight="1" x14ac:dyDescent="0.2">
      <c r="D169" s="114"/>
      <c r="F169" s="114"/>
      <c r="J169" s="114"/>
      <c r="L169" s="114"/>
      <c r="P169" s="383"/>
      <c r="Q169" s="383"/>
    </row>
    <row r="170" spans="4:17" ht="15.75" customHeight="1" x14ac:dyDescent="0.2">
      <c r="D170" s="114"/>
      <c r="F170" s="114"/>
      <c r="J170" s="114"/>
      <c r="L170" s="114"/>
      <c r="P170" s="383"/>
      <c r="Q170" s="383"/>
    </row>
    <row r="171" spans="4:17" ht="15.75" customHeight="1" x14ac:dyDescent="0.2">
      <c r="D171" s="114"/>
      <c r="F171" s="114"/>
      <c r="J171" s="114"/>
      <c r="L171" s="114"/>
      <c r="P171" s="383"/>
      <c r="Q171" s="383"/>
    </row>
    <row r="172" spans="4:17" ht="15.75" customHeight="1" x14ac:dyDescent="0.2">
      <c r="D172" s="114"/>
      <c r="F172" s="114"/>
      <c r="J172" s="114"/>
      <c r="L172" s="114"/>
      <c r="P172" s="383"/>
      <c r="Q172" s="383"/>
    </row>
    <row r="173" spans="4:17" ht="15.75" customHeight="1" x14ac:dyDescent="0.2">
      <c r="D173" s="114"/>
      <c r="F173" s="114"/>
      <c r="J173" s="114"/>
      <c r="L173" s="114"/>
      <c r="P173" s="383"/>
      <c r="Q173" s="383"/>
    </row>
    <row r="174" spans="4:17" ht="15.75" customHeight="1" x14ac:dyDescent="0.2">
      <c r="D174" s="114"/>
      <c r="F174" s="114"/>
      <c r="J174" s="114"/>
      <c r="L174" s="114"/>
      <c r="P174" s="383"/>
      <c r="Q174" s="383"/>
    </row>
    <row r="175" spans="4:17" ht="15.75" customHeight="1" x14ac:dyDescent="0.2">
      <c r="D175" s="114"/>
      <c r="F175" s="114"/>
      <c r="J175" s="114"/>
      <c r="L175" s="114"/>
      <c r="P175" s="383"/>
      <c r="Q175" s="383"/>
    </row>
    <row r="176" spans="4:17" ht="15.75" customHeight="1" x14ac:dyDescent="0.2">
      <c r="D176" s="114"/>
      <c r="F176" s="114"/>
      <c r="J176" s="114"/>
      <c r="L176" s="114"/>
      <c r="P176" s="383"/>
      <c r="Q176" s="383"/>
    </row>
    <row r="177" spans="4:17" ht="15.75" customHeight="1" x14ac:dyDescent="0.2">
      <c r="D177" s="114"/>
      <c r="F177" s="114"/>
      <c r="J177" s="114"/>
      <c r="L177" s="114"/>
      <c r="P177" s="383"/>
      <c r="Q177" s="383"/>
    </row>
    <row r="178" spans="4:17" ht="15.75" customHeight="1" x14ac:dyDescent="0.2">
      <c r="D178" s="114"/>
      <c r="F178" s="114"/>
      <c r="J178" s="114"/>
      <c r="L178" s="114"/>
      <c r="P178" s="383"/>
      <c r="Q178" s="383"/>
    </row>
    <row r="179" spans="4:17" ht="15.75" customHeight="1" x14ac:dyDescent="0.2">
      <c r="D179" s="114"/>
      <c r="F179" s="114"/>
      <c r="J179" s="114"/>
      <c r="L179" s="114"/>
      <c r="P179" s="383"/>
      <c r="Q179" s="383"/>
    </row>
    <row r="180" spans="4:17" ht="15.75" customHeight="1" x14ac:dyDescent="0.2">
      <c r="D180" s="114"/>
      <c r="F180" s="114"/>
      <c r="J180" s="114"/>
      <c r="L180" s="114"/>
      <c r="P180" s="383"/>
      <c r="Q180" s="383"/>
    </row>
    <row r="181" spans="4:17" ht="15.75" customHeight="1" x14ac:dyDescent="0.2">
      <c r="D181" s="114"/>
      <c r="F181" s="114"/>
      <c r="J181" s="114"/>
      <c r="L181" s="114"/>
      <c r="P181" s="383"/>
      <c r="Q181" s="383"/>
    </row>
    <row r="182" spans="4:17" ht="15.75" customHeight="1" x14ac:dyDescent="0.2">
      <c r="D182" s="114"/>
      <c r="F182" s="114"/>
      <c r="J182" s="114"/>
      <c r="L182" s="114"/>
      <c r="P182" s="383"/>
      <c r="Q182" s="383"/>
    </row>
    <row r="183" spans="4:17" ht="15.75" customHeight="1" x14ac:dyDescent="0.2">
      <c r="D183" s="114"/>
      <c r="F183" s="114"/>
      <c r="J183" s="114"/>
      <c r="L183" s="114"/>
      <c r="P183" s="383"/>
      <c r="Q183" s="383"/>
    </row>
    <row r="184" spans="4:17" ht="15.75" customHeight="1" x14ac:dyDescent="0.2">
      <c r="D184" s="114"/>
      <c r="F184" s="114"/>
      <c r="J184" s="114"/>
      <c r="L184" s="114"/>
      <c r="P184" s="383"/>
      <c r="Q184" s="383"/>
    </row>
    <row r="185" spans="4:17" ht="15.75" customHeight="1" x14ac:dyDescent="0.2">
      <c r="D185" s="114"/>
      <c r="F185" s="114"/>
      <c r="J185" s="114"/>
      <c r="L185" s="114"/>
      <c r="P185" s="383"/>
      <c r="Q185" s="383"/>
    </row>
    <row r="186" spans="4:17" ht="15.75" customHeight="1" x14ac:dyDescent="0.2">
      <c r="D186" s="114"/>
      <c r="F186" s="114"/>
      <c r="J186" s="114"/>
      <c r="L186" s="114"/>
      <c r="P186" s="383"/>
      <c r="Q186" s="383"/>
    </row>
    <row r="187" spans="4:17" ht="15.75" customHeight="1" x14ac:dyDescent="0.2">
      <c r="D187" s="114"/>
      <c r="F187" s="114"/>
      <c r="J187" s="114"/>
      <c r="L187" s="114"/>
      <c r="P187" s="383"/>
      <c r="Q187" s="383"/>
    </row>
    <row r="188" spans="4:17" ht="15.75" customHeight="1" x14ac:dyDescent="0.2">
      <c r="D188" s="114"/>
      <c r="F188" s="114"/>
      <c r="J188" s="114"/>
      <c r="L188" s="114"/>
      <c r="P188" s="383"/>
      <c r="Q188" s="383"/>
    </row>
    <row r="189" spans="4:17" ht="15.75" customHeight="1" x14ac:dyDescent="0.2">
      <c r="D189" s="114"/>
      <c r="F189" s="114"/>
      <c r="J189" s="114"/>
      <c r="L189" s="114"/>
      <c r="P189" s="383"/>
      <c r="Q189" s="383"/>
    </row>
    <row r="190" spans="4:17" ht="15.75" customHeight="1" x14ac:dyDescent="0.2">
      <c r="D190" s="114"/>
      <c r="F190" s="114"/>
      <c r="J190" s="114"/>
      <c r="L190" s="114"/>
      <c r="P190" s="383"/>
      <c r="Q190" s="383"/>
    </row>
    <row r="191" spans="4:17" ht="15.75" customHeight="1" x14ac:dyDescent="0.2">
      <c r="D191" s="114"/>
      <c r="F191" s="114"/>
      <c r="J191" s="114"/>
      <c r="L191" s="114"/>
      <c r="P191" s="383"/>
      <c r="Q191" s="383"/>
    </row>
    <row r="192" spans="4:17" ht="15.75" customHeight="1" x14ac:dyDescent="0.2">
      <c r="D192" s="114"/>
      <c r="F192" s="114"/>
      <c r="J192" s="114"/>
      <c r="L192" s="114"/>
      <c r="P192" s="383"/>
      <c r="Q192" s="383"/>
    </row>
    <row r="193" spans="4:17" ht="15.75" customHeight="1" x14ac:dyDescent="0.2">
      <c r="D193" s="114"/>
      <c r="F193" s="114"/>
      <c r="J193" s="114"/>
      <c r="L193" s="114"/>
      <c r="P193" s="383"/>
      <c r="Q193" s="383"/>
    </row>
    <row r="194" spans="4:17" ht="15.75" customHeight="1" x14ac:dyDescent="0.2">
      <c r="D194" s="114"/>
      <c r="F194" s="114"/>
      <c r="J194" s="114"/>
      <c r="L194" s="114"/>
      <c r="P194" s="383"/>
      <c r="Q194" s="383"/>
    </row>
    <row r="195" spans="4:17" ht="15.75" customHeight="1" x14ac:dyDescent="0.2">
      <c r="D195" s="114"/>
      <c r="F195" s="114"/>
      <c r="J195" s="114"/>
      <c r="L195" s="114"/>
      <c r="P195" s="383"/>
      <c r="Q195" s="383"/>
    </row>
    <row r="196" spans="4:17" ht="15.75" customHeight="1" x14ac:dyDescent="0.2">
      <c r="D196" s="114"/>
      <c r="F196" s="114"/>
      <c r="J196" s="114"/>
      <c r="L196" s="114"/>
      <c r="P196" s="383"/>
      <c r="Q196" s="383"/>
    </row>
    <row r="197" spans="4:17" ht="15.75" customHeight="1" x14ac:dyDescent="0.2">
      <c r="D197" s="114"/>
      <c r="F197" s="114"/>
      <c r="J197" s="114"/>
      <c r="L197" s="114"/>
      <c r="P197" s="383"/>
      <c r="Q197" s="383"/>
    </row>
    <row r="198" spans="4:17" ht="15.75" customHeight="1" x14ac:dyDescent="0.2">
      <c r="D198" s="114"/>
      <c r="F198" s="114"/>
      <c r="J198" s="114"/>
      <c r="L198" s="114"/>
      <c r="P198" s="383"/>
      <c r="Q198" s="383"/>
    </row>
    <row r="199" spans="4:17" ht="15.75" customHeight="1" x14ac:dyDescent="0.2">
      <c r="D199" s="114"/>
      <c r="F199" s="114"/>
      <c r="J199" s="114"/>
      <c r="L199" s="114"/>
      <c r="P199" s="383"/>
      <c r="Q199" s="383"/>
    </row>
    <row r="200" spans="4:17" ht="15.75" customHeight="1" x14ac:dyDescent="0.2">
      <c r="D200" s="114"/>
      <c r="F200" s="114"/>
      <c r="J200" s="114"/>
      <c r="L200" s="114"/>
      <c r="P200" s="383"/>
      <c r="Q200" s="383"/>
    </row>
    <row r="201" spans="4:17" ht="15.75" customHeight="1" x14ac:dyDescent="0.2">
      <c r="D201" s="114"/>
      <c r="F201" s="114"/>
      <c r="J201" s="114"/>
      <c r="L201" s="114"/>
      <c r="P201" s="383"/>
      <c r="Q201" s="383"/>
    </row>
    <row r="202" spans="4:17" ht="15.75" customHeight="1" x14ac:dyDescent="0.2">
      <c r="D202" s="114"/>
      <c r="F202" s="114"/>
      <c r="J202" s="114"/>
      <c r="L202" s="114"/>
      <c r="P202" s="383"/>
      <c r="Q202" s="383"/>
    </row>
    <row r="203" spans="4:17" ht="15.75" customHeight="1" x14ac:dyDescent="0.2">
      <c r="D203" s="114"/>
      <c r="F203" s="114"/>
      <c r="J203" s="114"/>
      <c r="L203" s="114"/>
      <c r="P203" s="383"/>
      <c r="Q203" s="383"/>
    </row>
    <row r="204" spans="4:17" ht="15.75" customHeight="1" x14ac:dyDescent="0.2">
      <c r="D204" s="114"/>
      <c r="F204" s="114"/>
      <c r="J204" s="114"/>
      <c r="L204" s="114"/>
      <c r="P204" s="383"/>
      <c r="Q204" s="383"/>
    </row>
    <row r="205" spans="4:17" ht="15.75" customHeight="1" x14ac:dyDescent="0.2">
      <c r="D205" s="114"/>
      <c r="F205" s="114"/>
      <c r="J205" s="114"/>
      <c r="L205" s="114"/>
      <c r="P205" s="383"/>
      <c r="Q205" s="383"/>
    </row>
    <row r="206" spans="4:17" ht="15.75" customHeight="1" x14ac:dyDescent="0.2">
      <c r="D206" s="114"/>
      <c r="F206" s="114"/>
      <c r="J206" s="114"/>
      <c r="L206" s="114"/>
      <c r="P206" s="383"/>
      <c r="Q206" s="383"/>
    </row>
    <row r="207" spans="4:17" ht="15.75" customHeight="1" x14ac:dyDescent="0.2">
      <c r="D207" s="114"/>
      <c r="F207" s="114"/>
      <c r="J207" s="114"/>
      <c r="L207" s="114"/>
      <c r="P207" s="383"/>
      <c r="Q207" s="383"/>
    </row>
    <row r="208" spans="4:17" ht="15.75" customHeight="1" x14ac:dyDescent="0.2">
      <c r="D208" s="114"/>
      <c r="F208" s="114"/>
      <c r="J208" s="114"/>
      <c r="L208" s="114"/>
      <c r="P208" s="383"/>
      <c r="Q208" s="383"/>
    </row>
    <row r="209" spans="4:17" ht="15.75" customHeight="1" x14ac:dyDescent="0.2">
      <c r="D209" s="114"/>
      <c r="F209" s="114"/>
      <c r="J209" s="114"/>
      <c r="L209" s="114"/>
      <c r="P209" s="383"/>
      <c r="Q209" s="383"/>
    </row>
    <row r="210" spans="4:17" ht="15.75" customHeight="1" x14ac:dyDescent="0.2">
      <c r="D210" s="114"/>
      <c r="F210" s="114"/>
      <c r="J210" s="114"/>
      <c r="L210" s="114"/>
      <c r="P210" s="383"/>
      <c r="Q210" s="383"/>
    </row>
    <row r="211" spans="4:17" ht="15.75" customHeight="1" x14ac:dyDescent="0.2">
      <c r="D211" s="114"/>
      <c r="F211" s="114"/>
      <c r="J211" s="114"/>
      <c r="L211" s="114"/>
      <c r="P211" s="383"/>
      <c r="Q211" s="383"/>
    </row>
    <row r="212" spans="4:17" ht="15.75" customHeight="1" x14ac:dyDescent="0.2">
      <c r="D212" s="114"/>
      <c r="F212" s="114"/>
      <c r="J212" s="114"/>
      <c r="L212" s="114"/>
      <c r="P212" s="383"/>
      <c r="Q212" s="383"/>
    </row>
    <row r="213" spans="4:17" ht="15.75" customHeight="1" x14ac:dyDescent="0.2">
      <c r="D213" s="114"/>
      <c r="F213" s="114"/>
      <c r="J213" s="114"/>
      <c r="L213" s="114"/>
      <c r="P213" s="383"/>
      <c r="Q213" s="383"/>
    </row>
    <row r="214" spans="4:17" ht="15.75" customHeight="1" x14ac:dyDescent="0.2">
      <c r="D214" s="114"/>
      <c r="F214" s="114"/>
      <c r="J214" s="114"/>
      <c r="L214" s="114"/>
      <c r="P214" s="383"/>
      <c r="Q214" s="383"/>
    </row>
    <row r="215" spans="4:17" ht="15.75" customHeight="1" x14ac:dyDescent="0.2">
      <c r="D215" s="114"/>
      <c r="F215" s="114"/>
      <c r="J215" s="114"/>
      <c r="L215" s="114"/>
      <c r="P215" s="383"/>
      <c r="Q215" s="383"/>
    </row>
    <row r="216" spans="4:17" ht="15.75" customHeight="1" x14ac:dyDescent="0.2">
      <c r="D216" s="114"/>
      <c r="F216" s="114"/>
      <c r="J216" s="114"/>
      <c r="L216" s="114"/>
      <c r="P216" s="383"/>
      <c r="Q216" s="383"/>
    </row>
    <row r="217" spans="4:17" ht="15.75" customHeight="1" x14ac:dyDescent="0.2">
      <c r="D217" s="114"/>
      <c r="F217" s="114"/>
      <c r="J217" s="114"/>
      <c r="L217" s="114"/>
      <c r="P217" s="383"/>
      <c r="Q217" s="383"/>
    </row>
    <row r="218" spans="4:17" ht="15.75" customHeight="1" x14ac:dyDescent="0.2">
      <c r="D218" s="114"/>
      <c r="F218" s="114"/>
      <c r="J218" s="114"/>
      <c r="L218" s="114"/>
      <c r="P218" s="383"/>
      <c r="Q218" s="383"/>
    </row>
    <row r="219" spans="4:17" ht="15.75" customHeight="1" x14ac:dyDescent="0.2">
      <c r="D219" s="114"/>
      <c r="F219" s="114"/>
      <c r="J219" s="114"/>
      <c r="L219" s="114"/>
      <c r="P219" s="383"/>
      <c r="Q219" s="383"/>
    </row>
    <row r="220" spans="4:17" ht="15.75" customHeight="1" x14ac:dyDescent="0.2">
      <c r="D220" s="114"/>
      <c r="F220" s="114"/>
      <c r="J220" s="114"/>
      <c r="L220" s="114"/>
      <c r="P220" s="383"/>
      <c r="Q220" s="383"/>
    </row>
    <row r="221" spans="4:17" ht="15.75" customHeight="1" x14ac:dyDescent="0.2">
      <c r="D221" s="114"/>
      <c r="F221" s="114"/>
      <c r="J221" s="114"/>
      <c r="L221" s="114"/>
      <c r="P221" s="383"/>
      <c r="Q221" s="383"/>
    </row>
    <row r="222" spans="4:17" ht="15.75" customHeight="1" x14ac:dyDescent="0.2">
      <c r="D222" s="114"/>
      <c r="F222" s="114"/>
      <c r="J222" s="114"/>
      <c r="L222" s="114"/>
      <c r="P222" s="383"/>
      <c r="Q222" s="383"/>
    </row>
    <row r="223" spans="4:17" ht="15.75" customHeight="1" x14ac:dyDescent="0.2">
      <c r="D223" s="114"/>
      <c r="F223" s="114"/>
      <c r="J223" s="114"/>
      <c r="L223" s="114"/>
      <c r="P223" s="383"/>
      <c r="Q223" s="383"/>
    </row>
    <row r="224" spans="4:17" ht="15.75" customHeight="1" x14ac:dyDescent="0.2">
      <c r="D224" s="114"/>
      <c r="F224" s="114"/>
      <c r="J224" s="114"/>
      <c r="L224" s="114"/>
      <c r="P224" s="383"/>
      <c r="Q224" s="383"/>
    </row>
    <row r="225" spans="4:17" ht="15.75" customHeight="1" x14ac:dyDescent="0.2">
      <c r="D225" s="114"/>
      <c r="F225" s="114"/>
      <c r="J225" s="114"/>
      <c r="L225" s="114"/>
      <c r="P225" s="383"/>
      <c r="Q225" s="383"/>
    </row>
    <row r="226" spans="4:17" ht="15.75" customHeight="1" x14ac:dyDescent="0.2">
      <c r="D226" s="114"/>
      <c r="F226" s="114"/>
      <c r="J226" s="114"/>
      <c r="L226" s="114"/>
      <c r="P226" s="383"/>
      <c r="Q226" s="383"/>
    </row>
    <row r="227" spans="4:17" ht="15.75" customHeight="1" x14ac:dyDescent="0.2">
      <c r="D227" s="114"/>
      <c r="F227" s="114"/>
      <c r="J227" s="114"/>
      <c r="L227" s="114"/>
      <c r="P227" s="383"/>
      <c r="Q227" s="383"/>
    </row>
    <row r="228" spans="4:17" ht="15.75" customHeight="1" x14ac:dyDescent="0.2">
      <c r="D228" s="114"/>
      <c r="F228" s="114"/>
      <c r="J228" s="114"/>
      <c r="L228" s="114"/>
      <c r="P228" s="383"/>
      <c r="Q228" s="383"/>
    </row>
    <row r="229" spans="4:17" ht="15.75" customHeight="1" x14ac:dyDescent="0.2">
      <c r="D229" s="114"/>
      <c r="F229" s="114"/>
      <c r="J229" s="114"/>
      <c r="L229" s="114"/>
      <c r="P229" s="383"/>
      <c r="Q229" s="383"/>
    </row>
    <row r="230" spans="4:17" ht="15.75" customHeight="1" x14ac:dyDescent="0.2">
      <c r="D230" s="114"/>
      <c r="F230" s="114"/>
      <c r="J230" s="114"/>
      <c r="L230" s="114"/>
      <c r="P230" s="383"/>
      <c r="Q230" s="383"/>
    </row>
    <row r="231" spans="4:17" ht="15.75" customHeight="1" x14ac:dyDescent="0.2">
      <c r="D231" s="114"/>
      <c r="F231" s="114"/>
      <c r="J231" s="114"/>
      <c r="L231" s="114"/>
      <c r="P231" s="383"/>
      <c r="Q231" s="383"/>
    </row>
    <row r="232" spans="4:17" ht="15.75" customHeight="1" x14ac:dyDescent="0.2">
      <c r="D232" s="114"/>
      <c r="F232" s="114"/>
      <c r="J232" s="114"/>
      <c r="L232" s="114"/>
      <c r="P232" s="383"/>
      <c r="Q232" s="383"/>
    </row>
    <row r="233" spans="4:17" ht="15.75" customHeight="1" x14ac:dyDescent="0.2">
      <c r="D233" s="114"/>
      <c r="F233" s="114"/>
      <c r="J233" s="114"/>
      <c r="L233" s="114"/>
      <c r="P233" s="383"/>
      <c r="Q233" s="383"/>
    </row>
    <row r="234" spans="4:17" ht="15.75" customHeight="1" x14ac:dyDescent="0.2">
      <c r="D234" s="114"/>
      <c r="F234" s="114"/>
      <c r="J234" s="114"/>
      <c r="L234" s="114"/>
      <c r="P234" s="383"/>
      <c r="Q234" s="383"/>
    </row>
    <row r="235" spans="4:17" ht="15.75" customHeight="1" x14ac:dyDescent="0.2">
      <c r="D235" s="114"/>
      <c r="F235" s="114"/>
      <c r="J235" s="114"/>
      <c r="L235" s="114"/>
      <c r="P235" s="383"/>
      <c r="Q235" s="383"/>
    </row>
    <row r="236" spans="4:17" ht="15.75" customHeight="1" x14ac:dyDescent="0.2">
      <c r="D236" s="114"/>
      <c r="F236" s="114"/>
      <c r="J236" s="114"/>
      <c r="L236" s="114"/>
      <c r="P236" s="383"/>
      <c r="Q236" s="383"/>
    </row>
    <row r="237" spans="4:17" ht="15.75" customHeight="1" x14ac:dyDescent="0.2">
      <c r="D237" s="114"/>
      <c r="F237" s="114"/>
      <c r="J237" s="114"/>
      <c r="L237" s="114"/>
      <c r="P237" s="383"/>
      <c r="Q237" s="383"/>
    </row>
    <row r="238" spans="4:17" ht="15.75" customHeight="1" x14ac:dyDescent="0.2">
      <c r="D238" s="114"/>
      <c r="F238" s="114"/>
      <c r="J238" s="114"/>
      <c r="L238" s="114"/>
      <c r="P238" s="383"/>
      <c r="Q238" s="383"/>
    </row>
    <row r="239" spans="4:17" ht="15.75" customHeight="1" x14ac:dyDescent="0.2">
      <c r="D239" s="114"/>
      <c r="F239" s="114"/>
      <c r="J239" s="114"/>
      <c r="L239" s="114"/>
      <c r="P239" s="383"/>
      <c r="Q239" s="383"/>
    </row>
    <row r="240" spans="4:17" ht="15.75" customHeight="1" x14ac:dyDescent="0.2">
      <c r="D240" s="114"/>
      <c r="F240" s="114"/>
      <c r="J240" s="114"/>
      <c r="L240" s="114"/>
      <c r="P240" s="383"/>
      <c r="Q240" s="383"/>
    </row>
    <row r="241" spans="4:17" ht="15.75" customHeight="1" x14ac:dyDescent="0.2">
      <c r="D241" s="114"/>
      <c r="F241" s="114"/>
      <c r="J241" s="114"/>
      <c r="L241" s="114"/>
      <c r="P241" s="383"/>
      <c r="Q241" s="383"/>
    </row>
    <row r="242" spans="4:17" ht="15.75" customHeight="1" x14ac:dyDescent="0.2">
      <c r="D242" s="114"/>
      <c r="F242" s="114"/>
      <c r="J242" s="114"/>
      <c r="L242" s="114"/>
      <c r="P242" s="383"/>
      <c r="Q242" s="383"/>
    </row>
    <row r="243" spans="4:17" ht="15.75" customHeight="1" x14ac:dyDescent="0.2">
      <c r="D243" s="114"/>
      <c r="F243" s="114"/>
      <c r="J243" s="114"/>
      <c r="L243" s="114"/>
      <c r="P243" s="383"/>
      <c r="Q243" s="383"/>
    </row>
    <row r="244" spans="4:17" ht="15.75" customHeight="1" x14ac:dyDescent="0.2">
      <c r="D244" s="114"/>
      <c r="F244" s="114"/>
      <c r="J244" s="114"/>
      <c r="L244" s="114"/>
      <c r="P244" s="383"/>
      <c r="Q244" s="383"/>
    </row>
    <row r="245" spans="4:17" ht="15.75" customHeight="1" x14ac:dyDescent="0.2">
      <c r="D245" s="114"/>
      <c r="F245" s="114"/>
      <c r="J245" s="114"/>
      <c r="L245" s="114"/>
      <c r="P245" s="383"/>
      <c r="Q245" s="383"/>
    </row>
    <row r="246" spans="4:17" ht="15.75" customHeight="1" x14ac:dyDescent="0.2">
      <c r="D246" s="114"/>
      <c r="F246" s="114"/>
      <c r="J246" s="114"/>
      <c r="L246" s="114"/>
      <c r="P246" s="383"/>
      <c r="Q246" s="383"/>
    </row>
    <row r="247" spans="4:17" ht="15.75" customHeight="1" x14ac:dyDescent="0.2">
      <c r="D247" s="114"/>
      <c r="F247" s="114"/>
      <c r="J247" s="114"/>
      <c r="L247" s="114"/>
      <c r="P247" s="383"/>
      <c r="Q247" s="383"/>
    </row>
    <row r="248" spans="4:17" ht="15.75" customHeight="1" x14ac:dyDescent="0.2">
      <c r="D248" s="114"/>
      <c r="F248" s="114"/>
      <c r="J248" s="114"/>
      <c r="L248" s="114"/>
      <c r="P248" s="383"/>
      <c r="Q248" s="383"/>
    </row>
    <row r="249" spans="4:17" ht="15.75" customHeight="1" x14ac:dyDescent="0.2">
      <c r="D249" s="114"/>
      <c r="F249" s="114"/>
      <c r="J249" s="114"/>
      <c r="L249" s="114"/>
      <c r="P249" s="383"/>
      <c r="Q249" s="383"/>
    </row>
    <row r="250" spans="4:17" ht="15.75" customHeight="1" x14ac:dyDescent="0.2">
      <c r="D250" s="114"/>
      <c r="F250" s="114"/>
      <c r="J250" s="114"/>
      <c r="L250" s="114"/>
      <c r="P250" s="383"/>
      <c r="Q250" s="383"/>
    </row>
    <row r="251" spans="4:17" ht="15.75" customHeight="1" x14ac:dyDescent="0.2">
      <c r="D251" s="114"/>
      <c r="F251" s="114"/>
      <c r="J251" s="114"/>
      <c r="L251" s="114"/>
      <c r="P251" s="383"/>
      <c r="Q251" s="383"/>
    </row>
    <row r="252" spans="4:17" ht="15.75" customHeight="1" x14ac:dyDescent="0.2">
      <c r="D252" s="114"/>
      <c r="F252" s="114"/>
      <c r="J252" s="114"/>
      <c r="L252" s="114"/>
      <c r="P252" s="383"/>
      <c r="Q252" s="383"/>
    </row>
    <row r="253" spans="4:17" ht="15.75" customHeight="1" x14ac:dyDescent="0.2">
      <c r="D253" s="114"/>
      <c r="F253" s="114"/>
      <c r="J253" s="114"/>
      <c r="L253" s="114"/>
      <c r="P253" s="383"/>
      <c r="Q253" s="383"/>
    </row>
    <row r="254" spans="4:17" ht="15.75" customHeight="1" x14ac:dyDescent="0.2">
      <c r="D254" s="114"/>
      <c r="F254" s="114"/>
      <c r="J254" s="114"/>
      <c r="L254" s="114"/>
      <c r="P254" s="383"/>
      <c r="Q254" s="383"/>
    </row>
    <row r="255" spans="4:17" ht="15.75" customHeight="1" x14ac:dyDescent="0.2">
      <c r="D255" s="114"/>
      <c r="F255" s="114"/>
      <c r="J255" s="114"/>
      <c r="L255" s="114"/>
      <c r="P255" s="383"/>
      <c r="Q255" s="383"/>
    </row>
    <row r="256" spans="4:17" ht="15.75" customHeight="1" x14ac:dyDescent="0.2">
      <c r="D256" s="114"/>
      <c r="F256" s="114"/>
      <c r="J256" s="114"/>
      <c r="L256" s="114"/>
      <c r="P256" s="383"/>
      <c r="Q256" s="383"/>
    </row>
    <row r="257" spans="4:17" ht="15.75" customHeight="1" x14ac:dyDescent="0.2">
      <c r="D257" s="114"/>
      <c r="F257" s="114"/>
      <c r="J257" s="114"/>
      <c r="L257" s="114"/>
      <c r="P257" s="383"/>
      <c r="Q257" s="383"/>
    </row>
    <row r="258" spans="4:17" ht="15.75" customHeight="1" x14ac:dyDescent="0.2">
      <c r="D258" s="114"/>
      <c r="F258" s="114"/>
      <c r="J258" s="114"/>
      <c r="L258" s="114"/>
      <c r="P258" s="383"/>
      <c r="Q258" s="383"/>
    </row>
    <row r="259" spans="4:17" ht="15.75" customHeight="1" x14ac:dyDescent="0.2">
      <c r="D259" s="114"/>
      <c r="F259" s="114"/>
      <c r="J259" s="114"/>
      <c r="L259" s="114"/>
      <c r="P259" s="383"/>
      <c r="Q259" s="383"/>
    </row>
    <row r="260" spans="4:17" ht="15.75" customHeight="1" x14ac:dyDescent="0.2">
      <c r="D260" s="114"/>
      <c r="F260" s="114"/>
      <c r="J260" s="114"/>
      <c r="L260" s="114"/>
      <c r="P260" s="383"/>
      <c r="Q260" s="383"/>
    </row>
    <row r="261" spans="4:17" ht="15.75" customHeight="1" x14ac:dyDescent="0.2">
      <c r="D261" s="114"/>
      <c r="F261" s="114"/>
      <c r="J261" s="114"/>
      <c r="L261" s="114"/>
      <c r="P261" s="383"/>
      <c r="Q261" s="383"/>
    </row>
    <row r="262" spans="4:17" ht="15.75" customHeight="1" x14ac:dyDescent="0.2">
      <c r="D262" s="114"/>
      <c r="F262" s="114"/>
      <c r="J262" s="114"/>
      <c r="L262" s="114"/>
      <c r="P262" s="383"/>
      <c r="Q262" s="383"/>
    </row>
    <row r="263" spans="4:17" ht="15.75" customHeight="1" x14ac:dyDescent="0.2">
      <c r="D263" s="114"/>
      <c r="F263" s="114"/>
      <c r="J263" s="114"/>
      <c r="L263" s="114"/>
      <c r="P263" s="383"/>
      <c r="Q263" s="383"/>
    </row>
    <row r="264" spans="4:17" ht="15.75" customHeight="1" x14ac:dyDescent="0.2">
      <c r="D264" s="114"/>
      <c r="F264" s="114"/>
      <c r="J264" s="114"/>
      <c r="L264" s="114"/>
      <c r="P264" s="383"/>
      <c r="Q264" s="383"/>
    </row>
    <row r="265" spans="4:17" ht="15.75" customHeight="1" x14ac:dyDescent="0.2">
      <c r="D265" s="114"/>
      <c r="F265" s="114"/>
      <c r="J265" s="114"/>
      <c r="L265" s="114"/>
      <c r="P265" s="383"/>
      <c r="Q265" s="383"/>
    </row>
    <row r="266" spans="4:17" ht="15.75" customHeight="1" x14ac:dyDescent="0.2">
      <c r="D266" s="114"/>
      <c r="F266" s="114"/>
      <c r="J266" s="114"/>
      <c r="L266" s="114"/>
      <c r="P266" s="383"/>
      <c r="Q266" s="383"/>
    </row>
    <row r="267" spans="4:17" ht="15.75" customHeight="1" x14ac:dyDescent="0.2">
      <c r="D267" s="114"/>
      <c r="F267" s="114"/>
      <c r="J267" s="114"/>
      <c r="L267" s="114"/>
      <c r="P267" s="383"/>
      <c r="Q267" s="383"/>
    </row>
    <row r="268" spans="4:17" ht="15.75" customHeight="1" x14ac:dyDescent="0.2">
      <c r="D268" s="114"/>
      <c r="F268" s="114"/>
      <c r="J268" s="114"/>
      <c r="L268" s="114"/>
      <c r="P268" s="383"/>
      <c r="Q268" s="383"/>
    </row>
    <row r="269" spans="4:17" ht="15.75" customHeight="1" x14ac:dyDescent="0.2">
      <c r="D269" s="114"/>
      <c r="F269" s="114"/>
      <c r="J269" s="114"/>
      <c r="L269" s="114"/>
      <c r="P269" s="383"/>
      <c r="Q269" s="383"/>
    </row>
    <row r="270" spans="4:17" ht="15.75" customHeight="1" x14ac:dyDescent="0.2">
      <c r="D270" s="114"/>
      <c r="F270" s="114"/>
      <c r="J270" s="114"/>
      <c r="L270" s="114"/>
      <c r="P270" s="383"/>
      <c r="Q270" s="383"/>
    </row>
    <row r="271" spans="4:17" ht="15.75" customHeight="1" x14ac:dyDescent="0.2">
      <c r="D271" s="114"/>
      <c r="F271" s="114"/>
      <c r="J271" s="114"/>
      <c r="L271" s="114"/>
      <c r="P271" s="383"/>
      <c r="Q271" s="383"/>
    </row>
    <row r="272" spans="4:17" ht="15.75" customHeight="1" x14ac:dyDescent="0.2">
      <c r="D272" s="114"/>
      <c r="F272" s="114"/>
      <c r="J272" s="114"/>
      <c r="L272" s="114"/>
      <c r="P272" s="383"/>
      <c r="Q272" s="383"/>
    </row>
    <row r="273" spans="4:17" ht="15.75" customHeight="1" x14ac:dyDescent="0.2">
      <c r="D273" s="114"/>
      <c r="F273" s="114"/>
      <c r="J273" s="114"/>
      <c r="L273" s="114"/>
      <c r="P273" s="383"/>
      <c r="Q273" s="383"/>
    </row>
    <row r="274" spans="4:17" ht="15.75" customHeight="1" x14ac:dyDescent="0.2">
      <c r="D274" s="114"/>
      <c r="F274" s="114"/>
      <c r="J274" s="114"/>
      <c r="L274" s="114"/>
      <c r="P274" s="383"/>
      <c r="Q274" s="383"/>
    </row>
    <row r="275" spans="4:17" ht="15.75" customHeight="1" x14ac:dyDescent="0.2">
      <c r="D275" s="114"/>
      <c r="F275" s="114"/>
      <c r="J275" s="114"/>
      <c r="L275" s="114"/>
      <c r="P275" s="383"/>
      <c r="Q275" s="383"/>
    </row>
    <row r="276" spans="4:17" ht="15.75" customHeight="1" x14ac:dyDescent="0.2">
      <c r="D276" s="114"/>
      <c r="F276" s="114"/>
      <c r="J276" s="114"/>
      <c r="L276" s="114"/>
      <c r="P276" s="383"/>
      <c r="Q276" s="383"/>
    </row>
    <row r="277" spans="4:17" ht="15.75" customHeight="1" x14ac:dyDescent="0.2">
      <c r="D277" s="114"/>
      <c r="F277" s="114"/>
      <c r="J277" s="114"/>
      <c r="L277" s="114"/>
      <c r="P277" s="383"/>
      <c r="Q277" s="383"/>
    </row>
    <row r="278" spans="4:17" ht="15.75" customHeight="1" x14ac:dyDescent="0.2">
      <c r="D278" s="114"/>
      <c r="F278" s="114"/>
      <c r="J278" s="114"/>
      <c r="L278" s="114"/>
      <c r="P278" s="383"/>
      <c r="Q278" s="383"/>
    </row>
    <row r="279" spans="4:17" ht="15.75" customHeight="1" x14ac:dyDescent="0.2">
      <c r="D279" s="114"/>
      <c r="F279" s="114"/>
      <c r="J279" s="114"/>
      <c r="L279" s="114"/>
      <c r="P279" s="383"/>
      <c r="Q279" s="383"/>
    </row>
    <row r="280" spans="4:17" ht="15.75" customHeight="1" x14ac:dyDescent="0.2">
      <c r="D280" s="114"/>
      <c r="F280" s="114"/>
      <c r="J280" s="114"/>
      <c r="L280" s="114"/>
      <c r="P280" s="383"/>
      <c r="Q280" s="383"/>
    </row>
    <row r="281" spans="4:17" ht="15.75" customHeight="1" x14ac:dyDescent="0.2">
      <c r="D281" s="114"/>
      <c r="F281" s="114"/>
      <c r="J281" s="114"/>
      <c r="L281" s="114"/>
      <c r="P281" s="383"/>
      <c r="Q281" s="383"/>
    </row>
    <row r="282" spans="4:17" ht="15.75" customHeight="1" x14ac:dyDescent="0.2">
      <c r="D282" s="114"/>
      <c r="F282" s="114"/>
      <c r="J282" s="114"/>
      <c r="L282" s="114"/>
      <c r="P282" s="383"/>
      <c r="Q282" s="383"/>
    </row>
    <row r="283" spans="4:17" ht="15.75" customHeight="1" x14ac:dyDescent="0.2">
      <c r="D283" s="114"/>
      <c r="F283" s="114"/>
      <c r="J283" s="114"/>
      <c r="L283" s="114"/>
      <c r="P283" s="383"/>
      <c r="Q283" s="383"/>
    </row>
    <row r="284" spans="4:17" ht="15.75" customHeight="1" x14ac:dyDescent="0.2">
      <c r="D284" s="114"/>
      <c r="F284" s="114"/>
      <c r="J284" s="114"/>
      <c r="L284" s="114"/>
      <c r="P284" s="383"/>
      <c r="Q284" s="383"/>
    </row>
    <row r="285" spans="4:17" ht="15.75" customHeight="1" x14ac:dyDescent="0.2">
      <c r="D285" s="114"/>
      <c r="F285" s="114"/>
      <c r="J285" s="114"/>
      <c r="L285" s="114"/>
      <c r="P285" s="383"/>
      <c r="Q285" s="383"/>
    </row>
    <row r="286" spans="4:17" ht="15.75" customHeight="1" x14ac:dyDescent="0.2">
      <c r="D286" s="114"/>
      <c r="F286" s="114"/>
      <c r="J286" s="114"/>
      <c r="L286" s="114"/>
      <c r="P286" s="383"/>
      <c r="Q286" s="383"/>
    </row>
    <row r="287" spans="4:17" ht="15.75" customHeight="1" x14ac:dyDescent="0.2">
      <c r="D287" s="114"/>
      <c r="F287" s="114"/>
      <c r="J287" s="114"/>
      <c r="L287" s="114"/>
      <c r="P287" s="383"/>
      <c r="Q287" s="383"/>
    </row>
    <row r="288" spans="4:17" ht="15.75" customHeight="1" x14ac:dyDescent="0.2">
      <c r="D288" s="114"/>
      <c r="F288" s="114"/>
      <c r="J288" s="114"/>
      <c r="L288" s="114"/>
      <c r="P288" s="383"/>
      <c r="Q288" s="383"/>
    </row>
    <row r="289" spans="4:17" ht="15.75" customHeight="1" x14ac:dyDescent="0.2">
      <c r="D289" s="114"/>
      <c r="F289" s="114"/>
      <c r="J289" s="114"/>
      <c r="L289" s="114"/>
      <c r="P289" s="383"/>
      <c r="Q289" s="383"/>
    </row>
    <row r="290" spans="4:17" ht="15.75" customHeight="1" x14ac:dyDescent="0.2">
      <c r="D290" s="114"/>
      <c r="F290" s="114"/>
      <c r="J290" s="114"/>
      <c r="L290" s="114"/>
      <c r="P290" s="383"/>
      <c r="Q290" s="383"/>
    </row>
    <row r="291" spans="4:17" ht="15.75" customHeight="1" x14ac:dyDescent="0.2">
      <c r="D291" s="114"/>
      <c r="F291" s="114"/>
      <c r="J291" s="114"/>
      <c r="L291" s="114"/>
      <c r="P291" s="383"/>
      <c r="Q291" s="383"/>
    </row>
    <row r="292" spans="4:17" ht="15.75" customHeight="1" x14ac:dyDescent="0.2">
      <c r="D292" s="114"/>
      <c r="F292" s="114"/>
      <c r="J292" s="114"/>
      <c r="L292" s="114"/>
      <c r="P292" s="383"/>
      <c r="Q292" s="383"/>
    </row>
    <row r="293" spans="4:17" ht="15.75" customHeight="1" x14ac:dyDescent="0.2">
      <c r="D293" s="114"/>
      <c r="F293" s="114"/>
      <c r="J293" s="114"/>
      <c r="L293" s="114"/>
      <c r="P293" s="383"/>
      <c r="Q293" s="383"/>
    </row>
    <row r="294" spans="4:17" ht="15.75" customHeight="1" x14ac:dyDescent="0.2">
      <c r="D294" s="114"/>
      <c r="F294" s="114"/>
      <c r="J294" s="114"/>
      <c r="L294" s="114"/>
      <c r="P294" s="383"/>
      <c r="Q294" s="383"/>
    </row>
    <row r="295" spans="4:17" ht="15.75" customHeight="1" x14ac:dyDescent="0.2">
      <c r="D295" s="114"/>
      <c r="F295" s="114"/>
      <c r="J295" s="114"/>
      <c r="L295" s="114"/>
      <c r="P295" s="383"/>
      <c r="Q295" s="383"/>
    </row>
    <row r="296" spans="4:17" ht="15.75" customHeight="1" x14ac:dyDescent="0.2">
      <c r="D296" s="114"/>
      <c r="F296" s="114"/>
      <c r="J296" s="114"/>
      <c r="L296" s="114"/>
      <c r="P296" s="383"/>
      <c r="Q296" s="383"/>
    </row>
    <row r="297" spans="4:17" ht="15.75" customHeight="1" x14ac:dyDescent="0.2">
      <c r="D297" s="114"/>
      <c r="F297" s="114"/>
      <c r="J297" s="114"/>
      <c r="L297" s="114"/>
      <c r="P297" s="383"/>
      <c r="Q297" s="383"/>
    </row>
    <row r="298" spans="4:17" ht="15.75" customHeight="1" x14ac:dyDescent="0.2">
      <c r="D298" s="114"/>
      <c r="F298" s="114"/>
      <c r="J298" s="114"/>
      <c r="L298" s="114"/>
      <c r="P298" s="383"/>
      <c r="Q298" s="383"/>
    </row>
    <row r="299" spans="4:17" ht="15.75" customHeight="1" x14ac:dyDescent="0.2">
      <c r="D299" s="114"/>
      <c r="F299" s="114"/>
      <c r="J299" s="114"/>
      <c r="L299" s="114"/>
      <c r="P299" s="383"/>
      <c r="Q299" s="383"/>
    </row>
    <row r="300" spans="4:17" ht="15.75" customHeight="1" x14ac:dyDescent="0.2">
      <c r="D300" s="114"/>
      <c r="F300" s="114"/>
      <c r="J300" s="114"/>
      <c r="L300" s="114"/>
      <c r="P300" s="383"/>
      <c r="Q300" s="383"/>
    </row>
    <row r="301" spans="4:17" ht="15.75" customHeight="1" x14ac:dyDescent="0.2">
      <c r="D301" s="114"/>
      <c r="F301" s="114"/>
      <c r="J301" s="114"/>
      <c r="L301" s="114"/>
      <c r="P301" s="383"/>
      <c r="Q301" s="383"/>
    </row>
    <row r="302" spans="4:17" ht="15.75" customHeight="1" x14ac:dyDescent="0.2">
      <c r="D302" s="114"/>
      <c r="F302" s="114"/>
      <c r="J302" s="114"/>
      <c r="L302" s="114"/>
      <c r="P302" s="383"/>
      <c r="Q302" s="383"/>
    </row>
    <row r="303" spans="4:17" ht="15.75" customHeight="1" x14ac:dyDescent="0.2">
      <c r="D303" s="114"/>
      <c r="F303" s="114"/>
      <c r="J303" s="114"/>
      <c r="L303" s="114"/>
      <c r="P303" s="383"/>
      <c r="Q303" s="383"/>
    </row>
    <row r="304" spans="4:17" ht="15.75" customHeight="1" x14ac:dyDescent="0.2">
      <c r="D304" s="114"/>
      <c r="F304" s="114"/>
      <c r="J304" s="114"/>
      <c r="L304" s="114"/>
      <c r="P304" s="383"/>
      <c r="Q304" s="383"/>
    </row>
    <row r="305" spans="4:17" ht="15.75" customHeight="1" x14ac:dyDescent="0.2">
      <c r="D305" s="114"/>
      <c r="F305" s="114"/>
      <c r="J305" s="114"/>
      <c r="L305" s="114"/>
      <c r="P305" s="383"/>
      <c r="Q305" s="383"/>
    </row>
    <row r="306" spans="4:17" ht="15.75" customHeight="1" x14ac:dyDescent="0.2">
      <c r="D306" s="114"/>
      <c r="F306" s="114"/>
      <c r="J306" s="114"/>
      <c r="L306" s="114"/>
      <c r="P306" s="383"/>
      <c r="Q306" s="383"/>
    </row>
    <row r="307" spans="4:17" ht="15.75" customHeight="1" x14ac:dyDescent="0.2">
      <c r="D307" s="114"/>
      <c r="F307" s="114"/>
      <c r="J307" s="114"/>
      <c r="L307" s="114"/>
      <c r="P307" s="383"/>
      <c r="Q307" s="383"/>
    </row>
    <row r="308" spans="4:17" ht="15.75" customHeight="1" x14ac:dyDescent="0.2">
      <c r="D308" s="114"/>
      <c r="F308" s="114"/>
      <c r="J308" s="114"/>
      <c r="L308" s="114"/>
      <c r="P308" s="383"/>
      <c r="Q308" s="383"/>
    </row>
    <row r="309" spans="4:17" ht="15.75" customHeight="1" x14ac:dyDescent="0.2">
      <c r="D309" s="114"/>
      <c r="F309" s="114"/>
      <c r="J309" s="114"/>
      <c r="L309" s="114"/>
      <c r="P309" s="383"/>
      <c r="Q309" s="383"/>
    </row>
    <row r="310" spans="4:17" ht="15.75" customHeight="1" x14ac:dyDescent="0.2">
      <c r="D310" s="114"/>
      <c r="F310" s="114"/>
      <c r="J310" s="114"/>
      <c r="L310" s="114"/>
      <c r="P310" s="383"/>
      <c r="Q310" s="383"/>
    </row>
    <row r="311" spans="4:17" ht="15.75" customHeight="1" x14ac:dyDescent="0.2">
      <c r="D311" s="114"/>
      <c r="F311" s="114"/>
      <c r="J311" s="114"/>
      <c r="L311" s="114"/>
      <c r="P311" s="383"/>
      <c r="Q311" s="383"/>
    </row>
    <row r="312" spans="4:17" ht="15.75" customHeight="1" x14ac:dyDescent="0.2">
      <c r="D312" s="114"/>
      <c r="F312" s="114"/>
      <c r="J312" s="114"/>
      <c r="L312" s="114"/>
      <c r="P312" s="383"/>
      <c r="Q312" s="383"/>
    </row>
    <row r="313" spans="4:17" ht="15.75" customHeight="1" x14ac:dyDescent="0.2">
      <c r="D313" s="114"/>
      <c r="F313" s="114"/>
      <c r="J313" s="114"/>
      <c r="L313" s="114"/>
      <c r="P313" s="383"/>
      <c r="Q313" s="383"/>
    </row>
    <row r="314" spans="4:17" ht="15.75" customHeight="1" x14ac:dyDescent="0.2">
      <c r="D314" s="114"/>
      <c r="F314" s="114"/>
      <c r="J314" s="114"/>
      <c r="L314" s="114"/>
      <c r="P314" s="383"/>
      <c r="Q314" s="383"/>
    </row>
    <row r="315" spans="4:17" ht="15.75" customHeight="1" x14ac:dyDescent="0.2">
      <c r="D315" s="114"/>
      <c r="F315" s="114"/>
      <c r="J315" s="114"/>
      <c r="L315" s="114"/>
      <c r="P315" s="383"/>
      <c r="Q315" s="383"/>
    </row>
    <row r="316" spans="4:17" ht="15.75" customHeight="1" x14ac:dyDescent="0.2">
      <c r="D316" s="114"/>
      <c r="F316" s="114"/>
      <c r="J316" s="114"/>
      <c r="L316" s="114"/>
      <c r="P316" s="383"/>
      <c r="Q316" s="383"/>
    </row>
    <row r="317" spans="4:17" ht="15.75" customHeight="1" x14ac:dyDescent="0.2">
      <c r="D317" s="114"/>
      <c r="F317" s="114"/>
      <c r="J317" s="114"/>
      <c r="L317" s="114"/>
      <c r="P317" s="383"/>
      <c r="Q317" s="383"/>
    </row>
    <row r="318" spans="4:17" ht="15.75" customHeight="1" x14ac:dyDescent="0.2">
      <c r="D318" s="114"/>
      <c r="F318" s="114"/>
      <c r="J318" s="114"/>
      <c r="L318" s="114"/>
      <c r="P318" s="383"/>
      <c r="Q318" s="383"/>
    </row>
    <row r="319" spans="4:17" ht="15.75" customHeight="1" x14ac:dyDescent="0.2">
      <c r="D319" s="114"/>
      <c r="F319" s="114"/>
      <c r="J319" s="114"/>
      <c r="L319" s="114"/>
      <c r="P319" s="383"/>
      <c r="Q319" s="383"/>
    </row>
    <row r="320" spans="4:17" ht="15.75" customHeight="1" x14ac:dyDescent="0.2">
      <c r="D320" s="114"/>
      <c r="F320" s="114"/>
      <c r="J320" s="114"/>
      <c r="L320" s="114"/>
      <c r="P320" s="383"/>
      <c r="Q320" s="383"/>
    </row>
    <row r="321" spans="4:17" ht="15.75" customHeight="1" x14ac:dyDescent="0.2">
      <c r="D321" s="114"/>
      <c r="F321" s="114"/>
      <c r="J321" s="114"/>
      <c r="L321" s="114"/>
      <c r="P321" s="383"/>
      <c r="Q321" s="383"/>
    </row>
    <row r="322" spans="4:17" ht="15.75" customHeight="1" x14ac:dyDescent="0.2">
      <c r="D322" s="114"/>
      <c r="F322" s="114"/>
      <c r="J322" s="114"/>
      <c r="L322" s="114"/>
      <c r="P322" s="383"/>
      <c r="Q322" s="383"/>
    </row>
    <row r="323" spans="4:17" ht="15.75" customHeight="1" x14ac:dyDescent="0.2">
      <c r="D323" s="114"/>
      <c r="F323" s="114"/>
      <c r="J323" s="114"/>
      <c r="L323" s="114"/>
      <c r="P323" s="383"/>
      <c r="Q323" s="383"/>
    </row>
    <row r="324" spans="4:17" ht="15.75" customHeight="1" x14ac:dyDescent="0.2">
      <c r="D324" s="114"/>
      <c r="F324" s="114"/>
      <c r="J324" s="114"/>
      <c r="L324" s="114"/>
      <c r="P324" s="383"/>
      <c r="Q324" s="383"/>
    </row>
    <row r="325" spans="4:17" ht="15.75" customHeight="1" x14ac:dyDescent="0.2">
      <c r="D325" s="114"/>
      <c r="F325" s="114"/>
      <c r="J325" s="114"/>
      <c r="L325" s="114"/>
      <c r="P325" s="383"/>
      <c r="Q325" s="383"/>
    </row>
    <row r="326" spans="4:17" ht="15.75" customHeight="1" x14ac:dyDescent="0.2">
      <c r="D326" s="114"/>
      <c r="F326" s="114"/>
      <c r="J326" s="114"/>
      <c r="L326" s="114"/>
      <c r="P326" s="383"/>
      <c r="Q326" s="383"/>
    </row>
    <row r="327" spans="4:17" ht="15.75" customHeight="1" x14ac:dyDescent="0.2">
      <c r="D327" s="114"/>
      <c r="F327" s="114"/>
      <c r="J327" s="114"/>
      <c r="L327" s="114"/>
      <c r="P327" s="383"/>
      <c r="Q327" s="383"/>
    </row>
    <row r="328" spans="4:17" ht="15.75" customHeight="1" x14ac:dyDescent="0.2"/>
    <row r="329" spans="4:17" ht="15.75" customHeight="1" x14ac:dyDescent="0.2"/>
    <row r="330" spans="4:17" ht="15.75" customHeight="1" x14ac:dyDescent="0.2"/>
    <row r="331" spans="4:17" ht="15.75" customHeight="1" x14ac:dyDescent="0.2"/>
    <row r="332" spans="4:17" ht="15.75" customHeight="1" x14ac:dyDescent="0.2"/>
    <row r="333" spans="4:17" ht="15.75" customHeight="1" x14ac:dyDescent="0.2"/>
    <row r="334" spans="4:17" ht="15.75" customHeight="1" x14ac:dyDescent="0.2"/>
    <row r="335" spans="4:17" ht="15.75" customHeight="1" x14ac:dyDescent="0.2"/>
    <row r="336" spans="4:17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4:B5"/>
    <mergeCell ref="C4:C5"/>
    <mergeCell ref="D4:I4"/>
    <mergeCell ref="J4:O4"/>
  </mergeCells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G987"/>
  <sheetViews>
    <sheetView workbookViewId="0">
      <pane xSplit="3" ySplit="15" topLeftCell="D16" activePane="bottomRight" state="frozen"/>
      <selection pane="topRight" activeCell="D1" sqref="D1"/>
      <selection pane="bottomLeft" activeCell="A16" sqref="A16"/>
      <selection pane="bottomRight" activeCell="J29" sqref="J29"/>
    </sheetView>
  </sheetViews>
  <sheetFormatPr defaultColWidth="12.5703125" defaultRowHeight="15" customHeight="1" x14ac:dyDescent="0.2"/>
  <cols>
    <col min="1" max="1" width="5.5703125" customWidth="1"/>
    <col min="2" max="2" width="9.7109375" customWidth="1"/>
    <col min="3" max="3" width="53.7109375" customWidth="1"/>
    <col min="4" max="4" width="14.28515625" customWidth="1"/>
    <col min="5" max="5" width="12.5703125" hidden="1" customWidth="1"/>
    <col min="6" max="6" width="12.42578125" hidden="1" customWidth="1"/>
    <col min="7" max="9" width="12.5703125" hidden="1" customWidth="1"/>
    <col min="10" max="10" width="14.28515625" customWidth="1"/>
    <col min="11" max="11" width="12.5703125" hidden="1" customWidth="1"/>
    <col min="12" max="12" width="12.42578125" hidden="1" customWidth="1"/>
    <col min="13" max="13" width="12.5703125" hidden="1" customWidth="1"/>
    <col min="14" max="33" width="12.5703125" customWidth="1"/>
  </cols>
  <sheetData>
    <row r="1" spans="1:33" ht="15.75" customHeight="1" x14ac:dyDescent="0.25">
      <c r="A1" s="244"/>
      <c r="B1" s="245" t="s">
        <v>0</v>
      </c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</row>
    <row r="2" spans="1:33" ht="15.75" customHeight="1" x14ac:dyDescent="0.25">
      <c r="A2" s="246"/>
      <c r="B2" s="304" t="s">
        <v>293</v>
      </c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</row>
    <row r="3" spans="1:33" ht="15.75" customHeight="1" x14ac:dyDescent="0.25">
      <c r="A3" s="244"/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244"/>
    </row>
    <row r="4" spans="1:33" ht="15.75" customHeight="1" x14ac:dyDescent="0.25">
      <c r="A4" s="244"/>
      <c r="B4" s="960" t="s">
        <v>167</v>
      </c>
      <c r="C4" s="961" t="s">
        <v>46</v>
      </c>
      <c r="D4" s="948" t="s">
        <v>168</v>
      </c>
      <c r="E4" s="933"/>
      <c r="F4" s="933"/>
      <c r="G4" s="933"/>
      <c r="H4" s="933"/>
      <c r="I4" s="934"/>
      <c r="J4" s="962" t="s">
        <v>169</v>
      </c>
      <c r="K4" s="930"/>
      <c r="L4" s="930"/>
      <c r="M4" s="931"/>
      <c r="N4" s="117"/>
      <c r="O4" s="117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5"/>
      <c r="AD4" s="305"/>
      <c r="AE4" s="305"/>
      <c r="AF4" s="305"/>
      <c r="AG4" s="305"/>
    </row>
    <row r="5" spans="1:33" ht="25.5" customHeight="1" x14ac:dyDescent="0.2">
      <c r="A5" s="460"/>
      <c r="B5" s="957"/>
      <c r="C5" s="959"/>
      <c r="D5" s="461" t="s">
        <v>170</v>
      </c>
      <c r="E5" s="462" t="s">
        <v>18</v>
      </c>
      <c r="F5" s="462" t="s">
        <v>171</v>
      </c>
      <c r="G5" s="462" t="s">
        <v>18</v>
      </c>
      <c r="H5" s="462" t="s">
        <v>172</v>
      </c>
      <c r="I5" s="463" t="s">
        <v>260</v>
      </c>
      <c r="J5" s="464" t="s">
        <v>170</v>
      </c>
      <c r="K5" s="464" t="s">
        <v>18</v>
      </c>
      <c r="L5" s="464" t="s">
        <v>171</v>
      </c>
      <c r="M5" s="464" t="s">
        <v>18</v>
      </c>
      <c r="N5" s="465"/>
      <c r="O5" s="465"/>
      <c r="P5" s="465"/>
      <c r="Q5" s="465"/>
      <c r="R5" s="465"/>
      <c r="S5" s="465"/>
      <c r="T5" s="465"/>
      <c r="U5" s="465"/>
      <c r="V5" s="465"/>
      <c r="W5" s="465"/>
      <c r="X5" s="465"/>
      <c r="Y5" s="465"/>
      <c r="Z5" s="465"/>
      <c r="AA5" s="465"/>
      <c r="AB5" s="465"/>
      <c r="AC5" s="465"/>
      <c r="AD5" s="465"/>
      <c r="AE5" s="465"/>
      <c r="AF5" s="465"/>
      <c r="AG5" s="465"/>
    </row>
    <row r="6" spans="1:33" ht="15.75" hidden="1" customHeight="1" x14ac:dyDescent="0.25">
      <c r="A6" s="244"/>
      <c r="B6" s="324"/>
      <c r="C6" s="393" t="s">
        <v>78</v>
      </c>
      <c r="D6" s="466">
        <v>5434</v>
      </c>
      <c r="E6" s="372"/>
      <c r="F6" s="412"/>
      <c r="G6" s="372"/>
      <c r="H6" s="412"/>
      <c r="I6" s="373"/>
      <c r="J6" s="466">
        <v>5434</v>
      </c>
      <c r="K6" s="372"/>
      <c r="L6" s="412"/>
      <c r="M6" s="373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44"/>
      <c r="AE6" s="244"/>
      <c r="AF6" s="244"/>
      <c r="AG6" s="244"/>
    </row>
    <row r="7" spans="1:33" ht="15.75" hidden="1" customHeight="1" x14ac:dyDescent="0.25">
      <c r="A7" s="244"/>
      <c r="B7" s="270"/>
      <c r="C7" s="339" t="s">
        <v>85</v>
      </c>
      <c r="D7" s="467">
        <v>1706</v>
      </c>
      <c r="E7" s="313"/>
      <c r="F7" s="415"/>
      <c r="G7" s="313"/>
      <c r="H7" s="415"/>
      <c r="I7" s="271"/>
      <c r="J7" s="467">
        <v>1706</v>
      </c>
      <c r="K7" s="313"/>
      <c r="L7" s="415"/>
      <c r="M7" s="271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</row>
    <row r="8" spans="1:33" ht="15.75" hidden="1" customHeight="1" x14ac:dyDescent="0.25">
      <c r="A8" s="244"/>
      <c r="B8" s="270"/>
      <c r="C8" s="339" t="s">
        <v>92</v>
      </c>
      <c r="D8" s="467">
        <f>D24+D25+D28+D16</f>
        <v>8713619.25</v>
      </c>
      <c r="E8" s="313"/>
      <c r="F8" s="415"/>
      <c r="G8" s="313"/>
      <c r="H8" s="415"/>
      <c r="I8" s="271"/>
      <c r="J8" s="467">
        <f>J24+J25+J28+J16</f>
        <v>8429743</v>
      </c>
      <c r="K8" s="313"/>
      <c r="L8" s="415"/>
      <c r="M8" s="271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4"/>
      <c r="AE8" s="244"/>
      <c r="AF8" s="244"/>
      <c r="AG8" s="244"/>
    </row>
    <row r="9" spans="1:33" ht="15.75" hidden="1" customHeight="1" x14ac:dyDescent="0.25">
      <c r="A9" s="244"/>
      <c r="B9" s="270"/>
      <c r="C9" s="339" t="s">
        <v>99</v>
      </c>
      <c r="D9" s="467">
        <f>D17+D21+D19+D20</f>
        <v>4136581.24</v>
      </c>
      <c r="E9" s="313"/>
      <c r="F9" s="415"/>
      <c r="G9" s="313"/>
      <c r="H9" s="415"/>
      <c r="I9" s="271"/>
      <c r="J9" s="467">
        <f>J17+J21+J19+J20</f>
        <v>3986558</v>
      </c>
      <c r="K9" s="313"/>
      <c r="L9" s="415"/>
      <c r="M9" s="271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</row>
    <row r="10" spans="1:33" ht="15.75" hidden="1" customHeight="1" x14ac:dyDescent="0.25">
      <c r="A10" s="244"/>
      <c r="B10" s="270"/>
      <c r="C10" s="339" t="s">
        <v>106</v>
      </c>
      <c r="D10" s="467">
        <f>SUM(D8:D9)-D29</f>
        <v>0</v>
      </c>
      <c r="E10" s="313"/>
      <c r="F10" s="415"/>
      <c r="G10" s="313"/>
      <c r="H10" s="415"/>
      <c r="I10" s="271"/>
      <c r="J10" s="467">
        <f>SUM(J8:J9)-J29</f>
        <v>-16575</v>
      </c>
      <c r="K10" s="313"/>
      <c r="L10" s="415"/>
      <c r="M10" s="271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</row>
    <row r="11" spans="1:33" ht="15.75" hidden="1" customHeight="1" x14ac:dyDescent="0.25">
      <c r="A11" s="244"/>
      <c r="B11" s="270"/>
      <c r="C11" s="339" t="s">
        <v>113</v>
      </c>
      <c r="D11" s="467">
        <f t="shared" ref="D11:D12" si="0">D8/D6</f>
        <v>1603.5368513065882</v>
      </c>
      <c r="E11" s="313"/>
      <c r="F11" s="415"/>
      <c r="G11" s="313"/>
      <c r="H11" s="415"/>
      <c r="I11" s="271"/>
      <c r="J11" s="467">
        <f t="shared" ref="J11:J12" si="1">J8/J6</f>
        <v>1551.2960986382038</v>
      </c>
      <c r="K11" s="313"/>
      <c r="L11" s="415"/>
      <c r="M11" s="271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</row>
    <row r="12" spans="1:33" ht="15.75" hidden="1" customHeight="1" x14ac:dyDescent="0.25">
      <c r="A12" s="244"/>
      <c r="B12" s="270"/>
      <c r="C12" s="339" t="s">
        <v>120</v>
      </c>
      <c r="D12" s="467">
        <f t="shared" si="0"/>
        <v>2424.7252286049238</v>
      </c>
      <c r="E12" s="313"/>
      <c r="F12" s="415"/>
      <c r="G12" s="313"/>
      <c r="H12" s="415"/>
      <c r="I12" s="271"/>
      <c r="J12" s="467">
        <f t="shared" si="1"/>
        <v>2336.786635404455</v>
      </c>
      <c r="K12" s="313"/>
      <c r="L12" s="415"/>
      <c r="M12" s="271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</row>
    <row r="13" spans="1:33" ht="15.75" hidden="1" customHeight="1" x14ac:dyDescent="0.25">
      <c r="A13" s="244"/>
      <c r="B13" s="270"/>
      <c r="C13" s="339"/>
      <c r="D13" s="467"/>
      <c r="E13" s="313"/>
      <c r="F13" s="415"/>
      <c r="G13" s="313"/>
      <c r="H13" s="415"/>
      <c r="I13" s="271"/>
      <c r="J13" s="467"/>
      <c r="K13" s="313"/>
      <c r="L13" s="415"/>
      <c r="M13" s="271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</row>
    <row r="14" spans="1:33" ht="15.75" hidden="1" customHeight="1" x14ac:dyDescent="0.25">
      <c r="A14" s="244"/>
      <c r="B14" s="270"/>
      <c r="C14" s="404"/>
      <c r="D14" s="468"/>
      <c r="E14" s="316"/>
      <c r="F14" s="469"/>
      <c r="G14" s="316"/>
      <c r="H14" s="469"/>
      <c r="I14" s="318"/>
      <c r="J14" s="468"/>
      <c r="K14" s="313"/>
      <c r="L14" s="415"/>
      <c r="M14" s="271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</row>
    <row r="15" spans="1:33" ht="15.75" customHeight="1" x14ac:dyDescent="0.25">
      <c r="A15" s="244"/>
      <c r="B15" s="470" t="s">
        <v>173</v>
      </c>
      <c r="C15" s="471" t="s">
        <v>294</v>
      </c>
      <c r="D15" s="472">
        <f>SUM(D16:D21)</f>
        <v>10177814.49</v>
      </c>
      <c r="E15" s="473"/>
      <c r="F15" s="474">
        <f>SUM(F16:F21)</f>
        <v>0</v>
      </c>
      <c r="G15" s="473"/>
      <c r="H15" s="475"/>
      <c r="I15" s="476"/>
      <c r="J15" s="477">
        <f>SUM(J16:J21)</f>
        <v>10463877</v>
      </c>
      <c r="K15" s="478"/>
      <c r="L15" s="479">
        <f>SUM(L16:L21)</f>
        <v>0</v>
      </c>
      <c r="M15" s="480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</row>
    <row r="16" spans="1:33" ht="15.75" customHeight="1" x14ac:dyDescent="0.25">
      <c r="A16" s="244"/>
      <c r="B16" s="270" t="s">
        <v>23</v>
      </c>
      <c r="C16" s="393" t="s">
        <v>175</v>
      </c>
      <c r="D16" s="466">
        <v>6041233.25</v>
      </c>
      <c r="E16" s="326">
        <f t="shared" ref="E16:E21" si="2">D16/$D$15</f>
        <v>0.59356881145119</v>
      </c>
      <c r="F16" s="412"/>
      <c r="G16" s="326" t="e">
        <f t="shared" ref="G16:G17" si="3">F16/F$15</f>
        <v>#DIV/0!</v>
      </c>
      <c r="H16" s="412">
        <f>D16-F16</f>
        <v>6041233.25</v>
      </c>
      <c r="I16" s="330" t="e">
        <f>H16/F16</f>
        <v>#DIV/0!</v>
      </c>
      <c r="J16" s="33">
        <v>6477319</v>
      </c>
      <c r="K16" s="335">
        <f t="shared" ref="K16:K21" si="4">J16/$D$15</f>
        <v>0.63641551006497077</v>
      </c>
      <c r="L16" s="415"/>
      <c r="M16" s="336" t="e">
        <f t="shared" ref="M16:M17" si="5">L16/L$15</f>
        <v>#DIV/0!</v>
      </c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  <c r="AG16" s="244"/>
    </row>
    <row r="17" spans="1:33" ht="15.75" customHeight="1" x14ac:dyDescent="0.25">
      <c r="A17" s="244"/>
      <c r="B17" s="331"/>
      <c r="C17" s="339" t="s">
        <v>176</v>
      </c>
      <c r="D17" s="468">
        <v>3300685</v>
      </c>
      <c r="E17" s="337">
        <f t="shared" si="2"/>
        <v>0.32430194156545289</v>
      </c>
      <c r="F17" s="469"/>
      <c r="G17" s="337" t="e">
        <f t="shared" si="3"/>
        <v>#DIV/0!</v>
      </c>
      <c r="H17" s="469"/>
      <c r="I17" s="318"/>
      <c r="J17" s="481">
        <f>2889573+575914</f>
        <v>3465487</v>
      </c>
      <c r="K17" s="335">
        <f t="shared" si="4"/>
        <v>0.34049421940289265</v>
      </c>
      <c r="L17" s="415"/>
      <c r="M17" s="336" t="e">
        <f t="shared" si="5"/>
        <v>#DIV/0!</v>
      </c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</row>
    <row r="18" spans="1:33" ht="15.75" customHeight="1" x14ac:dyDescent="0.25">
      <c r="B18" s="331"/>
      <c r="C18" s="339" t="s">
        <v>261</v>
      </c>
      <c r="D18" s="482">
        <v>0</v>
      </c>
      <c r="E18" s="332">
        <f t="shared" si="2"/>
        <v>0</v>
      </c>
      <c r="F18" s="296"/>
      <c r="G18" s="332" t="e">
        <f>F18/$F$15</f>
        <v>#DIV/0!</v>
      </c>
      <c r="H18" s="296">
        <f t="shared" ref="H18:H21" si="6">D18-F18</f>
        <v>0</v>
      </c>
      <c r="I18" s="332"/>
      <c r="J18" s="265">
        <v>0</v>
      </c>
      <c r="K18" s="335">
        <f t="shared" si="4"/>
        <v>0</v>
      </c>
      <c r="L18" s="296"/>
      <c r="M18" s="336" t="e">
        <f>L18/$F$15</f>
        <v>#DIV/0!</v>
      </c>
      <c r="N18" s="383"/>
      <c r="O18" s="383"/>
    </row>
    <row r="19" spans="1:33" ht="15.75" customHeight="1" x14ac:dyDescent="0.25">
      <c r="A19" s="244"/>
      <c r="B19" s="331"/>
      <c r="C19" s="339" t="s">
        <v>177</v>
      </c>
      <c r="D19" s="483">
        <f>320333+330548.14</f>
        <v>650881.14</v>
      </c>
      <c r="E19" s="415">
        <f t="shared" si="2"/>
        <v>6.3950973034486894E-2</v>
      </c>
      <c r="F19" s="415"/>
      <c r="G19" s="415" t="e">
        <f t="shared" ref="G19:G21" si="7">F19/F$15</f>
        <v>#DIV/0!</v>
      </c>
      <c r="H19" s="415">
        <f t="shared" si="6"/>
        <v>650881.14</v>
      </c>
      <c r="I19" s="415" t="e">
        <f>H19/F19</f>
        <v>#DIV/0!</v>
      </c>
      <c r="J19" s="467">
        <v>521071</v>
      </c>
      <c r="K19" s="335">
        <f t="shared" si="4"/>
        <v>5.1196747642823268E-2</v>
      </c>
      <c r="L19" s="415"/>
      <c r="M19" s="336" t="e">
        <f t="shared" ref="M19:M21" si="8">L19/L$15</f>
        <v>#DIV/0!</v>
      </c>
      <c r="N19" s="244"/>
      <c r="O19" s="244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</row>
    <row r="20" spans="1:33" ht="15.75" customHeight="1" x14ac:dyDescent="0.25">
      <c r="A20" s="244"/>
      <c r="B20" s="331"/>
      <c r="C20" s="339" t="s">
        <v>178</v>
      </c>
      <c r="D20" s="466">
        <f>24674.54+333.75</f>
        <v>25008.29</v>
      </c>
      <c r="E20" s="326">
        <f t="shared" si="2"/>
        <v>2.4571375342487697E-3</v>
      </c>
      <c r="F20" s="412"/>
      <c r="G20" s="326" t="e">
        <f t="shared" si="7"/>
        <v>#DIV/0!</v>
      </c>
      <c r="H20" s="412">
        <f t="shared" si="6"/>
        <v>25008.29</v>
      </c>
      <c r="I20" s="330"/>
      <c r="J20" s="466"/>
      <c r="K20" s="332">
        <f t="shared" si="4"/>
        <v>0</v>
      </c>
      <c r="L20" s="415"/>
      <c r="M20" s="336" t="e">
        <f t="shared" si="8"/>
        <v>#DIV/0!</v>
      </c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</row>
    <row r="21" spans="1:33" ht="15.75" customHeight="1" x14ac:dyDescent="0.25">
      <c r="A21" s="244"/>
      <c r="B21" s="331"/>
      <c r="C21" s="339" t="s">
        <v>179</v>
      </c>
      <c r="D21" s="467">
        <f>91271.5+50989.25+15379.5+2366.56</f>
        <v>160006.81</v>
      </c>
      <c r="E21" s="332">
        <f t="shared" si="2"/>
        <v>1.5721136414621365E-2</v>
      </c>
      <c r="F21" s="415"/>
      <c r="G21" s="332" t="e">
        <f t="shared" si="7"/>
        <v>#DIV/0!</v>
      </c>
      <c r="H21" s="415">
        <f t="shared" si="6"/>
        <v>160006.81</v>
      </c>
      <c r="I21" s="336"/>
      <c r="J21" s="467"/>
      <c r="K21" s="332">
        <f t="shared" si="4"/>
        <v>0</v>
      </c>
      <c r="L21" s="415"/>
      <c r="M21" s="336" t="e">
        <f t="shared" si="8"/>
        <v>#DIV/0!</v>
      </c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</row>
    <row r="22" spans="1:33" ht="15.75" customHeight="1" x14ac:dyDescent="0.25">
      <c r="A22" s="244"/>
      <c r="B22" s="331"/>
      <c r="C22" s="339" t="s">
        <v>263</v>
      </c>
      <c r="D22" s="467"/>
      <c r="E22" s="332"/>
      <c r="F22" s="415"/>
      <c r="G22" s="332"/>
      <c r="H22" s="415"/>
      <c r="I22" s="343" t="str">
        <f>IFERROR(H22/F22,"")</f>
        <v/>
      </c>
      <c r="J22" s="467">
        <v>16575</v>
      </c>
      <c r="K22" s="332"/>
      <c r="L22" s="415"/>
      <c r="M22" s="336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</row>
    <row r="23" spans="1:33" ht="15.75" customHeight="1" x14ac:dyDescent="0.25">
      <c r="A23" s="244"/>
      <c r="B23" s="270"/>
      <c r="C23" s="339"/>
      <c r="D23" s="467"/>
      <c r="E23" s="313"/>
      <c r="F23" s="415"/>
      <c r="G23" s="313"/>
      <c r="H23" s="415"/>
      <c r="I23" s="271"/>
      <c r="J23" s="468"/>
      <c r="K23" s="313"/>
      <c r="L23" s="415"/>
      <c r="M23" s="271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</row>
    <row r="24" spans="1:33" ht="15.75" customHeight="1" x14ac:dyDescent="0.25">
      <c r="A24" s="244"/>
      <c r="B24" s="270" t="s">
        <v>21</v>
      </c>
      <c r="C24" s="339" t="s">
        <v>21</v>
      </c>
      <c r="D24" s="467">
        <v>1181100</v>
      </c>
      <c r="E24" s="332">
        <f t="shared" ref="E24:E26" si="9">D24/$D$29</f>
        <v>9.191296283035659E-2</v>
      </c>
      <c r="F24" s="415"/>
      <c r="G24" s="332" t="e">
        <f t="shared" ref="G24:G26" si="10">F24/F$29</f>
        <v>#DIV/0!</v>
      </c>
      <c r="H24" s="415">
        <f t="shared" ref="H24:H26" si="11">D24-F24</f>
        <v>1181100</v>
      </c>
      <c r="I24" s="336" t="e">
        <f t="shared" ref="I24:I26" si="12">H24/F24</f>
        <v>#DIV/0!</v>
      </c>
      <c r="J24" s="416">
        <v>1217044</v>
      </c>
      <c r="K24" s="335">
        <f t="shared" ref="K24:K26" si="13">J24/$D$29</f>
        <v>9.471011763179113E-2</v>
      </c>
      <c r="L24" s="415"/>
      <c r="M24" s="336" t="e">
        <f t="shared" ref="M24:M26" si="14">L24/L$29</f>
        <v>#DIV/0!</v>
      </c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</row>
    <row r="25" spans="1:33" ht="15.75" customHeight="1" x14ac:dyDescent="0.25">
      <c r="A25" s="244"/>
      <c r="B25" s="270" t="s">
        <v>22</v>
      </c>
      <c r="C25" s="339" t="s">
        <v>22</v>
      </c>
      <c r="D25" s="467">
        <v>769660</v>
      </c>
      <c r="E25" s="332">
        <f t="shared" si="9"/>
        <v>5.9894785345874398E-2</v>
      </c>
      <c r="F25" s="415"/>
      <c r="G25" s="332" t="e">
        <f t="shared" si="10"/>
        <v>#DIV/0!</v>
      </c>
      <c r="H25" s="415">
        <f t="shared" si="11"/>
        <v>769660</v>
      </c>
      <c r="I25" s="336" t="e">
        <f t="shared" si="12"/>
        <v>#DIV/0!</v>
      </c>
      <c r="J25" s="416">
        <v>735380</v>
      </c>
      <c r="K25" s="335">
        <f t="shared" si="13"/>
        <v>5.7227122687484235E-2</v>
      </c>
      <c r="L25" s="415"/>
      <c r="M25" s="336" t="e">
        <f t="shared" si="14"/>
        <v>#DIV/0!</v>
      </c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</row>
    <row r="26" spans="1:33" ht="15.75" customHeight="1" x14ac:dyDescent="0.25">
      <c r="A26" s="244"/>
      <c r="B26" s="270" t="s">
        <v>23</v>
      </c>
      <c r="C26" s="339" t="s">
        <v>180</v>
      </c>
      <c r="D26" s="268">
        <f>SUM(D16:D22)</f>
        <v>10177814.49</v>
      </c>
      <c r="E26" s="332">
        <f t="shared" si="9"/>
        <v>0.792035462631136</v>
      </c>
      <c r="F26" s="420"/>
      <c r="G26" s="332" t="e">
        <f t="shared" si="10"/>
        <v>#DIV/0!</v>
      </c>
      <c r="H26" s="415">
        <f t="shared" si="11"/>
        <v>10177814.49</v>
      </c>
      <c r="I26" s="336" t="e">
        <f t="shared" si="12"/>
        <v>#DIV/0!</v>
      </c>
      <c r="J26" s="484">
        <f>SUM(J16:J22)</f>
        <v>10480452</v>
      </c>
      <c r="K26" s="332">
        <f t="shared" si="13"/>
        <v>0.81558665237603623</v>
      </c>
      <c r="L26" s="420"/>
      <c r="M26" s="336" t="e">
        <f t="shared" si="14"/>
        <v>#DIV/0!</v>
      </c>
      <c r="N26" s="244"/>
      <c r="O26" s="244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  <c r="AC26" s="244"/>
      <c r="AD26" s="244"/>
      <c r="AE26" s="244"/>
      <c r="AF26" s="244"/>
      <c r="AG26" s="244"/>
    </row>
    <row r="27" spans="1:33" ht="15.75" customHeight="1" x14ac:dyDescent="0.25">
      <c r="A27" s="244"/>
      <c r="B27" s="331"/>
      <c r="C27" s="339"/>
      <c r="D27" s="467"/>
      <c r="E27" s="313"/>
      <c r="F27" s="313"/>
      <c r="G27" s="313"/>
      <c r="H27" s="313"/>
      <c r="I27" s="271"/>
      <c r="J27" s="467"/>
      <c r="K27" s="313"/>
      <c r="L27" s="313"/>
      <c r="M27" s="271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</row>
    <row r="28" spans="1:33" ht="15.75" customHeight="1" x14ac:dyDescent="0.25">
      <c r="A28" s="244"/>
      <c r="B28" s="346"/>
      <c r="C28" s="404" t="s">
        <v>181</v>
      </c>
      <c r="D28" s="468">
        <v>721626</v>
      </c>
      <c r="E28" s="337">
        <f>D28/$D$29</f>
        <v>5.6156789192633054E-2</v>
      </c>
      <c r="F28" s="469"/>
      <c r="G28" s="337">
        <v>7.1599999999999997E-2</v>
      </c>
      <c r="H28" s="316"/>
      <c r="I28" s="318"/>
      <c r="J28" s="468"/>
      <c r="K28" s="337">
        <f>J28/$D$29</f>
        <v>0</v>
      </c>
      <c r="L28" s="469"/>
      <c r="M28" s="338">
        <v>7.1599999999999997E-2</v>
      </c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244"/>
      <c r="AE28" s="244"/>
      <c r="AF28" s="244"/>
      <c r="AG28" s="244"/>
    </row>
    <row r="29" spans="1:33" ht="15.75" customHeight="1" x14ac:dyDescent="0.25">
      <c r="A29" s="244"/>
      <c r="B29" s="347"/>
      <c r="C29" s="410" t="s">
        <v>182</v>
      </c>
      <c r="D29" s="485">
        <f>D24+D25+D26+D28</f>
        <v>12850200.49</v>
      </c>
      <c r="E29" s="348"/>
      <c r="F29" s="411">
        <f>F24+F25+F26+F28</f>
        <v>0</v>
      </c>
      <c r="G29" s="348"/>
      <c r="H29" s="411">
        <f>H24+H25+H26+H28</f>
        <v>12128574.49</v>
      </c>
      <c r="I29" s="349"/>
      <c r="J29" s="485">
        <f>J24+J25+J26+J28</f>
        <v>12432876</v>
      </c>
      <c r="K29" s="348"/>
      <c r="L29" s="411">
        <f>L24+L25+L26+L28</f>
        <v>0</v>
      </c>
      <c r="M29" s="349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  <c r="AF29" s="246"/>
      <c r="AG29" s="246"/>
    </row>
    <row r="30" spans="1:33" ht="15.75" hidden="1" customHeight="1" x14ac:dyDescent="0.25">
      <c r="A30" s="244"/>
      <c r="B30" s="324" t="s">
        <v>183</v>
      </c>
      <c r="C30" s="393"/>
      <c r="D30" s="466"/>
      <c r="E30" s="372"/>
      <c r="F30" s="372"/>
      <c r="G30" s="372"/>
      <c r="H30" s="372"/>
      <c r="I30" s="373"/>
      <c r="J30" s="466"/>
      <c r="K30" s="372"/>
      <c r="L30" s="372"/>
      <c r="M30" s="373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  <c r="AC30" s="244"/>
      <c r="AD30" s="244"/>
      <c r="AE30" s="244"/>
      <c r="AF30" s="244"/>
      <c r="AG30" s="244"/>
    </row>
    <row r="31" spans="1:33" ht="15.75" hidden="1" customHeight="1" x14ac:dyDescent="0.25">
      <c r="A31" s="244"/>
      <c r="B31" s="331"/>
      <c r="C31" s="339"/>
      <c r="D31" s="467"/>
      <c r="E31" s="332"/>
      <c r="F31" s="415"/>
      <c r="G31" s="415"/>
      <c r="H31" s="415"/>
      <c r="I31" s="486"/>
      <c r="J31" s="467"/>
      <c r="K31" s="332"/>
      <c r="L31" s="415"/>
      <c r="M31" s="486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Y31" s="244"/>
      <c r="Z31" s="244"/>
      <c r="AA31" s="244"/>
      <c r="AB31" s="244"/>
      <c r="AC31" s="244"/>
      <c r="AD31" s="244"/>
      <c r="AE31" s="244"/>
      <c r="AF31" s="244"/>
      <c r="AG31" s="244"/>
    </row>
    <row r="32" spans="1:33" ht="15.75" hidden="1" customHeight="1" x14ac:dyDescent="0.25">
      <c r="A32" s="244"/>
      <c r="B32" s="331"/>
      <c r="C32" s="339"/>
      <c r="D32" s="467"/>
      <c r="E32" s="332"/>
      <c r="F32" s="415"/>
      <c r="G32" s="415"/>
      <c r="H32" s="415"/>
      <c r="I32" s="486"/>
      <c r="J32" s="467"/>
      <c r="K32" s="332"/>
      <c r="L32" s="415"/>
      <c r="M32" s="486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244"/>
      <c r="AF32" s="244"/>
      <c r="AG32" s="244"/>
    </row>
    <row r="33" spans="1:33" ht="15.75" hidden="1" customHeight="1" x14ac:dyDescent="0.25">
      <c r="A33" s="244"/>
      <c r="B33" s="331"/>
      <c r="C33" s="339"/>
      <c r="D33" s="467"/>
      <c r="E33" s="332"/>
      <c r="F33" s="415"/>
      <c r="G33" s="415"/>
      <c r="H33" s="415"/>
      <c r="I33" s="486"/>
      <c r="J33" s="467"/>
      <c r="K33" s="332"/>
      <c r="L33" s="415"/>
      <c r="M33" s="486"/>
      <c r="N33" s="244"/>
      <c r="O33" s="244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  <c r="AC33" s="244"/>
      <c r="AD33" s="244"/>
      <c r="AE33" s="244"/>
      <c r="AF33" s="244"/>
      <c r="AG33" s="244"/>
    </row>
    <row r="34" spans="1:33" ht="15.75" hidden="1" customHeight="1" x14ac:dyDescent="0.25">
      <c r="A34" s="244"/>
      <c r="B34" s="331"/>
      <c r="C34" s="339"/>
      <c r="D34" s="467"/>
      <c r="E34" s="332"/>
      <c r="F34" s="415"/>
      <c r="G34" s="415"/>
      <c r="H34" s="415"/>
      <c r="I34" s="486"/>
      <c r="J34" s="467"/>
      <c r="K34" s="332"/>
      <c r="L34" s="415"/>
      <c r="M34" s="486"/>
      <c r="N34" s="244"/>
      <c r="O34" s="244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  <c r="AD34" s="244"/>
      <c r="AE34" s="244"/>
      <c r="AF34" s="244"/>
      <c r="AG34" s="244"/>
    </row>
    <row r="35" spans="1:33" ht="15.75" hidden="1" customHeight="1" x14ac:dyDescent="0.25">
      <c r="A35" s="244"/>
      <c r="B35" s="331"/>
      <c r="C35" s="339"/>
      <c r="D35" s="467"/>
      <c r="E35" s="332"/>
      <c r="F35" s="415"/>
      <c r="G35" s="415"/>
      <c r="H35" s="415"/>
      <c r="I35" s="486"/>
      <c r="J35" s="467"/>
      <c r="K35" s="332"/>
      <c r="L35" s="415"/>
      <c r="M35" s="486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</row>
    <row r="36" spans="1:33" ht="15.75" hidden="1" customHeight="1" x14ac:dyDescent="0.25">
      <c r="A36" s="244"/>
      <c r="B36" s="331"/>
      <c r="C36" s="339"/>
      <c r="D36" s="467"/>
      <c r="E36" s="332"/>
      <c r="F36" s="415"/>
      <c r="G36" s="415"/>
      <c r="H36" s="415"/>
      <c r="I36" s="486"/>
      <c r="J36" s="467"/>
      <c r="K36" s="332"/>
      <c r="L36" s="415"/>
      <c r="M36" s="486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244"/>
      <c r="AD36" s="244"/>
      <c r="AE36" s="244"/>
      <c r="AF36" s="244"/>
      <c r="AG36" s="244"/>
    </row>
    <row r="37" spans="1:33" ht="15.75" hidden="1" customHeight="1" x14ac:dyDescent="0.25">
      <c r="A37" s="244"/>
      <c r="B37" s="331"/>
      <c r="C37" s="339"/>
      <c r="D37" s="467"/>
      <c r="E37" s="332"/>
      <c r="F37" s="415"/>
      <c r="G37" s="415"/>
      <c r="H37" s="415"/>
      <c r="I37" s="486"/>
      <c r="J37" s="467"/>
      <c r="K37" s="332"/>
      <c r="L37" s="415"/>
      <c r="M37" s="48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</row>
    <row r="38" spans="1:33" ht="15.75" customHeight="1" x14ac:dyDescent="0.25">
      <c r="A38" s="244"/>
      <c r="B38" s="270"/>
      <c r="C38" s="271"/>
      <c r="D38" s="467"/>
      <c r="E38" s="313"/>
      <c r="F38" s="313"/>
      <c r="G38" s="313"/>
      <c r="H38" s="313"/>
      <c r="I38" s="271"/>
      <c r="J38" s="467"/>
      <c r="K38" s="313"/>
      <c r="L38" s="313"/>
      <c r="M38" s="271"/>
      <c r="N38" s="244"/>
      <c r="O38" s="244"/>
      <c r="P38" s="244"/>
      <c r="Q38" s="244"/>
      <c r="R38" s="244"/>
      <c r="S38" s="244"/>
      <c r="T38" s="244"/>
      <c r="U38" s="244"/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</row>
    <row r="39" spans="1:33" ht="15.75" customHeight="1" x14ac:dyDescent="0.25">
      <c r="A39" s="244"/>
      <c r="B39" s="487" t="s">
        <v>186</v>
      </c>
      <c r="C39" s="422"/>
      <c r="D39" s="467"/>
      <c r="E39" s="313"/>
      <c r="F39" s="313"/>
      <c r="G39" s="313"/>
      <c r="H39" s="313"/>
      <c r="I39" s="271"/>
      <c r="J39" s="467"/>
      <c r="K39" s="313"/>
      <c r="L39" s="313"/>
      <c r="M39" s="271"/>
      <c r="N39" s="244"/>
      <c r="O39" s="244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B39" s="244"/>
      <c r="AC39" s="244"/>
      <c r="AD39" s="244"/>
      <c r="AE39" s="244"/>
      <c r="AF39" s="244"/>
      <c r="AG39" s="244"/>
    </row>
    <row r="40" spans="1:33" ht="15.75" customHeight="1" x14ac:dyDescent="0.25">
      <c r="A40" s="244"/>
      <c r="B40" s="270" t="s">
        <v>28</v>
      </c>
      <c r="C40" s="339"/>
      <c r="D40" s="467"/>
      <c r="E40" s="313"/>
      <c r="F40" s="313"/>
      <c r="G40" s="313"/>
      <c r="H40" s="313"/>
      <c r="I40" s="271"/>
      <c r="J40" s="467"/>
      <c r="K40" s="313"/>
      <c r="L40" s="313"/>
      <c r="M40" s="271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  <c r="AD40" s="244"/>
      <c r="AE40" s="244"/>
      <c r="AF40" s="244"/>
      <c r="AG40" s="244"/>
    </row>
    <row r="41" spans="1:33" ht="15.75" customHeight="1" x14ac:dyDescent="0.25">
      <c r="A41" s="244"/>
      <c r="B41" s="331"/>
      <c r="C41" s="488" t="s">
        <v>187</v>
      </c>
      <c r="D41" s="467"/>
      <c r="E41" s="313"/>
      <c r="F41" s="313"/>
      <c r="G41" s="313"/>
      <c r="H41" s="313"/>
      <c r="I41" s="271"/>
      <c r="J41" s="467"/>
      <c r="K41" s="313"/>
      <c r="L41" s="313"/>
      <c r="M41" s="271"/>
      <c r="N41" s="244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  <c r="AC41" s="244"/>
      <c r="AD41" s="244"/>
      <c r="AE41" s="244"/>
      <c r="AF41" s="244"/>
      <c r="AG41" s="244"/>
    </row>
    <row r="42" spans="1:33" ht="15.75" customHeight="1" x14ac:dyDescent="0.25">
      <c r="A42" s="244"/>
      <c r="B42" s="331"/>
      <c r="C42" s="339" t="s">
        <v>188</v>
      </c>
      <c r="D42" s="467">
        <f>'MSBC CK Allocation'!C32</f>
        <v>680906.55276608933</v>
      </c>
      <c r="E42" s="332"/>
      <c r="F42" s="415"/>
      <c r="G42" s="332"/>
      <c r="H42" s="415">
        <f t="shared" ref="H42:H46" si="15">D42-F42</f>
        <v>680906.55276608933</v>
      </c>
      <c r="I42" s="336" t="e">
        <f t="shared" ref="I42:I46" si="16">H42/F42</f>
        <v>#DIV/0!</v>
      </c>
      <c r="J42" s="467">
        <f>'MSBC CK Allocation'!D32</f>
        <v>806140.91562381166</v>
      </c>
      <c r="K42" s="332"/>
      <c r="L42" s="415"/>
      <c r="M42" s="336"/>
      <c r="N42" s="244"/>
      <c r="O42" s="244"/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244"/>
      <c r="AA42" s="244"/>
      <c r="AB42" s="244"/>
      <c r="AC42" s="244"/>
      <c r="AD42" s="244"/>
      <c r="AE42" s="244"/>
      <c r="AF42" s="244"/>
      <c r="AG42" s="244"/>
    </row>
    <row r="43" spans="1:33" ht="15.75" customHeight="1" x14ac:dyDescent="0.25">
      <c r="A43" s="244"/>
      <c r="B43" s="331"/>
      <c r="C43" s="339" t="s">
        <v>189</v>
      </c>
      <c r="D43" s="467">
        <v>3451726.3724086797</v>
      </c>
      <c r="E43" s="332"/>
      <c r="F43" s="415"/>
      <c r="G43" s="332"/>
      <c r="H43" s="415">
        <f t="shared" si="15"/>
        <v>3451726.3724086797</v>
      </c>
      <c r="I43" s="336" t="e">
        <f t="shared" si="16"/>
        <v>#DIV/0!</v>
      </c>
      <c r="J43" s="467">
        <f>3192420.45+299409.28</f>
        <v>3491829.7300000004</v>
      </c>
      <c r="K43" s="332"/>
      <c r="L43" s="415"/>
      <c r="M43" s="336"/>
      <c r="N43" s="244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4"/>
    </row>
    <row r="44" spans="1:33" ht="15.75" customHeight="1" x14ac:dyDescent="0.25">
      <c r="A44" s="244"/>
      <c r="B44" s="331"/>
      <c r="C44" s="339" t="s">
        <v>21</v>
      </c>
      <c r="D44" s="467">
        <v>257826.77068050829</v>
      </c>
      <c r="E44" s="332"/>
      <c r="F44" s="415"/>
      <c r="G44" s="332"/>
      <c r="H44" s="415">
        <f t="shared" si="15"/>
        <v>257826.77068050829</v>
      </c>
      <c r="I44" s="336" t="e">
        <f t="shared" si="16"/>
        <v>#DIV/0!</v>
      </c>
      <c r="J44" s="467">
        <f>214997.73+87626.53</f>
        <v>302624.26</v>
      </c>
      <c r="K44" s="332"/>
      <c r="L44" s="415"/>
      <c r="M44" s="336"/>
      <c r="N44" s="244"/>
      <c r="O44" s="244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  <c r="AD44" s="244"/>
      <c r="AE44" s="244"/>
      <c r="AF44" s="244"/>
      <c r="AG44" s="244"/>
    </row>
    <row r="45" spans="1:33" ht="15.75" customHeight="1" x14ac:dyDescent="0.25">
      <c r="A45" s="244"/>
      <c r="B45" s="331"/>
      <c r="C45" s="339" t="s">
        <v>22</v>
      </c>
      <c r="D45" s="467">
        <v>298275.25000000047</v>
      </c>
      <c r="E45" s="332"/>
      <c r="F45" s="415"/>
      <c r="G45" s="332"/>
      <c r="H45" s="415">
        <f t="shared" si="15"/>
        <v>298275.25000000047</v>
      </c>
      <c r="I45" s="336" t="e">
        <f t="shared" si="16"/>
        <v>#DIV/0!</v>
      </c>
      <c r="J45" s="467">
        <v>245519.05</v>
      </c>
      <c r="K45" s="332"/>
      <c r="L45" s="415"/>
      <c r="M45" s="336"/>
      <c r="N45" s="244"/>
      <c r="O45" s="244"/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4"/>
      <c r="AF45" s="244"/>
      <c r="AG45" s="244"/>
    </row>
    <row r="46" spans="1:33" ht="15.75" customHeight="1" x14ac:dyDescent="0.25">
      <c r="A46" s="244"/>
      <c r="B46" s="346"/>
      <c r="C46" s="404" t="s">
        <v>295</v>
      </c>
      <c r="D46" s="468">
        <f>'Calculation Sheet for GST on Pu'!C23</f>
        <v>168479.27698964067</v>
      </c>
      <c r="E46" s="337"/>
      <c r="F46" s="469"/>
      <c r="G46" s="337"/>
      <c r="H46" s="469">
        <f t="shared" si="15"/>
        <v>168479.27698964067</v>
      </c>
      <c r="I46" s="338" t="e">
        <f t="shared" si="16"/>
        <v>#DIV/0!</v>
      </c>
      <c r="J46" s="468">
        <f>'Calculation Sheet for GST on Pu'!D23</f>
        <v>166161.51045458243</v>
      </c>
      <c r="K46" s="332"/>
      <c r="L46" s="415"/>
      <c r="M46" s="336"/>
      <c r="N46" s="244"/>
      <c r="O46" s="244"/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4"/>
    </row>
    <row r="47" spans="1:33" ht="15.75" customHeight="1" x14ac:dyDescent="0.25">
      <c r="A47" s="244"/>
      <c r="B47" s="278"/>
      <c r="C47" s="278" t="s">
        <v>191</v>
      </c>
      <c r="D47" s="489">
        <f>SUM(D42:D46)</f>
        <v>4857214.2228449192</v>
      </c>
      <c r="E47" s="490"/>
      <c r="F47" s="489"/>
      <c r="G47" s="490"/>
      <c r="H47" s="489">
        <f>SUM(H42:H46)</f>
        <v>4857214.2228449192</v>
      </c>
      <c r="I47" s="490"/>
      <c r="J47" s="489">
        <f>SUM(J42:J46)</f>
        <v>5012275.4660783941</v>
      </c>
      <c r="K47" s="335"/>
      <c r="L47" s="415"/>
      <c r="M47" s="33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</row>
    <row r="48" spans="1:33" ht="15.75" customHeight="1" x14ac:dyDescent="0.25">
      <c r="A48" s="244"/>
      <c r="B48" s="354"/>
      <c r="C48" s="425" t="s">
        <v>192</v>
      </c>
      <c r="D48" s="252">
        <v>187031.4</v>
      </c>
      <c r="E48" s="356"/>
      <c r="F48" s="491"/>
      <c r="G48" s="356"/>
      <c r="H48" s="491">
        <f>D48-F48</f>
        <v>187031.4</v>
      </c>
      <c r="I48" s="358" t="e">
        <f>H48/F48</f>
        <v>#DIV/0!</v>
      </c>
      <c r="J48" s="252">
        <v>179370</v>
      </c>
      <c r="K48" s="337"/>
      <c r="L48" s="469"/>
      <c r="M48" s="338"/>
      <c r="N48" s="244"/>
      <c r="O48" s="244"/>
      <c r="P48" s="244"/>
      <c r="Q48" s="244"/>
      <c r="R48" s="244"/>
      <c r="S48" s="244"/>
      <c r="T48" s="244"/>
      <c r="U48" s="244"/>
      <c r="V48" s="244"/>
      <c r="W48" s="244"/>
      <c r="X48" s="244"/>
      <c r="Y48" s="244"/>
      <c r="Z48" s="244"/>
      <c r="AA48" s="244"/>
      <c r="AB48" s="244"/>
      <c r="AC48" s="244"/>
      <c r="AD48" s="244"/>
      <c r="AE48" s="244"/>
      <c r="AF48" s="244"/>
      <c r="AG48" s="244"/>
    </row>
    <row r="49" spans="1:33" ht="15.75" customHeight="1" x14ac:dyDescent="0.25">
      <c r="A49" s="244"/>
      <c r="B49" s="347"/>
      <c r="C49" s="410" t="s">
        <v>193</v>
      </c>
      <c r="D49" s="485">
        <f>D47+D48</f>
        <v>5044245.6228449196</v>
      </c>
      <c r="E49" s="321">
        <f>D49/D$29</f>
        <v>0.39254217292332061</v>
      </c>
      <c r="F49" s="411">
        <f>F47+F48</f>
        <v>0</v>
      </c>
      <c r="G49" s="321" t="e">
        <f>F49/F$29</f>
        <v>#DIV/0!</v>
      </c>
      <c r="H49" s="411">
        <f>H47+H48</f>
        <v>5044245.6228449196</v>
      </c>
      <c r="I49" s="323"/>
      <c r="J49" s="485">
        <f>J47+J48</f>
        <v>5191645.4660783941</v>
      </c>
      <c r="K49" s="321">
        <f>J49/J$29</f>
        <v>0.41757397613218328</v>
      </c>
      <c r="L49" s="411">
        <f>L47+L48</f>
        <v>0</v>
      </c>
      <c r="M49" s="323" t="e">
        <f>L49/L$29</f>
        <v>#DIV/0!</v>
      </c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  <c r="AD49" s="246"/>
      <c r="AE49" s="246"/>
      <c r="AF49" s="246"/>
      <c r="AG49" s="246"/>
    </row>
    <row r="50" spans="1:33" ht="15.75" customHeight="1" x14ac:dyDescent="0.25">
      <c r="A50" s="244"/>
      <c r="B50" s="346"/>
      <c r="C50" s="404"/>
      <c r="D50" s="468"/>
      <c r="E50" s="316"/>
      <c r="F50" s="316"/>
      <c r="G50" s="316"/>
      <c r="H50" s="313"/>
      <c r="I50" s="271"/>
      <c r="J50" s="468"/>
      <c r="K50" s="316"/>
      <c r="L50" s="316"/>
      <c r="M50" s="318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  <c r="AD50" s="244"/>
      <c r="AE50" s="244"/>
      <c r="AF50" s="244"/>
      <c r="AG50" s="244"/>
    </row>
    <row r="51" spans="1:33" ht="15.75" customHeight="1" x14ac:dyDescent="0.25">
      <c r="A51" s="244"/>
      <c r="B51" s="492" t="s">
        <v>32</v>
      </c>
      <c r="C51" s="493" t="s">
        <v>32</v>
      </c>
      <c r="D51" s="485">
        <f>D29-D49</f>
        <v>7805954.8671550807</v>
      </c>
      <c r="E51" s="321">
        <f>D51/D$29</f>
        <v>0.60745782707667939</v>
      </c>
      <c r="F51" s="411" t="e">
        <f>F29-F49-#REF!</f>
        <v>#REF!</v>
      </c>
      <c r="G51" s="323" t="e">
        <f>F51/F$29</f>
        <v>#REF!</v>
      </c>
      <c r="H51" s="494" t="e">
        <f>H29-H49-#REF!</f>
        <v>#REF!</v>
      </c>
      <c r="I51" s="495" t="e">
        <f>H51/H$29</f>
        <v>#REF!</v>
      </c>
      <c r="J51" s="485">
        <f>J29-J49</f>
        <v>7241230.5339216059</v>
      </c>
      <c r="K51" s="321">
        <f>J51/J$29</f>
        <v>0.58242602386781672</v>
      </c>
      <c r="L51" s="411" t="e">
        <f>L29-L49-#REF!</f>
        <v>#REF!</v>
      </c>
      <c r="M51" s="323" t="e">
        <f>L51/L$29</f>
        <v>#REF!</v>
      </c>
      <c r="N51" s="244"/>
      <c r="O51" s="244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4"/>
      <c r="AF51" s="244"/>
      <c r="AG51" s="244"/>
    </row>
    <row r="52" spans="1:33" ht="15.75" customHeight="1" x14ac:dyDescent="0.25">
      <c r="A52" s="244"/>
      <c r="B52" s="371"/>
      <c r="C52" s="393"/>
      <c r="D52" s="466"/>
      <c r="E52" s="372"/>
      <c r="F52" s="372"/>
      <c r="G52" s="372"/>
      <c r="H52" s="313"/>
      <c r="I52" s="271"/>
      <c r="J52" s="466"/>
      <c r="K52" s="372"/>
      <c r="L52" s="372"/>
      <c r="M52" s="373"/>
      <c r="N52" s="244"/>
      <c r="O52" s="244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  <c r="AA52" s="244"/>
      <c r="AB52" s="244"/>
      <c r="AC52" s="244"/>
      <c r="AD52" s="244"/>
      <c r="AE52" s="244"/>
      <c r="AF52" s="244"/>
      <c r="AG52" s="244"/>
    </row>
    <row r="53" spans="1:33" ht="15.75" customHeight="1" x14ac:dyDescent="0.25">
      <c r="A53" s="244"/>
      <c r="B53" s="331"/>
      <c r="C53" s="428" t="s">
        <v>194</v>
      </c>
      <c r="D53" s="467"/>
      <c r="E53" s="313"/>
      <c r="F53" s="313"/>
      <c r="G53" s="313"/>
      <c r="H53" s="313"/>
      <c r="I53" s="271"/>
      <c r="J53" s="467"/>
      <c r="K53" s="313"/>
      <c r="L53" s="313"/>
      <c r="M53" s="271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  <c r="AC53" s="244"/>
      <c r="AD53" s="244"/>
      <c r="AE53" s="244"/>
      <c r="AF53" s="244"/>
      <c r="AG53" s="244"/>
    </row>
    <row r="54" spans="1:33" ht="15.75" customHeight="1" x14ac:dyDescent="0.25">
      <c r="A54" s="244"/>
      <c r="B54" s="331"/>
      <c r="C54" s="339" t="s">
        <v>195</v>
      </c>
      <c r="D54" s="467">
        <v>63541</v>
      </c>
      <c r="E54" s="332">
        <f t="shared" ref="E54:E60" si="17">D54/D$29</f>
        <v>4.9447477531146282E-3</v>
      </c>
      <c r="F54" s="415"/>
      <c r="G54" s="332">
        <v>4.4999999999999997E-3</v>
      </c>
      <c r="H54" s="313"/>
      <c r="I54" s="271"/>
      <c r="J54" s="467">
        <v>81331</v>
      </c>
      <c r="K54" s="332">
        <f t="shared" ref="K54:K60" si="18">J54/J$29</f>
        <v>6.5416079111542654E-3</v>
      </c>
      <c r="L54" s="415"/>
      <c r="M54" s="336">
        <v>4.4999999999999997E-3</v>
      </c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4"/>
      <c r="AF54" s="244"/>
      <c r="AG54" s="244"/>
    </row>
    <row r="55" spans="1:33" ht="15.75" customHeight="1" x14ac:dyDescent="0.25">
      <c r="A55" s="244"/>
      <c r="B55" s="331"/>
      <c r="C55" s="339" t="s">
        <v>196</v>
      </c>
      <c r="D55" s="467">
        <v>78715.88</v>
      </c>
      <c r="E55" s="332">
        <f t="shared" si="17"/>
        <v>6.1256538418413423E-3</v>
      </c>
      <c r="F55" s="415"/>
      <c r="G55" s="332">
        <v>9.7999999999999997E-3</v>
      </c>
      <c r="H55" s="313"/>
      <c r="I55" s="271"/>
      <c r="J55" s="467">
        <v>174176</v>
      </c>
      <c r="K55" s="332">
        <f t="shared" si="18"/>
        <v>1.4009308867875783E-2</v>
      </c>
      <c r="L55" s="415"/>
      <c r="M55" s="336">
        <v>9.7999999999999997E-3</v>
      </c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B55" s="244"/>
      <c r="AC55" s="244"/>
      <c r="AD55" s="244"/>
      <c r="AE55" s="244"/>
      <c r="AF55" s="244"/>
      <c r="AG55" s="244"/>
    </row>
    <row r="56" spans="1:33" ht="15.75" customHeight="1" x14ac:dyDescent="0.25">
      <c r="A56" s="244"/>
      <c r="B56" s="331"/>
      <c r="C56" s="339" t="s">
        <v>266</v>
      </c>
      <c r="D56" s="496">
        <v>0</v>
      </c>
      <c r="E56" s="332">
        <f t="shared" si="17"/>
        <v>0</v>
      </c>
      <c r="F56" s="415"/>
      <c r="G56" s="332">
        <v>1.8E-3</v>
      </c>
      <c r="H56" s="313"/>
      <c r="I56" s="271"/>
      <c r="J56" s="496">
        <v>0</v>
      </c>
      <c r="K56" s="332">
        <f t="shared" si="18"/>
        <v>0</v>
      </c>
      <c r="L56" s="415"/>
      <c r="M56" s="336">
        <v>1.8E-3</v>
      </c>
      <c r="N56" s="244"/>
      <c r="O56" s="244"/>
      <c r="P56" s="244"/>
      <c r="Q56" s="244"/>
      <c r="R56" s="244"/>
      <c r="S56" s="244"/>
      <c r="T56" s="244"/>
      <c r="U56" s="244"/>
      <c r="V56" s="244"/>
      <c r="W56" s="244"/>
      <c r="X56" s="244"/>
      <c r="Y56" s="244"/>
      <c r="Z56" s="244"/>
      <c r="AA56" s="244"/>
      <c r="AB56" s="244"/>
      <c r="AC56" s="244"/>
      <c r="AD56" s="244"/>
      <c r="AE56" s="244"/>
      <c r="AF56" s="244"/>
      <c r="AG56" s="244"/>
    </row>
    <row r="57" spans="1:33" ht="15.75" customHeight="1" x14ac:dyDescent="0.25">
      <c r="A57" s="244"/>
      <c r="B57" s="331"/>
      <c r="C57" s="339" t="s">
        <v>197</v>
      </c>
      <c r="D57" s="467">
        <v>44119.66</v>
      </c>
      <c r="E57" s="332">
        <f t="shared" si="17"/>
        <v>3.433383007084896E-3</v>
      </c>
      <c r="F57" s="415"/>
      <c r="G57" s="332">
        <v>4.7000000000000002E-3</v>
      </c>
      <c r="H57" s="313"/>
      <c r="I57" s="271"/>
      <c r="J57" s="467">
        <v>29560</v>
      </c>
      <c r="K57" s="332">
        <f t="shared" si="18"/>
        <v>2.3775673464450221E-3</v>
      </c>
      <c r="L57" s="415"/>
      <c r="M57" s="336">
        <v>4.7000000000000002E-3</v>
      </c>
      <c r="N57" s="244"/>
      <c r="O57" s="244"/>
      <c r="P57" s="244"/>
      <c r="Q57" s="244"/>
      <c r="R57" s="244"/>
      <c r="S57" s="244"/>
      <c r="T57" s="244"/>
      <c r="U57" s="244"/>
      <c r="V57" s="244"/>
      <c r="W57" s="244"/>
      <c r="X57" s="244"/>
      <c r="Y57" s="244"/>
      <c r="Z57" s="244"/>
      <c r="AA57" s="244"/>
      <c r="AB57" s="244"/>
      <c r="AC57" s="244"/>
      <c r="AD57" s="244"/>
      <c r="AE57" s="244"/>
      <c r="AF57" s="244"/>
      <c r="AG57" s="244"/>
    </row>
    <row r="58" spans="1:33" ht="15.75" customHeight="1" x14ac:dyDescent="0.25">
      <c r="A58" s="244"/>
      <c r="B58" s="331"/>
      <c r="C58" s="339" t="s">
        <v>198</v>
      </c>
      <c r="D58" s="467">
        <v>200368</v>
      </c>
      <c r="E58" s="332">
        <f t="shared" si="17"/>
        <v>1.5592597186007017E-2</v>
      </c>
      <c r="F58" s="415"/>
      <c r="G58" s="332">
        <v>1.8E-3</v>
      </c>
      <c r="H58" s="313"/>
      <c r="I58" s="271"/>
      <c r="J58" s="467">
        <v>69015</v>
      </c>
      <c r="K58" s="332">
        <f t="shared" si="18"/>
        <v>5.5510084714107981E-3</v>
      </c>
      <c r="L58" s="415"/>
      <c r="M58" s="336">
        <v>1.8E-3</v>
      </c>
      <c r="N58" s="244"/>
      <c r="O58" s="244"/>
      <c r="P58" s="244"/>
      <c r="Q58" s="244"/>
      <c r="R58" s="244"/>
      <c r="S58" s="244"/>
      <c r="T58" s="244"/>
      <c r="U58" s="244"/>
      <c r="V58" s="244"/>
      <c r="W58" s="244"/>
      <c r="X58" s="244"/>
      <c r="Y58" s="244"/>
      <c r="Z58" s="244"/>
      <c r="AA58" s="244"/>
      <c r="AB58" s="244"/>
      <c r="AC58" s="244"/>
      <c r="AD58" s="244"/>
      <c r="AE58" s="244"/>
      <c r="AF58" s="244"/>
      <c r="AG58" s="244"/>
    </row>
    <row r="59" spans="1:33" ht="15.75" customHeight="1" x14ac:dyDescent="0.25">
      <c r="A59" s="244"/>
      <c r="B59" s="346"/>
      <c r="C59" s="404" t="s">
        <v>199</v>
      </c>
      <c r="D59" s="468">
        <v>6524.333333333333</v>
      </c>
      <c r="E59" s="337">
        <f t="shared" si="17"/>
        <v>5.0772229883966054E-4</v>
      </c>
      <c r="F59" s="469"/>
      <c r="G59" s="337">
        <v>5.0000000000000001E-4</v>
      </c>
      <c r="H59" s="316"/>
      <c r="I59" s="318"/>
      <c r="J59" s="468">
        <v>2659</v>
      </c>
      <c r="K59" s="337">
        <f t="shared" si="18"/>
        <v>2.138684565019389E-4</v>
      </c>
      <c r="L59" s="469"/>
      <c r="M59" s="338">
        <v>5.0000000000000001E-4</v>
      </c>
      <c r="N59" s="244"/>
      <c r="O59" s="244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  <c r="AD59" s="244"/>
      <c r="AE59" s="244"/>
      <c r="AF59" s="244"/>
      <c r="AG59" s="244"/>
    </row>
    <row r="60" spans="1:33" ht="15.75" customHeight="1" x14ac:dyDescent="0.25">
      <c r="A60" s="244"/>
      <c r="B60" s="347"/>
      <c r="C60" s="410" t="s">
        <v>200</v>
      </c>
      <c r="D60" s="485">
        <f>SUM(D54:D59)</f>
        <v>393268.87333333335</v>
      </c>
      <c r="E60" s="321">
        <f t="shared" si="17"/>
        <v>3.0604104086887546E-2</v>
      </c>
      <c r="F60" s="411">
        <f>SUM(F54:F59)</f>
        <v>0</v>
      </c>
      <c r="G60" s="321" t="e">
        <f>F60/F$29</f>
        <v>#DIV/0!</v>
      </c>
      <c r="H60" s="348">
        <f>SUM(H54:H59)</f>
        <v>0</v>
      </c>
      <c r="I60" s="349"/>
      <c r="J60" s="485">
        <f>SUM(J54:J59)</f>
        <v>356741</v>
      </c>
      <c r="K60" s="321">
        <f t="shared" si="18"/>
        <v>2.8693361053387809E-2</v>
      </c>
      <c r="L60" s="411">
        <f>SUM(L54:L59)</f>
        <v>0</v>
      </c>
      <c r="M60" s="323" t="e">
        <f>L60/L$29</f>
        <v>#DIV/0!</v>
      </c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  <c r="AA60" s="246"/>
      <c r="AB60" s="246"/>
      <c r="AC60" s="246"/>
      <c r="AD60" s="246"/>
      <c r="AE60" s="246"/>
      <c r="AF60" s="246"/>
      <c r="AG60" s="246"/>
    </row>
    <row r="61" spans="1:33" ht="15.75" hidden="1" customHeight="1" x14ac:dyDescent="0.25">
      <c r="A61" s="244"/>
      <c r="B61" s="371"/>
      <c r="C61" s="393"/>
      <c r="D61" s="466"/>
      <c r="E61" s="372"/>
      <c r="F61" s="372"/>
      <c r="G61" s="372"/>
      <c r="H61" s="372"/>
      <c r="I61" s="373"/>
      <c r="J61" s="466"/>
      <c r="K61" s="372"/>
      <c r="L61" s="372"/>
      <c r="M61" s="373"/>
      <c r="N61" s="244"/>
      <c r="O61" s="244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</row>
    <row r="62" spans="1:33" ht="15.75" hidden="1" customHeight="1" x14ac:dyDescent="0.25">
      <c r="A62" s="244"/>
      <c r="B62" s="331"/>
      <c r="C62" s="339"/>
      <c r="D62" s="467"/>
      <c r="E62" s="332"/>
      <c r="F62" s="415"/>
      <c r="G62" s="415"/>
      <c r="H62" s="415"/>
      <c r="I62" s="486"/>
      <c r="J62" s="467"/>
      <c r="K62" s="332"/>
      <c r="L62" s="415"/>
      <c r="M62" s="486"/>
      <c r="N62" s="244"/>
      <c r="O62" s="244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  <c r="AC62" s="244"/>
      <c r="AD62" s="244"/>
      <c r="AE62" s="244"/>
      <c r="AF62" s="244"/>
      <c r="AG62" s="244"/>
    </row>
    <row r="63" spans="1:33" ht="15.75" hidden="1" customHeight="1" x14ac:dyDescent="0.25">
      <c r="A63" s="244"/>
      <c r="B63" s="331"/>
      <c r="C63" s="339"/>
      <c r="D63" s="467"/>
      <c r="E63" s="332"/>
      <c r="F63" s="415"/>
      <c r="G63" s="415"/>
      <c r="H63" s="415"/>
      <c r="I63" s="486"/>
      <c r="J63" s="467"/>
      <c r="K63" s="332"/>
      <c r="L63" s="415"/>
      <c r="M63" s="486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244"/>
      <c r="Y63" s="244"/>
      <c r="Z63" s="244"/>
      <c r="AA63" s="244"/>
      <c r="AB63" s="244"/>
      <c r="AC63" s="244"/>
      <c r="AD63" s="244"/>
      <c r="AE63" s="244"/>
      <c r="AF63" s="244"/>
      <c r="AG63" s="244"/>
    </row>
    <row r="64" spans="1:33" ht="15.75" hidden="1" customHeight="1" x14ac:dyDescent="0.25">
      <c r="A64" s="244"/>
      <c r="B64" s="331"/>
      <c r="C64" s="339"/>
      <c r="D64" s="467"/>
      <c r="E64" s="332"/>
      <c r="F64" s="415"/>
      <c r="G64" s="415"/>
      <c r="H64" s="415"/>
      <c r="I64" s="486"/>
      <c r="J64" s="467"/>
      <c r="K64" s="332"/>
      <c r="L64" s="415"/>
      <c r="M64" s="486"/>
      <c r="N64" s="244"/>
      <c r="O64" s="244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4"/>
      <c r="AD64" s="244"/>
      <c r="AE64" s="244"/>
      <c r="AF64" s="244"/>
      <c r="AG64" s="244"/>
    </row>
    <row r="65" spans="1:33" ht="15.75" hidden="1" customHeight="1" x14ac:dyDescent="0.25">
      <c r="A65" s="244"/>
      <c r="B65" s="331"/>
      <c r="C65" s="339"/>
      <c r="D65" s="467"/>
      <c r="E65" s="332"/>
      <c r="F65" s="415"/>
      <c r="G65" s="415"/>
      <c r="H65" s="415"/>
      <c r="I65" s="486"/>
      <c r="J65" s="467"/>
      <c r="K65" s="332"/>
      <c r="L65" s="415"/>
      <c r="M65" s="486"/>
      <c r="N65" s="244"/>
      <c r="O65" s="244"/>
      <c r="P65" s="244"/>
      <c r="Q65" s="244"/>
      <c r="R65" s="244"/>
      <c r="S65" s="244"/>
      <c r="T65" s="244"/>
      <c r="U65" s="244"/>
      <c r="V65" s="244"/>
      <c r="W65" s="244"/>
      <c r="X65" s="244"/>
      <c r="Y65" s="244"/>
      <c r="Z65" s="244"/>
      <c r="AA65" s="244"/>
      <c r="AB65" s="244"/>
      <c r="AC65" s="244"/>
      <c r="AD65" s="244"/>
      <c r="AE65" s="244"/>
      <c r="AF65" s="244"/>
      <c r="AG65" s="244"/>
    </row>
    <row r="66" spans="1:33" ht="15.75" hidden="1" customHeight="1" x14ac:dyDescent="0.25">
      <c r="A66" s="244"/>
      <c r="B66" s="331"/>
      <c r="C66" s="339"/>
      <c r="D66" s="467"/>
      <c r="E66" s="332"/>
      <c r="F66" s="415"/>
      <c r="G66" s="415"/>
      <c r="H66" s="415"/>
      <c r="I66" s="486"/>
      <c r="J66" s="467"/>
      <c r="K66" s="332"/>
      <c r="L66" s="415"/>
      <c r="M66" s="486"/>
      <c r="N66" s="244"/>
      <c r="O66" s="244"/>
      <c r="P66" s="244"/>
      <c r="Q66" s="244"/>
      <c r="R66" s="244"/>
      <c r="S66" s="244"/>
      <c r="T66" s="244"/>
      <c r="U66" s="244"/>
      <c r="V66" s="244"/>
      <c r="W66" s="244"/>
      <c r="X66" s="244"/>
      <c r="Y66" s="244"/>
      <c r="Z66" s="244"/>
      <c r="AA66" s="244"/>
      <c r="AB66" s="244"/>
      <c r="AC66" s="244"/>
      <c r="AD66" s="244"/>
      <c r="AE66" s="244"/>
      <c r="AF66" s="244"/>
      <c r="AG66" s="244"/>
    </row>
    <row r="67" spans="1:33" ht="15.75" hidden="1" customHeight="1" x14ac:dyDescent="0.25">
      <c r="A67" s="244"/>
      <c r="B67" s="331"/>
      <c r="C67" s="339"/>
      <c r="D67" s="467"/>
      <c r="E67" s="332"/>
      <c r="F67" s="415"/>
      <c r="G67" s="415"/>
      <c r="H67" s="415"/>
      <c r="I67" s="486"/>
      <c r="J67" s="467"/>
      <c r="K67" s="332"/>
      <c r="L67" s="415"/>
      <c r="M67" s="486"/>
      <c r="N67" s="244"/>
      <c r="O67" s="244"/>
      <c r="P67" s="244"/>
      <c r="Q67" s="244"/>
      <c r="R67" s="244"/>
      <c r="S67" s="244"/>
      <c r="T67" s="244"/>
      <c r="U67" s="244"/>
      <c r="V67" s="244"/>
      <c r="W67" s="244"/>
      <c r="X67" s="244"/>
      <c r="Y67" s="244"/>
      <c r="Z67" s="244"/>
      <c r="AA67" s="244"/>
      <c r="AB67" s="244"/>
      <c r="AC67" s="244"/>
      <c r="AD67" s="244"/>
      <c r="AE67" s="244"/>
      <c r="AF67" s="244"/>
      <c r="AG67" s="244"/>
    </row>
    <row r="68" spans="1:33" ht="15.75" customHeight="1" x14ac:dyDescent="0.25">
      <c r="A68" s="244"/>
      <c r="B68" s="331"/>
      <c r="C68" s="339"/>
      <c r="D68" s="467"/>
      <c r="E68" s="313"/>
      <c r="F68" s="313"/>
      <c r="G68" s="313"/>
      <c r="H68" s="313"/>
      <c r="I68" s="271"/>
      <c r="J68" s="467"/>
      <c r="K68" s="313"/>
      <c r="L68" s="313"/>
      <c r="M68" s="271"/>
      <c r="N68" s="244"/>
      <c r="O68" s="244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  <c r="AC68" s="244"/>
      <c r="AD68" s="244"/>
      <c r="AE68" s="244"/>
      <c r="AF68" s="244"/>
      <c r="AG68" s="244"/>
    </row>
    <row r="69" spans="1:33" ht="15.75" customHeight="1" x14ac:dyDescent="0.25">
      <c r="A69" s="244"/>
      <c r="B69" s="331"/>
      <c r="C69" s="339"/>
      <c r="D69" s="467"/>
      <c r="E69" s="332"/>
      <c r="F69" s="313"/>
      <c r="G69" s="332"/>
      <c r="H69" s="313"/>
      <c r="I69" s="336"/>
      <c r="J69" s="467"/>
      <c r="K69" s="332"/>
      <c r="L69" s="313"/>
      <c r="M69" s="336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  <c r="AC69" s="244"/>
      <c r="AD69" s="244"/>
      <c r="AE69" s="244"/>
      <c r="AF69" s="244"/>
      <c r="AG69" s="244"/>
    </row>
    <row r="70" spans="1:33" ht="15.75" customHeight="1" x14ac:dyDescent="0.25">
      <c r="A70" s="244"/>
      <c r="B70" s="331"/>
      <c r="C70" s="339"/>
      <c r="D70" s="467"/>
      <c r="E70" s="313"/>
      <c r="F70" s="313"/>
      <c r="G70" s="313"/>
      <c r="H70" s="313"/>
      <c r="I70" s="271"/>
      <c r="J70" s="467"/>
      <c r="K70" s="313"/>
      <c r="L70" s="313"/>
      <c r="M70" s="271"/>
      <c r="N70" s="244"/>
      <c r="O70" s="244"/>
      <c r="P70" s="244"/>
      <c r="Q70" s="244"/>
      <c r="R70" s="244"/>
      <c r="S70" s="244"/>
      <c r="T70" s="244"/>
      <c r="U70" s="244"/>
      <c r="V70" s="244"/>
      <c r="W70" s="244"/>
      <c r="X70" s="244"/>
      <c r="Y70" s="244"/>
      <c r="Z70" s="244"/>
      <c r="AA70" s="244"/>
      <c r="AB70" s="244"/>
      <c r="AC70" s="244"/>
      <c r="AD70" s="244"/>
      <c r="AE70" s="244"/>
      <c r="AF70" s="244"/>
      <c r="AG70" s="244"/>
    </row>
    <row r="71" spans="1:33" ht="15.75" customHeight="1" x14ac:dyDescent="0.25">
      <c r="A71" s="244"/>
      <c r="B71" s="963" t="s">
        <v>204</v>
      </c>
      <c r="C71" s="964"/>
      <c r="D71" s="468"/>
      <c r="E71" s="316"/>
      <c r="F71" s="316"/>
      <c r="G71" s="316"/>
      <c r="H71" s="316"/>
      <c r="I71" s="318"/>
      <c r="J71" s="468"/>
      <c r="K71" s="316"/>
      <c r="L71" s="316"/>
      <c r="M71" s="318"/>
      <c r="N71" s="244"/>
      <c r="O71" s="244"/>
      <c r="P71" s="244"/>
      <c r="Q71" s="244"/>
      <c r="R71" s="244"/>
      <c r="S71" s="244"/>
      <c r="T71" s="244"/>
      <c r="U71" s="244"/>
      <c r="V71" s="244"/>
      <c r="W71" s="244"/>
      <c r="X71" s="244"/>
      <c r="Y71" s="244"/>
      <c r="Z71" s="244"/>
      <c r="AA71" s="244"/>
      <c r="AB71" s="244"/>
      <c r="AC71" s="244"/>
      <c r="AD71" s="244"/>
      <c r="AE71" s="244"/>
      <c r="AF71" s="244"/>
      <c r="AG71" s="244"/>
    </row>
    <row r="72" spans="1:33" ht="15.75" customHeight="1" x14ac:dyDescent="0.25">
      <c r="A72" s="244"/>
      <c r="B72" s="497"/>
      <c r="C72" s="498" t="s">
        <v>205</v>
      </c>
      <c r="D72" s="485">
        <f>SUM(D73:D82)</f>
        <v>196105.44</v>
      </c>
      <c r="E72" s="321">
        <f t="shared" ref="E72:E81" si="19">D72/D$29</f>
        <v>1.5260885629964206E-2</v>
      </c>
      <c r="F72" s="411">
        <f>SUM(F73:F82)</f>
        <v>0</v>
      </c>
      <c r="G72" s="321" t="e">
        <f t="shared" ref="G72:G82" si="20">F72/F$29</f>
        <v>#DIV/0!</v>
      </c>
      <c r="H72" s="411">
        <f>SUM(H73:H82)</f>
        <v>196105.44</v>
      </c>
      <c r="I72" s="349"/>
      <c r="J72" s="485">
        <f>SUM(J73:J82)</f>
        <v>210682</v>
      </c>
      <c r="K72" s="321">
        <f t="shared" ref="K72:K81" si="21">J72/J$29</f>
        <v>1.6945556281587622E-2</v>
      </c>
      <c r="L72" s="411">
        <f>SUM(L73:L82)</f>
        <v>0</v>
      </c>
      <c r="M72" s="323" t="e">
        <f t="shared" ref="M72:M82" si="22">L72/L$29</f>
        <v>#DIV/0!</v>
      </c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  <c r="AF72" s="246"/>
      <c r="AG72" s="246"/>
    </row>
    <row r="73" spans="1:33" ht="15.75" customHeight="1" x14ac:dyDescent="0.25">
      <c r="A73" s="244"/>
      <c r="B73" s="371"/>
      <c r="C73" s="393" t="s">
        <v>268</v>
      </c>
      <c r="D73" s="499">
        <v>0</v>
      </c>
      <c r="E73" s="326">
        <f t="shared" si="19"/>
        <v>0</v>
      </c>
      <c r="F73" s="412"/>
      <c r="G73" s="326" t="e">
        <f t="shared" si="20"/>
        <v>#DIV/0!</v>
      </c>
      <c r="H73" s="412">
        <f t="shared" ref="H73:H76" si="23">D73-F73</f>
        <v>0</v>
      </c>
      <c r="I73" s="330" t="e">
        <f t="shared" ref="I73:I76" si="24">H73/F73</f>
        <v>#DIV/0!</v>
      </c>
      <c r="J73" s="499">
        <v>0</v>
      </c>
      <c r="K73" s="326">
        <f t="shared" si="21"/>
        <v>0</v>
      </c>
      <c r="L73" s="412"/>
      <c r="M73" s="330" t="e">
        <f t="shared" si="22"/>
        <v>#DIV/0!</v>
      </c>
      <c r="N73" s="244"/>
      <c r="O73" s="244"/>
      <c r="P73" s="244"/>
      <c r="Q73" s="244"/>
      <c r="R73" s="244"/>
      <c r="S73" s="244"/>
      <c r="T73" s="244"/>
      <c r="U73" s="244"/>
      <c r="V73" s="244"/>
      <c r="W73" s="244"/>
      <c r="X73" s="244"/>
      <c r="Y73" s="244"/>
      <c r="Z73" s="244"/>
      <c r="AA73" s="244"/>
      <c r="AB73" s="244"/>
      <c r="AC73" s="244"/>
      <c r="AD73" s="244"/>
      <c r="AE73" s="244"/>
      <c r="AF73" s="244"/>
      <c r="AG73" s="244"/>
    </row>
    <row r="74" spans="1:33" ht="15.75" customHeight="1" x14ac:dyDescent="0.25">
      <c r="A74" s="244"/>
      <c r="B74" s="331"/>
      <c r="C74" s="339" t="s">
        <v>296</v>
      </c>
      <c r="D74" s="467">
        <v>304.44</v>
      </c>
      <c r="E74" s="332">
        <f t="shared" si="19"/>
        <v>2.3691459151700751E-5</v>
      </c>
      <c r="F74" s="415"/>
      <c r="G74" s="332" t="e">
        <f t="shared" si="20"/>
        <v>#DIV/0!</v>
      </c>
      <c r="H74" s="415">
        <f t="shared" si="23"/>
        <v>304.44</v>
      </c>
      <c r="I74" s="336" t="e">
        <f t="shared" si="24"/>
        <v>#DIV/0!</v>
      </c>
      <c r="J74" s="467"/>
      <c r="K74" s="332">
        <f t="shared" si="21"/>
        <v>0</v>
      </c>
      <c r="L74" s="415"/>
      <c r="M74" s="336" t="e">
        <f t="shared" si="22"/>
        <v>#DIV/0!</v>
      </c>
      <c r="N74" s="244"/>
      <c r="O74" s="244"/>
      <c r="P74" s="244"/>
      <c r="Q74" s="244"/>
      <c r="R74" s="244"/>
      <c r="S74" s="244"/>
      <c r="T74" s="244"/>
      <c r="U74" s="244"/>
      <c r="V74" s="244"/>
      <c r="W74" s="244"/>
      <c r="X74" s="244"/>
      <c r="Y74" s="244"/>
      <c r="Z74" s="244"/>
      <c r="AA74" s="244"/>
      <c r="AB74" s="244"/>
      <c r="AC74" s="244"/>
      <c r="AD74" s="244"/>
      <c r="AE74" s="244"/>
      <c r="AF74" s="244"/>
      <c r="AG74" s="244"/>
    </row>
    <row r="75" spans="1:33" ht="15.75" customHeight="1" x14ac:dyDescent="0.25">
      <c r="A75" s="244"/>
      <c r="B75" s="331"/>
      <c r="C75" s="339" t="s">
        <v>212</v>
      </c>
      <c r="D75" s="496">
        <v>0</v>
      </c>
      <c r="E75" s="332">
        <f t="shared" si="19"/>
        <v>0</v>
      </c>
      <c r="F75" s="415"/>
      <c r="G75" s="332" t="e">
        <f t="shared" si="20"/>
        <v>#DIV/0!</v>
      </c>
      <c r="H75" s="415">
        <f t="shared" si="23"/>
        <v>0</v>
      </c>
      <c r="I75" s="336" t="e">
        <f t="shared" si="24"/>
        <v>#DIV/0!</v>
      </c>
      <c r="J75" s="496">
        <v>0</v>
      </c>
      <c r="K75" s="332">
        <f t="shared" si="21"/>
        <v>0</v>
      </c>
      <c r="L75" s="415"/>
      <c r="M75" s="336" t="e">
        <f t="shared" si="22"/>
        <v>#DIV/0!</v>
      </c>
      <c r="N75" s="244"/>
      <c r="O75" s="244"/>
      <c r="P75" s="244"/>
      <c r="Q75" s="244"/>
      <c r="R75" s="244"/>
      <c r="S75" s="244"/>
      <c r="T75" s="244"/>
      <c r="U75" s="244"/>
      <c r="V75" s="244"/>
      <c r="W75" s="244"/>
      <c r="X75" s="244"/>
      <c r="Y75" s="244"/>
      <c r="Z75" s="244"/>
      <c r="AA75" s="244"/>
      <c r="AB75" s="244"/>
      <c r="AC75" s="244"/>
      <c r="AD75" s="244"/>
      <c r="AE75" s="244"/>
      <c r="AF75" s="244"/>
      <c r="AG75" s="244"/>
    </row>
    <row r="76" spans="1:33" ht="15.75" customHeight="1" x14ac:dyDescent="0.25">
      <c r="A76" s="244"/>
      <c r="B76" s="331"/>
      <c r="C76" s="339" t="s">
        <v>213</v>
      </c>
      <c r="D76" s="496">
        <v>0</v>
      </c>
      <c r="E76" s="332">
        <f t="shared" si="19"/>
        <v>0</v>
      </c>
      <c r="F76" s="313"/>
      <c r="G76" s="332" t="e">
        <f t="shared" si="20"/>
        <v>#DIV/0!</v>
      </c>
      <c r="H76" s="415">
        <f t="shared" si="23"/>
        <v>0</v>
      </c>
      <c r="I76" s="336" t="e">
        <f t="shared" si="24"/>
        <v>#DIV/0!</v>
      </c>
      <c r="J76" s="496">
        <v>0</v>
      </c>
      <c r="K76" s="332">
        <f t="shared" si="21"/>
        <v>0</v>
      </c>
      <c r="L76" s="313"/>
      <c r="M76" s="336" t="e">
        <f t="shared" si="22"/>
        <v>#DIV/0!</v>
      </c>
      <c r="N76" s="244"/>
      <c r="O76" s="244"/>
      <c r="P76" s="244"/>
      <c r="Q76" s="244"/>
      <c r="R76" s="244"/>
      <c r="S76" s="244"/>
      <c r="T76" s="244"/>
      <c r="U76" s="244"/>
      <c r="V76" s="244"/>
      <c r="W76" s="244"/>
      <c r="X76" s="244"/>
      <c r="Y76" s="244"/>
      <c r="Z76" s="244"/>
      <c r="AA76" s="244"/>
      <c r="AB76" s="244"/>
      <c r="AC76" s="244"/>
      <c r="AD76" s="244"/>
      <c r="AE76" s="244"/>
      <c r="AF76" s="244"/>
      <c r="AG76" s="244"/>
    </row>
    <row r="77" spans="1:33" ht="15.75" customHeight="1" x14ac:dyDescent="0.25">
      <c r="A77" s="244"/>
      <c r="B77" s="331"/>
      <c r="C77" s="339" t="s">
        <v>297</v>
      </c>
      <c r="D77" s="496">
        <v>0</v>
      </c>
      <c r="E77" s="332">
        <f t="shared" si="19"/>
        <v>0</v>
      </c>
      <c r="F77" s="313"/>
      <c r="G77" s="332" t="e">
        <f t="shared" si="20"/>
        <v>#DIV/0!</v>
      </c>
      <c r="H77" s="415"/>
      <c r="I77" s="336"/>
      <c r="J77" s="496">
        <v>0</v>
      </c>
      <c r="K77" s="332">
        <f t="shared" si="21"/>
        <v>0</v>
      </c>
      <c r="L77" s="313"/>
      <c r="M77" s="336" t="e">
        <f t="shared" si="22"/>
        <v>#DIV/0!</v>
      </c>
      <c r="N77" s="244"/>
      <c r="O77" s="244"/>
      <c r="P77" s="244"/>
      <c r="Q77" s="244"/>
      <c r="R77" s="244"/>
      <c r="S77" s="244"/>
      <c r="T77" s="244"/>
      <c r="U77" s="244"/>
      <c r="V77" s="244"/>
      <c r="W77" s="244"/>
      <c r="X77" s="244"/>
      <c r="Y77" s="244"/>
      <c r="Z77" s="244"/>
      <c r="AA77" s="244"/>
      <c r="AB77" s="244"/>
      <c r="AC77" s="244"/>
      <c r="AD77" s="244"/>
      <c r="AE77" s="244"/>
      <c r="AF77" s="244"/>
      <c r="AG77" s="244"/>
    </row>
    <row r="78" spans="1:33" ht="15.75" customHeight="1" x14ac:dyDescent="0.25">
      <c r="A78" s="244"/>
      <c r="B78" s="331"/>
      <c r="C78" s="339" t="s">
        <v>298</v>
      </c>
      <c r="D78" s="496">
        <v>0</v>
      </c>
      <c r="E78" s="332">
        <f t="shared" si="19"/>
        <v>0</v>
      </c>
      <c r="F78" s="483"/>
      <c r="G78" s="332" t="e">
        <f t="shared" si="20"/>
        <v>#DIV/0!</v>
      </c>
      <c r="H78" s="415">
        <f t="shared" ref="H78:H80" si="25">D78-F78</f>
        <v>0</v>
      </c>
      <c r="I78" s="336" t="e">
        <f>H78/F78</f>
        <v>#DIV/0!</v>
      </c>
      <c r="J78" s="496">
        <v>0</v>
      </c>
      <c r="K78" s="332">
        <f t="shared" si="21"/>
        <v>0</v>
      </c>
      <c r="L78" s="483"/>
      <c r="M78" s="336" t="e">
        <f t="shared" si="22"/>
        <v>#DIV/0!</v>
      </c>
      <c r="N78" s="244"/>
      <c r="O78" s="244"/>
      <c r="P78" s="244"/>
      <c r="Q78" s="244"/>
      <c r="R78" s="244"/>
      <c r="S78" s="244"/>
      <c r="T78" s="244"/>
      <c r="U78" s="244"/>
      <c r="V78" s="244"/>
      <c r="W78" s="244"/>
      <c r="X78" s="244"/>
      <c r="Y78" s="244"/>
      <c r="Z78" s="244"/>
      <c r="AA78" s="244"/>
      <c r="AB78" s="244"/>
      <c r="AC78" s="244"/>
      <c r="AD78" s="244"/>
      <c r="AE78" s="244"/>
      <c r="AF78" s="244"/>
      <c r="AG78" s="244"/>
    </row>
    <row r="79" spans="1:33" ht="15.75" customHeight="1" x14ac:dyDescent="0.25">
      <c r="A79" s="244"/>
      <c r="B79" s="331"/>
      <c r="C79" s="339" t="s">
        <v>299</v>
      </c>
      <c r="D79" s="496">
        <v>0</v>
      </c>
      <c r="E79" s="332">
        <f t="shared" si="19"/>
        <v>0</v>
      </c>
      <c r="F79" s="313"/>
      <c r="G79" s="332" t="e">
        <f t="shared" si="20"/>
        <v>#DIV/0!</v>
      </c>
      <c r="H79" s="415">
        <f t="shared" si="25"/>
        <v>0</v>
      </c>
      <c r="I79" s="336">
        <v>0</v>
      </c>
      <c r="J79" s="496">
        <v>0</v>
      </c>
      <c r="K79" s="332">
        <f t="shared" si="21"/>
        <v>0</v>
      </c>
      <c r="L79" s="313"/>
      <c r="M79" s="336" t="e">
        <f t="shared" si="22"/>
        <v>#DIV/0!</v>
      </c>
      <c r="N79" s="244"/>
      <c r="O79" s="244"/>
      <c r="P79" s="244"/>
      <c r="Q79" s="244"/>
      <c r="R79" s="244"/>
      <c r="S79" s="244"/>
      <c r="T79" s="244"/>
      <c r="U79" s="244"/>
      <c r="V79" s="244"/>
      <c r="W79" s="244"/>
      <c r="X79" s="244"/>
      <c r="Y79" s="244"/>
      <c r="Z79" s="244"/>
      <c r="AA79" s="244"/>
      <c r="AB79" s="244"/>
      <c r="AC79" s="244"/>
      <c r="AD79" s="244"/>
      <c r="AE79" s="244"/>
      <c r="AF79" s="244"/>
      <c r="AG79" s="244"/>
    </row>
    <row r="80" spans="1:33" ht="15.75" customHeight="1" x14ac:dyDescent="0.25">
      <c r="A80" s="244"/>
      <c r="B80" s="331"/>
      <c r="C80" s="339" t="s">
        <v>300</v>
      </c>
      <c r="D80" s="496">
        <v>0</v>
      </c>
      <c r="E80" s="332">
        <f t="shared" si="19"/>
        <v>0</v>
      </c>
      <c r="F80" s="313"/>
      <c r="G80" s="332" t="e">
        <f t="shared" si="20"/>
        <v>#DIV/0!</v>
      </c>
      <c r="H80" s="415">
        <f t="shared" si="25"/>
        <v>0</v>
      </c>
      <c r="I80" s="336" t="e">
        <f>H80/F80</f>
        <v>#DIV/0!</v>
      </c>
      <c r="J80" s="496">
        <v>0</v>
      </c>
      <c r="K80" s="332">
        <f t="shared" si="21"/>
        <v>0</v>
      </c>
      <c r="L80" s="313"/>
      <c r="M80" s="336" t="e">
        <f t="shared" si="22"/>
        <v>#DIV/0!</v>
      </c>
      <c r="N80" s="244"/>
      <c r="O80" s="244"/>
      <c r="P80" s="244"/>
      <c r="Q80" s="244"/>
      <c r="R80" s="244"/>
      <c r="S80" s="244"/>
      <c r="T80" s="244"/>
      <c r="U80" s="244"/>
      <c r="V80" s="244"/>
      <c r="W80" s="244"/>
      <c r="X80" s="244"/>
      <c r="Y80" s="244"/>
      <c r="Z80" s="244"/>
      <c r="AA80" s="244"/>
      <c r="AB80" s="244"/>
      <c r="AC80" s="244"/>
      <c r="AD80" s="244"/>
      <c r="AE80" s="244"/>
      <c r="AF80" s="244"/>
      <c r="AG80" s="244"/>
    </row>
    <row r="81" spans="1:33" ht="15.75" customHeight="1" x14ac:dyDescent="0.25">
      <c r="A81" s="244"/>
      <c r="B81" s="331"/>
      <c r="C81" s="339" t="s">
        <v>270</v>
      </c>
      <c r="D81" s="496">
        <v>0</v>
      </c>
      <c r="E81" s="332">
        <f t="shared" si="19"/>
        <v>0</v>
      </c>
      <c r="F81" s="313"/>
      <c r="G81" s="332" t="e">
        <f t="shared" si="20"/>
        <v>#DIV/0!</v>
      </c>
      <c r="H81" s="415"/>
      <c r="I81" s="336"/>
      <c r="J81" s="496">
        <v>0</v>
      </c>
      <c r="K81" s="332">
        <f t="shared" si="21"/>
        <v>0</v>
      </c>
      <c r="L81" s="313"/>
      <c r="M81" s="336" t="e">
        <f t="shared" si="22"/>
        <v>#DIV/0!</v>
      </c>
      <c r="N81" s="244"/>
      <c r="O81" s="244"/>
      <c r="P81" s="244"/>
      <c r="Q81" s="244"/>
      <c r="R81" s="244"/>
      <c r="S81" s="244"/>
      <c r="T81" s="244"/>
      <c r="U81" s="244"/>
      <c r="V81" s="244"/>
      <c r="W81" s="244"/>
      <c r="X81" s="244"/>
      <c r="Y81" s="244"/>
      <c r="Z81" s="244"/>
      <c r="AA81" s="244"/>
      <c r="AB81" s="244"/>
      <c r="AC81" s="244"/>
      <c r="AD81" s="244"/>
      <c r="AE81" s="244"/>
      <c r="AF81" s="244"/>
      <c r="AG81" s="244"/>
    </row>
    <row r="82" spans="1:33" ht="15.75" customHeight="1" x14ac:dyDescent="0.25">
      <c r="A82" s="244"/>
      <c r="B82" s="331"/>
      <c r="C82" s="339" t="s">
        <v>271</v>
      </c>
      <c r="D82" s="467">
        <v>195801</v>
      </c>
      <c r="E82" s="332">
        <f>D82/D$28</f>
        <v>0.27133307281056945</v>
      </c>
      <c r="F82" s="313"/>
      <c r="G82" s="332" t="e">
        <f t="shared" si="20"/>
        <v>#DIV/0!</v>
      </c>
      <c r="H82" s="415">
        <f>D82-F82</f>
        <v>195801</v>
      </c>
      <c r="I82" s="336" t="e">
        <f>H82/F82</f>
        <v>#DIV/0!</v>
      </c>
      <c r="J82" s="467">
        <v>210682</v>
      </c>
      <c r="K82" s="332" t="e">
        <f>J82/J$28</f>
        <v>#DIV/0!</v>
      </c>
      <c r="L82" s="313"/>
      <c r="M82" s="336" t="e">
        <f t="shared" si="22"/>
        <v>#DIV/0!</v>
      </c>
      <c r="N82" s="244"/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  <c r="AA82" s="244"/>
      <c r="AB82" s="244"/>
      <c r="AC82" s="244"/>
      <c r="AD82" s="244"/>
      <c r="AE82" s="244"/>
      <c r="AF82" s="244"/>
      <c r="AG82" s="244"/>
    </row>
    <row r="83" spans="1:33" ht="15.75" customHeight="1" x14ac:dyDescent="0.25">
      <c r="A83" s="244"/>
      <c r="B83" s="346"/>
      <c r="C83" s="500"/>
      <c r="D83" s="468"/>
      <c r="E83" s="316"/>
      <c r="F83" s="316"/>
      <c r="G83" s="316"/>
      <c r="H83" s="469"/>
      <c r="I83" s="338"/>
      <c r="J83" s="468"/>
      <c r="K83" s="313"/>
      <c r="L83" s="313"/>
      <c r="M83" s="271"/>
      <c r="N83" s="244"/>
      <c r="O83" s="24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  <c r="AD83" s="244"/>
      <c r="AE83" s="244"/>
      <c r="AF83" s="244"/>
      <c r="AG83" s="244"/>
    </row>
    <row r="84" spans="1:33" ht="15.75" customHeight="1" x14ac:dyDescent="0.25">
      <c r="A84" s="244"/>
      <c r="B84" s="279"/>
      <c r="C84" s="501" t="s">
        <v>35</v>
      </c>
      <c r="D84" s="489">
        <f t="shared" ref="D84:J84" si="26">SUM(D85:D88)</f>
        <v>480580.78999999992</v>
      </c>
      <c r="E84" s="502">
        <f t="shared" si="26"/>
        <v>3.7398699761454074E-2</v>
      </c>
      <c r="F84" s="502" t="e">
        <f t="shared" si="26"/>
        <v>#REF!</v>
      </c>
      <c r="G84" s="502" t="e">
        <f t="shared" si="26"/>
        <v>#DIV/0!</v>
      </c>
      <c r="H84" s="502" t="e">
        <f t="shared" si="26"/>
        <v>#REF!</v>
      </c>
      <c r="I84" s="502" t="e">
        <f t="shared" si="26"/>
        <v>#DIV/0!</v>
      </c>
      <c r="J84" s="489">
        <f t="shared" si="26"/>
        <v>480329</v>
      </c>
      <c r="K84" s="335" t="e">
        <f>#REF!/J$29</f>
        <v>#REF!</v>
      </c>
      <c r="L84" s="415" t="e">
        <f>SUM(L85:L88)</f>
        <v>#REF!</v>
      </c>
      <c r="M84" s="336" t="e">
        <f t="shared" ref="M84:M88" si="27">L84/L$29</f>
        <v>#REF!</v>
      </c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  <c r="AA84" s="246"/>
      <c r="AB84" s="246"/>
      <c r="AC84" s="246"/>
      <c r="AD84" s="246"/>
      <c r="AE84" s="246"/>
      <c r="AF84" s="246"/>
      <c r="AG84" s="246"/>
    </row>
    <row r="85" spans="1:33" ht="15.75" customHeight="1" x14ac:dyDescent="0.25">
      <c r="A85" s="244"/>
      <c r="B85" s="371"/>
      <c r="C85" s="393" t="s">
        <v>215</v>
      </c>
      <c r="D85" s="466">
        <v>7350</v>
      </c>
      <c r="E85" s="326">
        <f t="shared" ref="E85:E88" si="28">D85/D$29</f>
        <v>5.7197551164433233E-4</v>
      </c>
      <c r="F85" s="412"/>
      <c r="G85" s="326" t="e">
        <f t="shared" ref="G85:G88" si="29">F85/F$29</f>
        <v>#DIV/0!</v>
      </c>
      <c r="H85" s="412">
        <f t="shared" ref="H85:H88" si="30">D85-F85</f>
        <v>7350</v>
      </c>
      <c r="I85" s="330" t="e">
        <f t="shared" ref="I85:I88" si="31">H85/F85</f>
        <v>#DIV/0!</v>
      </c>
      <c r="J85" s="252">
        <v>3364</v>
      </c>
      <c r="K85" s="332">
        <f>J84/J$29</f>
        <v>3.8633780309559912E-2</v>
      </c>
      <c r="L85" s="415"/>
      <c r="M85" s="336" t="e">
        <f t="shared" si="27"/>
        <v>#DIV/0!</v>
      </c>
      <c r="N85" s="244"/>
      <c r="O85" s="244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  <c r="AD85" s="244"/>
      <c r="AE85" s="244"/>
      <c r="AF85" s="244"/>
      <c r="AG85" s="244"/>
    </row>
    <row r="86" spans="1:33" ht="15.75" customHeight="1" x14ac:dyDescent="0.25">
      <c r="A86" s="244"/>
      <c r="B86" s="331"/>
      <c r="C86" s="339" t="s">
        <v>216</v>
      </c>
      <c r="D86" s="496">
        <v>0</v>
      </c>
      <c r="E86" s="332">
        <f t="shared" si="28"/>
        <v>0</v>
      </c>
      <c r="F86" s="415"/>
      <c r="G86" s="332" t="e">
        <f t="shared" si="29"/>
        <v>#DIV/0!</v>
      </c>
      <c r="H86" s="415">
        <f t="shared" si="30"/>
        <v>0</v>
      </c>
      <c r="I86" s="336" t="e">
        <f t="shared" si="31"/>
        <v>#DIV/0!</v>
      </c>
      <c r="J86" s="496">
        <v>0</v>
      </c>
      <c r="K86" s="332">
        <f t="shared" ref="K86:K88" si="32">J86/J$29</f>
        <v>0</v>
      </c>
      <c r="L86" s="415"/>
      <c r="M86" s="336" t="e">
        <f t="shared" si="27"/>
        <v>#DIV/0!</v>
      </c>
      <c r="N86" s="244"/>
      <c r="O86" s="244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Z86" s="244"/>
      <c r="AA86" s="244"/>
      <c r="AB86" s="244"/>
      <c r="AC86" s="244"/>
      <c r="AD86" s="244"/>
      <c r="AE86" s="244"/>
      <c r="AF86" s="244"/>
      <c r="AG86" s="244"/>
    </row>
    <row r="87" spans="1:33" ht="15.75" customHeight="1" x14ac:dyDescent="0.25">
      <c r="A87" s="244"/>
      <c r="B87" s="331"/>
      <c r="C87" s="339" t="s">
        <v>287</v>
      </c>
      <c r="D87" s="467">
        <v>315471.68999999994</v>
      </c>
      <c r="E87" s="332">
        <f t="shared" si="28"/>
        <v>2.4549943033612541E-2</v>
      </c>
      <c r="F87" s="415" t="e">
        <f>75%*(F$17+#REF!+#REF!)*17.8%</f>
        <v>#REF!</v>
      </c>
      <c r="G87" s="332" t="e">
        <f t="shared" si="29"/>
        <v>#REF!</v>
      </c>
      <c r="H87" s="415" t="e">
        <f t="shared" si="30"/>
        <v>#REF!</v>
      </c>
      <c r="I87" s="336" t="e">
        <f t="shared" si="31"/>
        <v>#REF!</v>
      </c>
      <c r="J87" s="467">
        <v>323452</v>
      </c>
      <c r="K87" s="332">
        <f t="shared" si="32"/>
        <v>2.601586310359727E-2</v>
      </c>
      <c r="L87" s="415" t="e">
        <f>75%*(L$17+#REF!+#REF!)*17.8%</f>
        <v>#REF!</v>
      </c>
      <c r="M87" s="336" t="e">
        <f t="shared" si="27"/>
        <v>#REF!</v>
      </c>
      <c r="N87" s="244"/>
      <c r="O87" s="244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244"/>
      <c r="AB87" s="244"/>
      <c r="AC87" s="244"/>
      <c r="AD87" s="244"/>
      <c r="AE87" s="244"/>
      <c r="AF87" s="244"/>
      <c r="AG87" s="244"/>
    </row>
    <row r="88" spans="1:33" ht="15.75" customHeight="1" x14ac:dyDescent="0.25">
      <c r="A88" s="244"/>
      <c r="B88" s="331"/>
      <c r="C88" s="339" t="s">
        <v>288</v>
      </c>
      <c r="D88" s="467">
        <v>157759.1</v>
      </c>
      <c r="E88" s="332">
        <f t="shared" si="28"/>
        <v>1.2276781216197196E-2</v>
      </c>
      <c r="F88" s="415" t="e">
        <f>25%*(F$17+#REF!+#REF!)*14%</f>
        <v>#REF!</v>
      </c>
      <c r="G88" s="332" t="e">
        <f t="shared" si="29"/>
        <v>#REF!</v>
      </c>
      <c r="H88" s="415" t="e">
        <f t="shared" si="30"/>
        <v>#REF!</v>
      </c>
      <c r="I88" s="336" t="e">
        <f t="shared" si="31"/>
        <v>#REF!</v>
      </c>
      <c r="J88" s="467">
        <v>153513</v>
      </c>
      <c r="K88" s="332">
        <f t="shared" si="32"/>
        <v>1.2347344250839469E-2</v>
      </c>
      <c r="L88" s="415" t="e">
        <f>25%*(L$17+#REF!+#REF!)*14%</f>
        <v>#REF!</v>
      </c>
      <c r="M88" s="336" t="e">
        <f t="shared" si="27"/>
        <v>#REF!</v>
      </c>
      <c r="N88" s="244"/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44"/>
      <c r="AG88" s="244"/>
    </row>
    <row r="89" spans="1:33" ht="15.75" customHeight="1" x14ac:dyDescent="0.25">
      <c r="A89" s="244"/>
      <c r="B89" s="331"/>
      <c r="C89" s="339"/>
      <c r="D89" s="467"/>
      <c r="E89" s="313"/>
      <c r="F89" s="313"/>
      <c r="G89" s="313"/>
      <c r="H89" s="313"/>
      <c r="I89" s="271"/>
      <c r="J89" s="467"/>
      <c r="K89" s="313"/>
      <c r="L89" s="313"/>
      <c r="M89" s="271"/>
      <c r="N89" s="244"/>
      <c r="O89" s="24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  <c r="AD89" s="244"/>
      <c r="AE89" s="244"/>
      <c r="AF89" s="244"/>
      <c r="AG89" s="244"/>
    </row>
    <row r="90" spans="1:33" ht="15.75" customHeight="1" x14ac:dyDescent="0.25">
      <c r="A90" s="244"/>
      <c r="B90" s="346"/>
      <c r="C90" s="404"/>
      <c r="D90" s="468"/>
      <c r="E90" s="316"/>
      <c r="F90" s="316"/>
      <c r="G90" s="316"/>
      <c r="H90" s="316"/>
      <c r="I90" s="318"/>
      <c r="J90" s="468"/>
      <c r="K90" s="313"/>
      <c r="L90" s="313"/>
      <c r="M90" s="271"/>
      <c r="N90" s="244"/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  <c r="AD90" s="244"/>
      <c r="AE90" s="244"/>
      <c r="AF90" s="244"/>
      <c r="AG90" s="244"/>
    </row>
    <row r="91" spans="1:33" ht="15.75" customHeight="1" x14ac:dyDescent="0.25">
      <c r="A91" s="244"/>
      <c r="B91" s="279"/>
      <c r="C91" s="503" t="s">
        <v>219</v>
      </c>
      <c r="D91" s="489">
        <f>SUM(D92:D95)</f>
        <v>1695349.3333333333</v>
      </c>
      <c r="E91" s="490">
        <f>D91/D$29</f>
        <v>0.13193174181621919</v>
      </c>
      <c r="F91" s="489">
        <f>SUM(F92:F95)</f>
        <v>1314963</v>
      </c>
      <c r="G91" s="490" t="e">
        <f>F91/F$29</f>
        <v>#DIV/0!</v>
      </c>
      <c r="H91" s="502">
        <f>SUM(H92:H95)</f>
        <v>1695349.3333333333</v>
      </c>
      <c r="I91" s="504"/>
      <c r="J91" s="489">
        <f>SUM(J92:J95)</f>
        <v>1784689</v>
      </c>
      <c r="K91" s="505">
        <f t="shared" ref="K91:K95" si="33">J91/J$29</f>
        <v>0.14354595026926995</v>
      </c>
      <c r="L91" s="448">
        <f>SUM(L92:L95)</f>
        <v>0</v>
      </c>
      <c r="M91" s="495" t="e">
        <f t="shared" ref="M91:M95" si="34">L91/L$29</f>
        <v>#DIV/0!</v>
      </c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  <c r="AA91" s="246"/>
      <c r="AB91" s="246"/>
      <c r="AC91" s="246"/>
      <c r="AD91" s="246"/>
      <c r="AE91" s="246"/>
      <c r="AF91" s="246"/>
      <c r="AG91" s="246"/>
    </row>
    <row r="92" spans="1:33" ht="15.75" customHeight="1" x14ac:dyDescent="0.25">
      <c r="A92" s="244"/>
      <c r="B92" s="371"/>
      <c r="C92" s="393" t="s">
        <v>220</v>
      </c>
      <c r="D92" s="466">
        <v>1314963</v>
      </c>
      <c r="E92" s="466">
        <v>1314963</v>
      </c>
      <c r="F92" s="466">
        <v>1314963</v>
      </c>
      <c r="G92" s="466">
        <v>1314963</v>
      </c>
      <c r="H92" s="466">
        <v>1314963</v>
      </c>
      <c r="I92" s="466">
        <v>1314963</v>
      </c>
      <c r="J92" s="506">
        <v>1333713</v>
      </c>
      <c r="K92" s="332">
        <f t="shared" si="33"/>
        <v>0.10727308790017692</v>
      </c>
      <c r="L92" s="415"/>
      <c r="M92" s="336" t="e">
        <f t="shared" si="34"/>
        <v>#DIV/0!</v>
      </c>
      <c r="N92" s="244"/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244"/>
      <c r="AE92" s="244"/>
      <c r="AF92" s="244"/>
      <c r="AG92" s="244"/>
    </row>
    <row r="93" spans="1:33" ht="15.75" customHeight="1" x14ac:dyDescent="0.25">
      <c r="A93" s="244"/>
      <c r="B93" s="331"/>
      <c r="C93" s="339" t="s">
        <v>221</v>
      </c>
      <c r="D93" s="467">
        <v>353670</v>
      </c>
      <c r="E93" s="332">
        <f t="shared" ref="E93:E95" si="35">D93/D$29</f>
        <v>2.7522527782755241E-2</v>
      </c>
      <c r="F93" s="415"/>
      <c r="G93" s="332" t="e">
        <f t="shared" ref="G93:G95" si="36">F93/F$29</f>
        <v>#DIV/0!</v>
      </c>
      <c r="H93" s="415">
        <f t="shared" ref="H93:H95" si="37">D93-F93</f>
        <v>353670</v>
      </c>
      <c r="I93" s="336" t="e">
        <f t="shared" ref="I93:I95" si="38">H93/F93</f>
        <v>#DIV/0!</v>
      </c>
      <c r="J93" s="467">
        <v>422798</v>
      </c>
      <c r="K93" s="332">
        <f t="shared" si="33"/>
        <v>3.4006451926328229E-2</v>
      </c>
      <c r="L93" s="415"/>
      <c r="M93" s="336" t="e">
        <f t="shared" si="34"/>
        <v>#DIV/0!</v>
      </c>
      <c r="N93" s="244"/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  <c r="AD93" s="244"/>
      <c r="AE93" s="244"/>
      <c r="AF93" s="244"/>
      <c r="AG93" s="244"/>
    </row>
    <row r="94" spans="1:33" ht="15.75" customHeight="1" x14ac:dyDescent="0.25">
      <c r="A94" s="244"/>
      <c r="B94" s="331"/>
      <c r="C94" s="339" t="s">
        <v>222</v>
      </c>
      <c r="D94" s="467">
        <v>24580</v>
      </c>
      <c r="E94" s="332">
        <f t="shared" si="35"/>
        <v>1.9128106226146515E-3</v>
      </c>
      <c r="F94" s="415"/>
      <c r="G94" s="332" t="e">
        <f t="shared" si="36"/>
        <v>#DIV/0!</v>
      </c>
      <c r="H94" s="415">
        <f t="shared" si="37"/>
        <v>24580</v>
      </c>
      <c r="I94" s="336" t="e">
        <f t="shared" si="38"/>
        <v>#DIV/0!</v>
      </c>
      <c r="J94" s="467">
        <v>25080</v>
      </c>
      <c r="K94" s="332">
        <f t="shared" si="33"/>
        <v>2.0172323764831241E-3</v>
      </c>
      <c r="L94" s="415"/>
      <c r="M94" s="336" t="e">
        <f t="shared" si="34"/>
        <v>#DIV/0!</v>
      </c>
      <c r="N94" s="244"/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</row>
    <row r="95" spans="1:33" ht="15.75" customHeight="1" x14ac:dyDescent="0.25">
      <c r="A95" s="244"/>
      <c r="B95" s="331"/>
      <c r="C95" s="339" t="s">
        <v>223</v>
      </c>
      <c r="D95" s="467">
        <v>2136.333333333333</v>
      </c>
      <c r="E95" s="332">
        <f t="shared" si="35"/>
        <v>1.6624902739811905E-4</v>
      </c>
      <c r="F95" s="313"/>
      <c r="G95" s="332" t="e">
        <f t="shared" si="36"/>
        <v>#DIV/0!</v>
      </c>
      <c r="H95" s="415">
        <f t="shared" si="37"/>
        <v>2136.333333333333</v>
      </c>
      <c r="I95" s="336" t="e">
        <f t="shared" si="38"/>
        <v>#DIV/0!</v>
      </c>
      <c r="J95" s="467">
        <v>3098</v>
      </c>
      <c r="K95" s="332">
        <f t="shared" si="33"/>
        <v>2.4917806628168735E-4</v>
      </c>
      <c r="L95" s="313"/>
      <c r="M95" s="336" t="e">
        <f t="shared" si="34"/>
        <v>#DIV/0!</v>
      </c>
      <c r="N95" s="244"/>
      <c r="O95" s="244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  <c r="AD95" s="244"/>
      <c r="AE95" s="244"/>
      <c r="AF95" s="244"/>
      <c r="AG95" s="244"/>
    </row>
    <row r="96" spans="1:33" ht="15.75" customHeight="1" x14ac:dyDescent="0.25">
      <c r="A96" s="244"/>
      <c r="B96" s="346"/>
      <c r="C96" s="500"/>
      <c r="D96" s="468"/>
      <c r="E96" s="316"/>
      <c r="F96" s="316"/>
      <c r="G96" s="316"/>
      <c r="H96" s="316"/>
      <c r="I96" s="318"/>
      <c r="J96" s="468"/>
      <c r="K96" s="313"/>
      <c r="L96" s="313"/>
      <c r="M96" s="271"/>
      <c r="N96" s="244"/>
      <c r="O96" s="244"/>
      <c r="P96" s="244"/>
      <c r="Q96" s="244"/>
      <c r="R96" s="244"/>
      <c r="S96" s="244"/>
      <c r="T96" s="244"/>
      <c r="U96" s="244"/>
      <c r="V96" s="244"/>
      <c r="W96" s="244"/>
      <c r="X96" s="244"/>
      <c r="Y96" s="244"/>
      <c r="Z96" s="244"/>
      <c r="AA96" s="244"/>
      <c r="AB96" s="244"/>
      <c r="AC96" s="244"/>
      <c r="AD96" s="244"/>
      <c r="AE96" s="244"/>
      <c r="AF96" s="244"/>
      <c r="AG96" s="244"/>
    </row>
    <row r="97" spans="1:33" ht="15.75" customHeight="1" x14ac:dyDescent="0.25">
      <c r="A97" s="244"/>
      <c r="B97" s="279"/>
      <c r="C97" s="503" t="s">
        <v>37</v>
      </c>
      <c r="D97" s="489">
        <f>SUM(D98:D105)</f>
        <v>3187826.7666666666</v>
      </c>
      <c r="E97" s="490">
        <f t="shared" ref="E97:E105" si="39">D97/D$29</f>
        <v>0.24807603345546453</v>
      </c>
      <c r="F97" s="489">
        <f>SUM(F98:F105)</f>
        <v>0</v>
      </c>
      <c r="G97" s="490" t="e">
        <f t="shared" ref="G97:G105" si="40">F97/F$29</f>
        <v>#DIV/0!</v>
      </c>
      <c r="H97" s="502">
        <f>SUM(H98:H104)</f>
        <v>3187826.7666666666</v>
      </c>
      <c r="I97" s="504"/>
      <c r="J97" s="489">
        <f>SUM(J98:J105)</f>
        <v>3234308.2666666666</v>
      </c>
      <c r="K97" s="505">
        <f t="shared" ref="K97:K105" si="41">J97/J$29</f>
        <v>0.26014160091893995</v>
      </c>
      <c r="L97" s="448">
        <f>SUM(L98:L105)</f>
        <v>0</v>
      </c>
      <c r="M97" s="495" t="e">
        <f t="shared" ref="M97:M105" si="42">L97/L$29</f>
        <v>#DIV/0!</v>
      </c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  <c r="AF97" s="246"/>
      <c r="AG97" s="246"/>
    </row>
    <row r="98" spans="1:33" ht="15.75" customHeight="1" x14ac:dyDescent="0.25">
      <c r="A98" s="244"/>
      <c r="B98" s="371"/>
      <c r="C98" s="393" t="s">
        <v>224</v>
      </c>
      <c r="D98" s="499">
        <v>0</v>
      </c>
      <c r="E98" s="326">
        <f t="shared" si="39"/>
        <v>0</v>
      </c>
      <c r="F98" s="412"/>
      <c r="G98" s="326" t="e">
        <f t="shared" si="40"/>
        <v>#DIV/0!</v>
      </c>
      <c r="H98" s="412">
        <f t="shared" ref="H98:H104" si="43">D98-F98</f>
        <v>0</v>
      </c>
      <c r="I98" s="330"/>
      <c r="J98" s="507">
        <v>0</v>
      </c>
      <c r="K98" s="332">
        <f t="shared" si="41"/>
        <v>0</v>
      </c>
      <c r="L98" s="415"/>
      <c r="M98" s="336" t="e">
        <f t="shared" si="42"/>
        <v>#DIV/0!</v>
      </c>
      <c r="N98" s="244"/>
      <c r="O98" s="244"/>
      <c r="P98" s="244"/>
      <c r="Q98" s="244"/>
      <c r="R98" s="244"/>
      <c r="S98" s="244"/>
      <c r="T98" s="244"/>
      <c r="U98" s="244"/>
      <c r="V98" s="244"/>
      <c r="W98" s="244"/>
      <c r="X98" s="244"/>
      <c r="Y98" s="244"/>
      <c r="Z98" s="244"/>
      <c r="AA98" s="244"/>
      <c r="AB98" s="244"/>
      <c r="AC98" s="244"/>
      <c r="AD98" s="244"/>
      <c r="AE98" s="244"/>
      <c r="AF98" s="244"/>
      <c r="AG98" s="244"/>
    </row>
    <row r="99" spans="1:33" ht="15.75" customHeight="1" x14ac:dyDescent="0.25">
      <c r="A99" s="244"/>
      <c r="B99" s="331"/>
      <c r="C99" s="339" t="s">
        <v>225</v>
      </c>
      <c r="D99" s="467">
        <v>3083552.1666666665</v>
      </c>
      <c r="E99" s="332">
        <f t="shared" si="39"/>
        <v>0.23996140519879675</v>
      </c>
      <c r="F99" s="415"/>
      <c r="G99" s="332" t="e">
        <f t="shared" si="40"/>
        <v>#DIV/0!</v>
      </c>
      <c r="H99" s="415">
        <f t="shared" si="43"/>
        <v>3083552.1666666665</v>
      </c>
      <c r="I99" s="336" t="e">
        <f>H99/F99</f>
        <v>#DIV/0!</v>
      </c>
      <c r="J99" s="416">
        <v>3115370.4166666665</v>
      </c>
      <c r="K99" s="335">
        <f t="shared" si="41"/>
        <v>0.25057520212271611</v>
      </c>
      <c r="L99" s="415"/>
      <c r="M99" s="336" t="e">
        <f t="shared" si="42"/>
        <v>#DIV/0!</v>
      </c>
      <c r="N99" s="244"/>
      <c r="O99" s="244"/>
      <c r="P99" s="244"/>
      <c r="Q99" s="244"/>
      <c r="R99" s="244"/>
      <c r="S99" s="244"/>
      <c r="T99" s="244"/>
      <c r="U99" s="244"/>
      <c r="V99" s="244"/>
      <c r="W99" s="244"/>
      <c r="X99" s="244"/>
      <c r="Y99" s="244"/>
      <c r="Z99" s="244"/>
      <c r="AA99" s="244"/>
      <c r="AB99" s="244"/>
      <c r="AC99" s="244"/>
      <c r="AD99" s="244"/>
      <c r="AE99" s="244"/>
      <c r="AF99" s="244"/>
      <c r="AG99" s="244"/>
    </row>
    <row r="100" spans="1:33" ht="15.75" customHeight="1" x14ac:dyDescent="0.25">
      <c r="A100" s="244"/>
      <c r="B100" s="331"/>
      <c r="C100" s="339" t="s">
        <v>226</v>
      </c>
      <c r="D100" s="467">
        <v>3628</v>
      </c>
      <c r="E100" s="332">
        <f t="shared" si="39"/>
        <v>2.8233022533954256E-4</v>
      </c>
      <c r="F100" s="415"/>
      <c r="G100" s="332" t="e">
        <f t="shared" si="40"/>
        <v>#DIV/0!</v>
      </c>
      <c r="H100" s="415">
        <f t="shared" si="43"/>
        <v>3628</v>
      </c>
      <c r="I100" s="336"/>
      <c r="J100" s="252">
        <v>0</v>
      </c>
      <c r="K100" s="332">
        <f t="shared" si="41"/>
        <v>0</v>
      </c>
      <c r="L100" s="415"/>
      <c r="M100" s="336" t="e">
        <f t="shared" si="42"/>
        <v>#DIV/0!</v>
      </c>
      <c r="N100" s="244"/>
      <c r="O100" s="244"/>
      <c r="P100" s="244"/>
      <c r="Q100" s="244"/>
      <c r="R100" s="244"/>
      <c r="S100" s="244"/>
      <c r="T100" s="244"/>
      <c r="U100" s="244"/>
      <c r="V100" s="244"/>
      <c r="W100" s="244"/>
      <c r="X100" s="244"/>
      <c r="Y100" s="244"/>
      <c r="Z100" s="244"/>
      <c r="AA100" s="244"/>
      <c r="AB100" s="244"/>
      <c r="AC100" s="244"/>
      <c r="AD100" s="244"/>
      <c r="AE100" s="244"/>
      <c r="AF100" s="244"/>
      <c r="AG100" s="244"/>
    </row>
    <row r="101" spans="1:33" ht="15.75" customHeight="1" x14ac:dyDescent="0.25">
      <c r="A101" s="244"/>
      <c r="B101" s="331"/>
      <c r="C101" s="339" t="s">
        <v>228</v>
      </c>
      <c r="D101" s="467">
        <v>95740.599999999991</v>
      </c>
      <c r="E101" s="332">
        <f t="shared" si="39"/>
        <v>7.4505141047803208E-3</v>
      </c>
      <c r="F101" s="415"/>
      <c r="G101" s="332" t="e">
        <f t="shared" si="40"/>
        <v>#DIV/0!</v>
      </c>
      <c r="H101" s="415">
        <f t="shared" si="43"/>
        <v>95740.599999999991</v>
      </c>
      <c r="I101" s="336" t="e">
        <f>H101/F101</f>
        <v>#DIV/0!</v>
      </c>
      <c r="J101" s="416">
        <v>111656.85</v>
      </c>
      <c r="K101" s="335">
        <f t="shared" si="41"/>
        <v>8.980774038122797E-3</v>
      </c>
      <c r="L101" s="415"/>
      <c r="M101" s="336" t="e">
        <f t="shared" si="42"/>
        <v>#DIV/0!</v>
      </c>
      <c r="N101" s="244"/>
      <c r="O101" s="244"/>
      <c r="P101" s="244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  <c r="AA101" s="244"/>
      <c r="AB101" s="244"/>
      <c r="AC101" s="244"/>
      <c r="AD101" s="244"/>
      <c r="AE101" s="244"/>
      <c r="AF101" s="244"/>
      <c r="AG101" s="244"/>
    </row>
    <row r="102" spans="1:33" ht="15.75" customHeight="1" x14ac:dyDescent="0.25">
      <c r="A102" s="244"/>
      <c r="B102" s="331"/>
      <c r="C102" s="339" t="s">
        <v>229</v>
      </c>
      <c r="D102" s="496">
        <v>0</v>
      </c>
      <c r="E102" s="332">
        <f t="shared" si="39"/>
        <v>0</v>
      </c>
      <c r="F102" s="415"/>
      <c r="G102" s="332" t="e">
        <f t="shared" si="40"/>
        <v>#DIV/0!</v>
      </c>
      <c r="H102" s="415">
        <f t="shared" si="43"/>
        <v>0</v>
      </c>
      <c r="I102" s="336"/>
      <c r="J102" s="499">
        <v>0</v>
      </c>
      <c r="K102" s="332">
        <f t="shared" si="41"/>
        <v>0</v>
      </c>
      <c r="L102" s="415"/>
      <c r="M102" s="336" t="e">
        <f t="shared" si="42"/>
        <v>#DIV/0!</v>
      </c>
      <c r="N102" s="244"/>
      <c r="O102" s="244"/>
      <c r="P102" s="244"/>
      <c r="Q102" s="244"/>
      <c r="R102" s="244"/>
      <c r="S102" s="244"/>
      <c r="T102" s="244"/>
      <c r="U102" s="244"/>
      <c r="V102" s="244"/>
      <c r="W102" s="244"/>
      <c r="X102" s="244"/>
      <c r="Y102" s="244"/>
      <c r="Z102" s="244"/>
      <c r="AA102" s="244"/>
      <c r="AB102" s="244"/>
      <c r="AC102" s="244"/>
      <c r="AD102" s="244"/>
      <c r="AE102" s="244"/>
      <c r="AF102" s="244"/>
      <c r="AG102" s="244"/>
    </row>
    <row r="103" spans="1:33" ht="15.75" customHeight="1" x14ac:dyDescent="0.25">
      <c r="A103" s="244"/>
      <c r="B103" s="331"/>
      <c r="C103" s="339" t="s">
        <v>230</v>
      </c>
      <c r="D103" s="467">
        <v>4906</v>
      </c>
      <c r="E103" s="332">
        <f t="shared" si="39"/>
        <v>3.8178392654790401E-4</v>
      </c>
      <c r="F103" s="415"/>
      <c r="G103" s="332" t="e">
        <f t="shared" si="40"/>
        <v>#DIV/0!</v>
      </c>
      <c r="H103" s="415">
        <f t="shared" si="43"/>
        <v>4906</v>
      </c>
      <c r="I103" s="336"/>
      <c r="J103" s="467">
        <v>7281</v>
      </c>
      <c r="K103" s="332">
        <f t="shared" si="41"/>
        <v>5.8562475810102182E-4</v>
      </c>
      <c r="L103" s="415"/>
      <c r="M103" s="336" t="e">
        <f t="shared" si="42"/>
        <v>#DIV/0!</v>
      </c>
      <c r="N103" s="244"/>
      <c r="O103" s="244"/>
      <c r="P103" s="244"/>
      <c r="Q103" s="244"/>
      <c r="R103" s="244"/>
      <c r="S103" s="244"/>
      <c r="T103" s="244"/>
      <c r="U103" s="244"/>
      <c r="V103" s="244"/>
      <c r="W103" s="244"/>
      <c r="X103" s="244"/>
      <c r="Y103" s="244"/>
      <c r="Z103" s="244"/>
      <c r="AA103" s="244"/>
      <c r="AB103" s="244"/>
      <c r="AC103" s="244"/>
      <c r="AD103" s="244"/>
      <c r="AE103" s="244"/>
      <c r="AF103" s="244"/>
      <c r="AG103" s="244"/>
    </row>
    <row r="104" spans="1:33" ht="15.75" customHeight="1" x14ac:dyDescent="0.25">
      <c r="A104" s="244"/>
      <c r="B104" s="331"/>
      <c r="C104" s="339" t="s">
        <v>231</v>
      </c>
      <c r="D104" s="496">
        <v>0</v>
      </c>
      <c r="E104" s="332">
        <f t="shared" si="39"/>
        <v>0</v>
      </c>
      <c r="F104" s="313"/>
      <c r="G104" s="332" t="e">
        <f t="shared" si="40"/>
        <v>#DIV/0!</v>
      </c>
      <c r="H104" s="415">
        <f t="shared" si="43"/>
        <v>0</v>
      </c>
      <c r="I104" s="336"/>
      <c r="J104" s="496">
        <v>0</v>
      </c>
      <c r="K104" s="332">
        <f t="shared" si="41"/>
        <v>0</v>
      </c>
      <c r="L104" s="313"/>
      <c r="M104" s="336" t="e">
        <f t="shared" si="42"/>
        <v>#DIV/0!</v>
      </c>
      <c r="N104" s="244"/>
      <c r="O104" s="244"/>
      <c r="P104" s="244"/>
      <c r="Q104" s="244"/>
      <c r="R104" s="244"/>
      <c r="S104" s="244"/>
      <c r="T104" s="244"/>
      <c r="U104" s="244"/>
      <c r="V104" s="244"/>
      <c r="W104" s="244"/>
      <c r="X104" s="244"/>
      <c r="Y104" s="244"/>
      <c r="Z104" s="244"/>
      <c r="AA104" s="244"/>
      <c r="AB104" s="244"/>
      <c r="AC104" s="244"/>
      <c r="AD104" s="244"/>
      <c r="AE104" s="244"/>
      <c r="AF104" s="244"/>
      <c r="AG104" s="244"/>
    </row>
    <row r="105" spans="1:33" ht="15.75" customHeight="1" x14ac:dyDescent="0.25">
      <c r="A105" s="244"/>
      <c r="B105" s="331"/>
      <c r="C105" s="488" t="s">
        <v>232</v>
      </c>
      <c r="D105" s="496">
        <v>0</v>
      </c>
      <c r="E105" s="332">
        <f t="shared" si="39"/>
        <v>0</v>
      </c>
      <c r="F105" s="415"/>
      <c r="G105" s="332" t="e">
        <f t="shared" si="40"/>
        <v>#DIV/0!</v>
      </c>
      <c r="H105" s="313"/>
      <c r="I105" s="271"/>
      <c r="J105" s="496">
        <v>0</v>
      </c>
      <c r="K105" s="332">
        <f t="shared" si="41"/>
        <v>0</v>
      </c>
      <c r="L105" s="415"/>
      <c r="M105" s="336" t="e">
        <f t="shared" si="42"/>
        <v>#DIV/0!</v>
      </c>
      <c r="N105" s="244"/>
      <c r="O105" s="244"/>
      <c r="P105" s="244"/>
      <c r="Q105" s="244"/>
      <c r="R105" s="244"/>
      <c r="S105" s="244"/>
      <c r="T105" s="244"/>
      <c r="U105" s="244"/>
      <c r="V105" s="244"/>
      <c r="W105" s="244"/>
      <c r="X105" s="244"/>
      <c r="Y105" s="244"/>
      <c r="Z105" s="244"/>
      <c r="AA105" s="244"/>
      <c r="AB105" s="244"/>
      <c r="AC105" s="244"/>
      <c r="AD105" s="244"/>
      <c r="AE105" s="244"/>
      <c r="AF105" s="244"/>
      <c r="AG105" s="244"/>
    </row>
    <row r="106" spans="1:33" ht="15.75" customHeight="1" x14ac:dyDescent="0.25">
      <c r="A106" s="244"/>
      <c r="B106" s="346"/>
      <c r="C106" s="500"/>
      <c r="D106" s="468"/>
      <c r="E106" s="316"/>
      <c r="F106" s="316"/>
      <c r="G106" s="316"/>
      <c r="H106" s="316"/>
      <c r="I106" s="318"/>
      <c r="J106" s="468"/>
      <c r="K106" s="313"/>
      <c r="L106" s="313"/>
      <c r="M106" s="271"/>
      <c r="N106" s="244"/>
      <c r="O106" s="244"/>
      <c r="P106" s="244"/>
      <c r="Q106" s="244"/>
      <c r="R106" s="244"/>
      <c r="S106" s="244"/>
      <c r="T106" s="244"/>
      <c r="U106" s="244"/>
      <c r="V106" s="244"/>
      <c r="W106" s="244"/>
      <c r="X106" s="244"/>
      <c r="Y106" s="244"/>
      <c r="Z106" s="244"/>
      <c r="AA106" s="244"/>
      <c r="AB106" s="244"/>
      <c r="AC106" s="244"/>
      <c r="AD106" s="244"/>
      <c r="AE106" s="244"/>
      <c r="AF106" s="244"/>
      <c r="AG106" s="244"/>
    </row>
    <row r="107" spans="1:33" ht="15.75" customHeight="1" x14ac:dyDescent="0.25">
      <c r="A107" s="244"/>
      <c r="B107" s="279"/>
      <c r="C107" s="503" t="s">
        <v>38</v>
      </c>
      <c r="D107" s="489">
        <f>SUM(D108)</f>
        <v>24118.899999999998</v>
      </c>
      <c r="E107" s="490">
        <f t="shared" ref="E107:E108" si="44">D107/D$29</f>
        <v>1.8769279139861884E-3</v>
      </c>
      <c r="F107" s="489">
        <f>SUM(F108)</f>
        <v>0</v>
      </c>
      <c r="G107" s="490" t="e">
        <f>F107/F$29</f>
        <v>#DIV/0!</v>
      </c>
      <c r="H107" s="502">
        <f>SUM(H108)</f>
        <v>24118.899999999998</v>
      </c>
      <c r="I107" s="504"/>
      <c r="J107" s="489">
        <f>SUM(J108)</f>
        <v>22441.599999999999</v>
      </c>
      <c r="K107" s="505">
        <f t="shared" ref="K107:K108" si="45">J107/J$29</f>
        <v>1.8050208173877064E-3</v>
      </c>
      <c r="L107" s="448">
        <f>SUM(L108)</f>
        <v>0</v>
      </c>
      <c r="M107" s="495" t="e">
        <f>L107/L$29</f>
        <v>#DIV/0!</v>
      </c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6"/>
      <c r="AG107" s="246"/>
    </row>
    <row r="108" spans="1:33" ht="15.75" customHeight="1" x14ac:dyDescent="0.25">
      <c r="A108" s="244"/>
      <c r="B108" s="371"/>
      <c r="C108" s="393" t="s">
        <v>276</v>
      </c>
      <c r="D108" s="466">
        <v>24118.899999999998</v>
      </c>
      <c r="E108" s="326">
        <f t="shared" si="44"/>
        <v>1.8769279139861884E-3</v>
      </c>
      <c r="F108" s="412"/>
      <c r="G108" s="326">
        <v>1.6E-2</v>
      </c>
      <c r="H108" s="412">
        <f>D108-F108</f>
        <v>24118.899999999998</v>
      </c>
      <c r="I108" s="330" t="e">
        <f>H108/F108</f>
        <v>#DIV/0!</v>
      </c>
      <c r="J108" s="466">
        <v>22441.599999999999</v>
      </c>
      <c r="K108" s="332">
        <f t="shared" si="45"/>
        <v>1.8050208173877064E-3</v>
      </c>
      <c r="L108" s="415"/>
      <c r="M108" s="336">
        <v>1.6E-2</v>
      </c>
      <c r="N108" s="244"/>
      <c r="O108" s="244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  <c r="AD108" s="244"/>
      <c r="AE108" s="244"/>
      <c r="AF108" s="244"/>
      <c r="AG108" s="244"/>
    </row>
    <row r="109" spans="1:33" ht="15.75" customHeight="1" x14ac:dyDescent="0.25">
      <c r="A109" s="244"/>
      <c r="B109" s="346"/>
      <c r="C109" s="404"/>
      <c r="D109" s="468"/>
      <c r="E109" s="316"/>
      <c r="F109" s="316"/>
      <c r="G109" s="316"/>
      <c r="H109" s="316"/>
      <c r="I109" s="318"/>
      <c r="J109" s="468"/>
      <c r="K109" s="313"/>
      <c r="L109" s="313"/>
      <c r="M109" s="271"/>
      <c r="N109" s="244"/>
      <c r="O109" s="244"/>
      <c r="P109" s="244"/>
      <c r="Q109" s="244"/>
      <c r="R109" s="244"/>
      <c r="S109" s="244"/>
      <c r="T109" s="244"/>
      <c r="U109" s="244"/>
      <c r="V109" s="244"/>
      <c r="W109" s="244"/>
      <c r="X109" s="244"/>
      <c r="Y109" s="244"/>
      <c r="Z109" s="244"/>
      <c r="AA109" s="244"/>
      <c r="AB109" s="244"/>
      <c r="AC109" s="244"/>
      <c r="AD109" s="244"/>
      <c r="AE109" s="244"/>
      <c r="AF109" s="244"/>
      <c r="AG109" s="244"/>
    </row>
    <row r="110" spans="1:33" ht="15.75" customHeight="1" x14ac:dyDescent="0.25">
      <c r="A110" s="244"/>
      <c r="B110" s="279"/>
      <c r="C110" s="503" t="s">
        <v>238</v>
      </c>
      <c r="D110" s="489">
        <f>SUM(D111:D112)</f>
        <v>63685.333333333336</v>
      </c>
      <c r="E110" s="489">
        <f t="shared" ref="E110:E111" si="46">D110/D$29</f>
        <v>4.9559797438875081E-3</v>
      </c>
      <c r="F110" s="489"/>
      <c r="G110" s="489" t="e">
        <f>F110/F$29</f>
        <v>#DIV/0!</v>
      </c>
      <c r="H110" s="489">
        <f>SUM(H111:H112)</f>
        <v>63685.333333333336</v>
      </c>
      <c r="I110" s="489"/>
      <c r="J110" s="489">
        <f>SUM(J111:J112)</f>
        <v>63685.333333333336</v>
      </c>
      <c r="K110" s="505">
        <f t="shared" ref="K110:K112" si="47">J110/J$29</f>
        <v>5.1223331860893112E-3</v>
      </c>
      <c r="L110" s="448"/>
      <c r="M110" s="495" t="e">
        <f>L110/L$29</f>
        <v>#DIV/0!</v>
      </c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  <c r="AF110" s="246"/>
      <c r="AG110" s="246"/>
    </row>
    <row r="111" spans="1:33" ht="15.75" customHeight="1" x14ac:dyDescent="0.25">
      <c r="A111" s="244"/>
      <c r="B111" s="371"/>
      <c r="C111" s="393" t="s">
        <v>239</v>
      </c>
      <c r="D111" s="466">
        <v>0</v>
      </c>
      <c r="E111" s="466">
        <f t="shared" si="46"/>
        <v>0</v>
      </c>
      <c r="F111" s="466"/>
      <c r="G111" s="466"/>
      <c r="H111" s="466">
        <f>D111-F111</f>
        <v>0</v>
      </c>
      <c r="I111" s="466" t="e">
        <f>H111/F111</f>
        <v>#DIV/0!</v>
      </c>
      <c r="J111" s="466">
        <v>0</v>
      </c>
      <c r="K111" s="332">
        <f t="shared" si="47"/>
        <v>0</v>
      </c>
      <c r="L111" s="313"/>
      <c r="M111" s="271"/>
      <c r="N111" s="244"/>
      <c r="O111" s="244"/>
      <c r="P111" s="244"/>
      <c r="Q111" s="244"/>
      <c r="R111" s="244"/>
      <c r="S111" s="244"/>
      <c r="T111" s="244"/>
      <c r="U111" s="244"/>
      <c r="V111" s="244"/>
      <c r="W111" s="244"/>
      <c r="X111" s="244"/>
      <c r="Y111" s="244"/>
      <c r="Z111" s="244"/>
      <c r="AA111" s="244"/>
      <c r="AB111" s="244"/>
      <c r="AC111" s="244"/>
      <c r="AD111" s="244"/>
      <c r="AE111" s="244"/>
      <c r="AF111" s="244"/>
      <c r="AG111" s="244"/>
    </row>
    <row r="112" spans="1:33" ht="15.75" customHeight="1" x14ac:dyDescent="0.25">
      <c r="A112" s="244"/>
      <c r="B112" s="331"/>
      <c r="C112" s="339" t="s">
        <v>301</v>
      </c>
      <c r="D112" s="467">
        <v>63685.333333333336</v>
      </c>
      <c r="E112" s="467">
        <v>63685.333333333336</v>
      </c>
      <c r="F112" s="467">
        <v>63685.333333333336</v>
      </c>
      <c r="G112" s="467">
        <v>63685.333333333336</v>
      </c>
      <c r="H112" s="467">
        <v>63685.333333333336</v>
      </c>
      <c r="I112" s="467">
        <v>63685.333333333336</v>
      </c>
      <c r="J112" s="467">
        <v>63685.333333333336</v>
      </c>
      <c r="K112" s="332">
        <f t="shared" si="47"/>
        <v>5.1223331860893112E-3</v>
      </c>
      <c r="L112" s="508"/>
      <c r="M112" s="336" t="e">
        <f>L112/L$29</f>
        <v>#DIV/0!</v>
      </c>
      <c r="N112" s="244"/>
      <c r="O112" s="244"/>
      <c r="P112" s="244"/>
      <c r="Q112" s="244"/>
      <c r="R112" s="244"/>
      <c r="S112" s="244"/>
      <c r="T112" s="244"/>
      <c r="U112" s="244"/>
      <c r="V112" s="244"/>
      <c r="W112" s="244"/>
      <c r="X112" s="244"/>
      <c r="Y112" s="244"/>
      <c r="Z112" s="244"/>
      <c r="AA112" s="244"/>
      <c r="AB112" s="244"/>
      <c r="AC112" s="244"/>
      <c r="AD112" s="244"/>
      <c r="AE112" s="244"/>
      <c r="AF112" s="244"/>
      <c r="AG112" s="244"/>
    </row>
    <row r="113" spans="1:33" ht="15.75" customHeight="1" x14ac:dyDescent="0.25">
      <c r="A113" s="244"/>
      <c r="B113" s="346"/>
      <c r="C113" s="404"/>
      <c r="D113" s="468"/>
      <c r="E113" s="468"/>
      <c r="F113" s="468"/>
      <c r="G113" s="468"/>
      <c r="H113" s="468"/>
      <c r="I113" s="468"/>
      <c r="J113" s="468"/>
      <c r="K113" s="313"/>
      <c r="L113" s="313"/>
      <c r="M113" s="271"/>
      <c r="N113" s="244"/>
      <c r="O113" s="244"/>
      <c r="P113" s="244"/>
      <c r="Q113" s="244"/>
      <c r="R113" s="244"/>
      <c r="S113" s="244"/>
      <c r="T113" s="244"/>
      <c r="U113" s="244"/>
      <c r="V113" s="244"/>
      <c r="W113" s="244"/>
      <c r="X113" s="244"/>
      <c r="Y113" s="244"/>
      <c r="Z113" s="244"/>
      <c r="AA113" s="244"/>
      <c r="AB113" s="244"/>
      <c r="AC113" s="244"/>
      <c r="AD113" s="244"/>
      <c r="AE113" s="244"/>
      <c r="AF113" s="244"/>
      <c r="AG113" s="244"/>
    </row>
    <row r="114" spans="1:33" ht="15.75" customHeight="1" x14ac:dyDescent="0.25">
      <c r="A114" s="244"/>
      <c r="B114" s="279"/>
      <c r="C114" s="503" t="s">
        <v>40</v>
      </c>
      <c r="D114" s="489">
        <f>SUM(D115:D128)</f>
        <v>667797.91666666663</v>
      </c>
      <c r="E114" s="489">
        <f t="shared" ref="E114:E116" si="48">D114/D$29</f>
        <v>5.1967898647678347E-2</v>
      </c>
      <c r="F114" s="489"/>
      <c r="G114" s="489" t="e">
        <f t="shared" ref="G114:G116" si="49">F114/F$29</f>
        <v>#DIV/0!</v>
      </c>
      <c r="H114" s="489">
        <f>SUM(H115:H127)</f>
        <v>616209</v>
      </c>
      <c r="I114" s="489"/>
      <c r="J114" s="489">
        <f>SUM(J115:J128)</f>
        <v>446614.75</v>
      </c>
      <c r="K114" s="505">
        <f t="shared" ref="K114:K128" si="50">J114/J$29</f>
        <v>3.5922078688792519E-2</v>
      </c>
      <c r="L114" s="448"/>
      <c r="M114" s="495" t="e">
        <f t="shared" ref="M114:M128" si="51">L114/L$29</f>
        <v>#DIV/0!</v>
      </c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  <c r="AA114" s="246"/>
      <c r="AB114" s="246"/>
      <c r="AC114" s="246"/>
      <c r="AD114" s="246"/>
      <c r="AE114" s="246"/>
      <c r="AF114" s="246"/>
      <c r="AG114" s="246"/>
    </row>
    <row r="115" spans="1:33" ht="15.75" customHeight="1" x14ac:dyDescent="0.25">
      <c r="A115" s="244"/>
      <c r="B115" s="371"/>
      <c r="C115" s="393" t="s">
        <v>241</v>
      </c>
      <c r="D115" s="466">
        <v>0</v>
      </c>
      <c r="E115" s="466">
        <f t="shared" si="48"/>
        <v>0</v>
      </c>
      <c r="F115" s="466"/>
      <c r="G115" s="466" t="e">
        <f t="shared" si="49"/>
        <v>#DIV/0!</v>
      </c>
      <c r="H115" s="466">
        <f t="shared" ref="H115:H116" si="52">D115-F115</f>
        <v>0</v>
      </c>
      <c r="I115" s="466" t="e">
        <f t="shared" ref="I115:I116" si="53">H115/F115</f>
        <v>#DIV/0!</v>
      </c>
      <c r="J115" s="466">
        <v>0</v>
      </c>
      <c r="K115" s="332">
        <f t="shared" si="50"/>
        <v>0</v>
      </c>
      <c r="L115" s="415"/>
      <c r="M115" s="336" t="e">
        <f t="shared" si="51"/>
        <v>#DIV/0!</v>
      </c>
      <c r="N115" s="244"/>
      <c r="O115" s="244"/>
      <c r="P115" s="244"/>
      <c r="Q115" s="244"/>
      <c r="R115" s="244"/>
      <c r="S115" s="244"/>
      <c r="T115" s="244"/>
      <c r="U115" s="244"/>
      <c r="V115" s="244"/>
      <c r="W115" s="244"/>
      <c r="X115" s="244"/>
      <c r="Y115" s="244"/>
      <c r="Z115" s="244"/>
      <c r="AA115" s="244"/>
      <c r="AB115" s="244"/>
      <c r="AC115" s="244"/>
      <c r="AD115" s="244"/>
      <c r="AE115" s="244"/>
      <c r="AF115" s="244"/>
      <c r="AG115" s="244"/>
    </row>
    <row r="116" spans="1:33" ht="15.75" customHeight="1" x14ac:dyDescent="0.25">
      <c r="A116" s="244"/>
      <c r="B116" s="331"/>
      <c r="C116" s="339" t="s">
        <v>242</v>
      </c>
      <c r="D116" s="467">
        <v>3423</v>
      </c>
      <c r="E116" s="467">
        <f t="shared" si="48"/>
        <v>2.6637716685150336E-4</v>
      </c>
      <c r="F116" s="467"/>
      <c r="G116" s="467" t="e">
        <f t="shared" si="49"/>
        <v>#DIV/0!</v>
      </c>
      <c r="H116" s="467">
        <f t="shared" si="52"/>
        <v>3423</v>
      </c>
      <c r="I116" s="467" t="e">
        <f t="shared" si="53"/>
        <v>#DIV/0!</v>
      </c>
      <c r="J116" s="467">
        <v>3654</v>
      </c>
      <c r="K116" s="332">
        <f t="shared" si="50"/>
        <v>2.9389820987517286E-4</v>
      </c>
      <c r="L116" s="415"/>
      <c r="M116" s="336" t="e">
        <f t="shared" si="51"/>
        <v>#DIV/0!</v>
      </c>
      <c r="N116" s="244"/>
      <c r="O116" s="244"/>
      <c r="P116" s="244"/>
      <c r="Q116" s="244"/>
      <c r="R116" s="244"/>
      <c r="S116" s="244"/>
      <c r="T116" s="244"/>
      <c r="U116" s="244"/>
      <c r="V116" s="244"/>
      <c r="W116" s="244"/>
      <c r="X116" s="244"/>
      <c r="Y116" s="244"/>
      <c r="Z116" s="244"/>
      <c r="AA116" s="244"/>
      <c r="AB116" s="244"/>
      <c r="AC116" s="244"/>
      <c r="AD116" s="244"/>
      <c r="AE116" s="244"/>
      <c r="AF116" s="244"/>
      <c r="AG116" s="244"/>
    </row>
    <row r="117" spans="1:33" ht="15.75" customHeight="1" x14ac:dyDescent="0.25">
      <c r="A117" s="244"/>
      <c r="B117" s="331"/>
      <c r="C117" s="339" t="s">
        <v>243</v>
      </c>
      <c r="D117" s="467">
        <v>95043.75</v>
      </c>
      <c r="E117" s="467">
        <v>95043.75</v>
      </c>
      <c r="F117" s="467">
        <v>95043.75</v>
      </c>
      <c r="G117" s="467">
        <v>95043.75</v>
      </c>
      <c r="H117" s="467">
        <v>95043.75</v>
      </c>
      <c r="I117" s="467">
        <v>95043.75</v>
      </c>
      <c r="J117" s="467">
        <v>95043.75</v>
      </c>
      <c r="K117" s="332">
        <f t="shared" si="50"/>
        <v>7.6445506252937777E-3</v>
      </c>
      <c r="L117" s="415"/>
      <c r="M117" s="336" t="e">
        <f t="shared" si="51"/>
        <v>#DIV/0!</v>
      </c>
      <c r="N117" s="244"/>
      <c r="O117" s="244"/>
      <c r="P117" s="244"/>
      <c r="Q117" s="244"/>
      <c r="R117" s="244"/>
      <c r="S117" s="244"/>
      <c r="T117" s="244"/>
      <c r="U117" s="244"/>
      <c r="V117" s="244"/>
      <c r="W117" s="244"/>
      <c r="X117" s="244"/>
      <c r="Y117" s="244"/>
      <c r="Z117" s="244"/>
      <c r="AA117" s="244"/>
      <c r="AB117" s="244"/>
      <c r="AC117" s="244"/>
      <c r="AD117" s="244"/>
      <c r="AE117" s="244"/>
      <c r="AF117" s="244"/>
      <c r="AG117" s="244"/>
    </row>
    <row r="118" spans="1:33" ht="15.75" customHeight="1" x14ac:dyDescent="0.25">
      <c r="A118" s="244"/>
      <c r="B118" s="331"/>
      <c r="C118" s="339" t="s">
        <v>302</v>
      </c>
      <c r="D118" s="467">
        <v>27333</v>
      </c>
      <c r="E118" s="467">
        <v>27333</v>
      </c>
      <c r="F118" s="467">
        <v>27333</v>
      </c>
      <c r="G118" s="467">
        <v>27333</v>
      </c>
      <c r="H118" s="467">
        <v>27333</v>
      </c>
      <c r="I118" s="467">
        <v>27333</v>
      </c>
      <c r="J118" s="467">
        <v>27333</v>
      </c>
      <c r="K118" s="332">
        <f t="shared" si="50"/>
        <v>2.198445476332266E-3</v>
      </c>
      <c r="L118" s="415"/>
      <c r="M118" s="336" t="e">
        <f t="shared" si="51"/>
        <v>#DIV/0!</v>
      </c>
      <c r="N118" s="244"/>
      <c r="O118" s="244"/>
      <c r="P118" s="244"/>
      <c r="Q118" s="244"/>
      <c r="R118" s="244"/>
      <c r="S118" s="244"/>
      <c r="T118" s="244"/>
      <c r="U118" s="244"/>
      <c r="V118" s="244"/>
      <c r="W118" s="244"/>
      <c r="X118" s="244"/>
      <c r="Y118" s="244"/>
      <c r="Z118" s="244"/>
      <c r="AA118" s="244"/>
      <c r="AB118" s="244"/>
      <c r="AC118" s="244"/>
      <c r="AD118" s="244"/>
      <c r="AE118" s="244"/>
      <c r="AF118" s="244"/>
      <c r="AG118" s="244"/>
    </row>
    <row r="119" spans="1:33" ht="15.75" customHeight="1" x14ac:dyDescent="0.25">
      <c r="A119" s="244"/>
      <c r="B119" s="331"/>
      <c r="C119" s="339" t="s">
        <v>290</v>
      </c>
      <c r="D119" s="467">
        <v>0</v>
      </c>
      <c r="E119" s="467">
        <f t="shared" ref="E119:E124" si="54">D119/D$29</f>
        <v>0</v>
      </c>
      <c r="F119" s="467"/>
      <c r="G119" s="467" t="e">
        <f t="shared" ref="G119:G124" si="55">F119/F$29</f>
        <v>#DIV/0!</v>
      </c>
      <c r="H119" s="467">
        <f t="shared" ref="H119:H120" si="56">D119-F119</f>
        <v>0</v>
      </c>
      <c r="I119" s="467" t="e">
        <f t="shared" ref="I119:I120" si="57">H119/F119</f>
        <v>#DIV/0!</v>
      </c>
      <c r="J119" s="467">
        <v>0</v>
      </c>
      <c r="K119" s="332">
        <f t="shared" si="50"/>
        <v>0</v>
      </c>
      <c r="L119" s="415"/>
      <c r="M119" s="336" t="e">
        <f t="shared" si="51"/>
        <v>#DIV/0!</v>
      </c>
      <c r="N119" s="244"/>
      <c r="O119" s="244"/>
      <c r="P119" s="244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  <c r="AA119" s="244"/>
      <c r="AB119" s="244"/>
      <c r="AC119" s="244"/>
      <c r="AD119" s="244"/>
      <c r="AE119" s="244"/>
      <c r="AF119" s="244"/>
      <c r="AG119" s="244"/>
    </row>
    <row r="120" spans="1:33" ht="15.75" customHeight="1" x14ac:dyDescent="0.25">
      <c r="A120" s="244"/>
      <c r="B120" s="331"/>
      <c r="C120" s="339" t="s">
        <v>247</v>
      </c>
      <c r="D120" s="467">
        <v>418149</v>
      </c>
      <c r="E120" s="467">
        <f t="shared" si="54"/>
        <v>3.2540270505927338E-2</v>
      </c>
      <c r="F120" s="467"/>
      <c r="G120" s="467" t="e">
        <f t="shared" si="55"/>
        <v>#DIV/0!</v>
      </c>
      <c r="H120" s="467">
        <f t="shared" si="56"/>
        <v>418149</v>
      </c>
      <c r="I120" s="467" t="e">
        <f t="shared" si="57"/>
        <v>#DIV/0!</v>
      </c>
      <c r="J120" s="467">
        <v>92452</v>
      </c>
      <c r="K120" s="332">
        <f t="shared" si="50"/>
        <v>7.4360912149369143E-3</v>
      </c>
      <c r="L120" s="415"/>
      <c r="M120" s="336" t="e">
        <f t="shared" si="51"/>
        <v>#DIV/0!</v>
      </c>
      <c r="N120" s="244"/>
      <c r="O120" s="244"/>
      <c r="P120" s="244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  <c r="AA120" s="244"/>
      <c r="AB120" s="244"/>
      <c r="AC120" s="244"/>
      <c r="AD120" s="244"/>
      <c r="AE120" s="244"/>
      <c r="AF120" s="244"/>
      <c r="AG120" s="244"/>
    </row>
    <row r="121" spans="1:33" ht="15.75" customHeight="1" x14ac:dyDescent="0.25">
      <c r="A121" s="244"/>
      <c r="B121" s="331"/>
      <c r="C121" s="339" t="s">
        <v>246</v>
      </c>
      <c r="D121" s="467">
        <v>30888.916666666664</v>
      </c>
      <c r="E121" s="467">
        <f t="shared" si="54"/>
        <v>2.4037692400756205E-3</v>
      </c>
      <c r="F121" s="467"/>
      <c r="G121" s="467" t="e">
        <f t="shared" si="55"/>
        <v>#DIV/0!</v>
      </c>
      <c r="H121" s="467"/>
      <c r="I121" s="467"/>
      <c r="J121" s="467">
        <v>8688</v>
      </c>
      <c r="K121" s="332">
        <f t="shared" si="50"/>
        <v>6.9879245960468032E-4</v>
      </c>
      <c r="L121" s="415"/>
      <c r="M121" s="336" t="e">
        <f t="shared" si="51"/>
        <v>#DIV/0!</v>
      </c>
      <c r="N121" s="244"/>
      <c r="O121" s="244"/>
      <c r="P121" s="244"/>
      <c r="Q121" s="244"/>
      <c r="R121" s="244"/>
      <c r="S121" s="244"/>
      <c r="T121" s="244"/>
      <c r="U121" s="244"/>
      <c r="V121" s="244"/>
      <c r="W121" s="244"/>
      <c r="X121" s="244"/>
      <c r="Y121" s="244"/>
      <c r="Z121" s="244"/>
      <c r="AA121" s="244"/>
      <c r="AB121" s="244"/>
      <c r="AC121" s="244"/>
      <c r="AD121" s="244"/>
      <c r="AE121" s="244"/>
      <c r="AF121" s="244"/>
      <c r="AG121" s="244"/>
    </row>
    <row r="122" spans="1:33" ht="15.75" customHeight="1" x14ac:dyDescent="0.25">
      <c r="A122" s="244"/>
      <c r="B122" s="331"/>
      <c r="C122" s="339" t="s">
        <v>249</v>
      </c>
      <c r="D122" s="467">
        <v>3315</v>
      </c>
      <c r="E122" s="467">
        <f t="shared" si="54"/>
        <v>2.5797262872121927E-4</v>
      </c>
      <c r="F122" s="467"/>
      <c r="G122" s="467" t="e">
        <f t="shared" si="55"/>
        <v>#DIV/0!</v>
      </c>
      <c r="H122" s="467">
        <f t="shared" ref="H122:H124" si="58">D122-F122</f>
        <v>3315</v>
      </c>
      <c r="I122" s="467" t="e">
        <f t="shared" ref="I122:I124" si="59">H122/F122</f>
        <v>#DIV/0!</v>
      </c>
      <c r="J122" s="467">
        <v>3315</v>
      </c>
      <c r="K122" s="332">
        <f t="shared" si="50"/>
        <v>2.6663179138921678E-4</v>
      </c>
      <c r="L122" s="415"/>
      <c r="M122" s="336" t="e">
        <f t="shared" si="51"/>
        <v>#DIV/0!</v>
      </c>
      <c r="N122" s="244"/>
      <c r="O122" s="244"/>
      <c r="P122" s="244"/>
      <c r="Q122" s="244"/>
      <c r="R122" s="244"/>
      <c r="S122" s="244"/>
      <c r="T122" s="244"/>
      <c r="U122" s="244"/>
      <c r="V122" s="244"/>
      <c r="W122" s="244"/>
      <c r="X122" s="244"/>
      <c r="Y122" s="244"/>
      <c r="Z122" s="244"/>
      <c r="AA122" s="244"/>
      <c r="AB122" s="244"/>
      <c r="AC122" s="244"/>
      <c r="AD122" s="244"/>
      <c r="AE122" s="244"/>
      <c r="AF122" s="244"/>
      <c r="AG122" s="244"/>
    </row>
    <row r="123" spans="1:33" ht="15.75" customHeight="1" x14ac:dyDescent="0.25">
      <c r="A123" s="244"/>
      <c r="B123" s="331"/>
      <c r="C123" s="339" t="s">
        <v>250</v>
      </c>
      <c r="D123" s="467">
        <v>28806</v>
      </c>
      <c r="E123" s="467">
        <f t="shared" si="54"/>
        <v>2.2416770868607669E-3</v>
      </c>
      <c r="F123" s="467"/>
      <c r="G123" s="467" t="e">
        <f t="shared" si="55"/>
        <v>#DIV/0!</v>
      </c>
      <c r="H123" s="467">
        <f t="shared" si="58"/>
        <v>28806</v>
      </c>
      <c r="I123" s="467" t="e">
        <f t="shared" si="59"/>
        <v>#DIV/0!</v>
      </c>
      <c r="J123" s="467">
        <v>29900</v>
      </c>
      <c r="K123" s="332">
        <f t="shared" si="50"/>
        <v>2.4049141968439159E-3</v>
      </c>
      <c r="L123" s="415"/>
      <c r="M123" s="336" t="e">
        <f t="shared" si="51"/>
        <v>#DIV/0!</v>
      </c>
      <c r="N123" s="244"/>
      <c r="O123" s="244"/>
      <c r="P123" s="244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  <c r="AA123" s="244"/>
      <c r="AB123" s="244"/>
      <c r="AC123" s="244"/>
      <c r="AD123" s="244"/>
      <c r="AE123" s="244"/>
      <c r="AF123" s="244"/>
      <c r="AG123" s="244"/>
    </row>
    <row r="124" spans="1:33" ht="15.75" customHeight="1" x14ac:dyDescent="0.25">
      <c r="A124" s="244"/>
      <c r="B124" s="331"/>
      <c r="C124" s="339" t="s">
        <v>251</v>
      </c>
      <c r="D124" s="467">
        <v>4009.25</v>
      </c>
      <c r="E124" s="467">
        <f t="shared" si="54"/>
        <v>3.1199902313742034E-4</v>
      </c>
      <c r="F124" s="467"/>
      <c r="G124" s="467" t="e">
        <f t="shared" si="55"/>
        <v>#DIV/0!</v>
      </c>
      <c r="H124" s="467">
        <f t="shared" si="58"/>
        <v>4009.25</v>
      </c>
      <c r="I124" s="467" t="e">
        <f t="shared" si="59"/>
        <v>#DIV/0!</v>
      </c>
      <c r="J124" s="467">
        <v>126599</v>
      </c>
      <c r="K124" s="332">
        <f t="shared" si="50"/>
        <v>1.0182599746028191E-2</v>
      </c>
      <c r="L124" s="415"/>
      <c r="M124" s="336" t="e">
        <f t="shared" si="51"/>
        <v>#DIV/0!</v>
      </c>
      <c r="N124" s="244"/>
      <c r="O124" s="244"/>
      <c r="P124" s="244"/>
      <c r="Q124" s="244"/>
      <c r="R124" s="244"/>
      <c r="S124" s="244"/>
      <c r="T124" s="244"/>
      <c r="U124" s="244"/>
      <c r="V124" s="244"/>
      <c r="W124" s="244"/>
      <c r="X124" s="244"/>
      <c r="Y124" s="244"/>
      <c r="Z124" s="244"/>
      <c r="AA124" s="244"/>
      <c r="AB124" s="244"/>
      <c r="AC124" s="244"/>
      <c r="AD124" s="244"/>
      <c r="AE124" s="244"/>
      <c r="AF124" s="244"/>
      <c r="AG124" s="244"/>
    </row>
    <row r="125" spans="1:33" ht="15.75" customHeight="1" x14ac:dyDescent="0.25">
      <c r="A125" s="244"/>
      <c r="B125" s="331"/>
      <c r="C125" s="339" t="s">
        <v>252</v>
      </c>
      <c r="D125" s="467">
        <v>21830</v>
      </c>
      <c r="E125" s="467">
        <v>21830</v>
      </c>
      <c r="F125" s="467">
        <v>21830</v>
      </c>
      <c r="G125" s="467">
        <v>21830</v>
      </c>
      <c r="H125" s="467">
        <v>21830</v>
      </c>
      <c r="I125" s="467">
        <v>21830</v>
      </c>
      <c r="J125" s="467">
        <v>21830</v>
      </c>
      <c r="K125" s="332">
        <f t="shared" si="50"/>
        <v>1.7558286594348725E-3</v>
      </c>
      <c r="L125" s="415"/>
      <c r="M125" s="336" t="e">
        <f t="shared" si="51"/>
        <v>#DIV/0!</v>
      </c>
      <c r="N125" s="244"/>
      <c r="O125" s="244"/>
      <c r="P125" s="244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  <c r="AA125" s="244"/>
      <c r="AB125" s="244"/>
      <c r="AC125" s="244"/>
      <c r="AD125" s="244"/>
      <c r="AE125" s="244"/>
      <c r="AF125" s="244"/>
      <c r="AG125" s="244"/>
    </row>
    <row r="126" spans="1:33" ht="15.75" customHeight="1" x14ac:dyDescent="0.25">
      <c r="A126" s="244"/>
      <c r="B126" s="331"/>
      <c r="C126" s="339" t="s">
        <v>303</v>
      </c>
      <c r="D126" s="467">
        <v>0</v>
      </c>
      <c r="E126" s="467">
        <f t="shared" ref="E126:E128" si="60">D126/D$29</f>
        <v>0</v>
      </c>
      <c r="F126" s="467"/>
      <c r="G126" s="467" t="e">
        <f t="shared" ref="G126:G128" si="61">F126/F$29</f>
        <v>#DIV/0!</v>
      </c>
      <c r="H126" s="467">
        <f t="shared" ref="H126:H127" si="62">D126-F126</f>
        <v>0</v>
      </c>
      <c r="I126" s="467" t="e">
        <f t="shared" ref="I126:I127" si="63">H126/F126</f>
        <v>#DIV/0!</v>
      </c>
      <c r="J126" s="467">
        <v>0</v>
      </c>
      <c r="K126" s="332">
        <f t="shared" si="50"/>
        <v>0</v>
      </c>
      <c r="L126" s="415"/>
      <c r="M126" s="336" t="e">
        <f t="shared" si="51"/>
        <v>#DIV/0!</v>
      </c>
      <c r="N126" s="244"/>
      <c r="O126" s="244"/>
      <c r="P126" s="244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  <c r="AA126" s="244"/>
      <c r="AB126" s="244"/>
      <c r="AC126" s="244"/>
      <c r="AD126" s="244"/>
      <c r="AE126" s="244"/>
      <c r="AF126" s="244"/>
      <c r="AG126" s="244"/>
    </row>
    <row r="127" spans="1:33" ht="15.75" customHeight="1" x14ac:dyDescent="0.25">
      <c r="A127" s="244"/>
      <c r="B127" s="331"/>
      <c r="C127" s="339" t="s">
        <v>280</v>
      </c>
      <c r="D127" s="467">
        <v>14300</v>
      </c>
      <c r="E127" s="467">
        <f t="shared" si="60"/>
        <v>1.1128231042876126E-3</v>
      </c>
      <c r="F127" s="467"/>
      <c r="G127" s="467" t="e">
        <f t="shared" si="61"/>
        <v>#DIV/0!</v>
      </c>
      <c r="H127" s="467">
        <f t="shared" si="62"/>
        <v>14300</v>
      </c>
      <c r="I127" s="467" t="e">
        <f t="shared" si="63"/>
        <v>#DIV/0!</v>
      </c>
      <c r="J127" s="467">
        <v>14000</v>
      </c>
      <c r="K127" s="332">
        <f t="shared" si="50"/>
        <v>1.1260467811309307E-3</v>
      </c>
      <c r="L127" s="415"/>
      <c r="M127" s="336" t="e">
        <f t="shared" si="51"/>
        <v>#DIV/0!</v>
      </c>
      <c r="N127" s="244"/>
      <c r="O127" s="244"/>
      <c r="P127" s="244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  <c r="AA127" s="244"/>
      <c r="AB127" s="244"/>
      <c r="AC127" s="244"/>
      <c r="AD127" s="244"/>
      <c r="AE127" s="244"/>
      <c r="AF127" s="244"/>
      <c r="AG127" s="244"/>
    </row>
    <row r="128" spans="1:33" ht="15.75" customHeight="1" x14ac:dyDescent="0.25">
      <c r="A128" s="244"/>
      <c r="B128" s="331"/>
      <c r="C128" s="339" t="s">
        <v>291</v>
      </c>
      <c r="D128" s="467">
        <v>20700</v>
      </c>
      <c r="E128" s="467">
        <f t="shared" si="60"/>
        <v>1.6108698083044462E-3</v>
      </c>
      <c r="F128" s="467"/>
      <c r="G128" s="467" t="e">
        <f t="shared" si="61"/>
        <v>#DIV/0!</v>
      </c>
      <c r="H128" s="467"/>
      <c r="I128" s="467"/>
      <c r="J128" s="467">
        <v>23800</v>
      </c>
      <c r="K128" s="332">
        <f t="shared" si="50"/>
        <v>1.914279527922582E-3</v>
      </c>
      <c r="L128" s="415"/>
      <c r="M128" s="336" t="e">
        <f t="shared" si="51"/>
        <v>#DIV/0!</v>
      </c>
      <c r="N128" s="244"/>
      <c r="O128" s="244"/>
      <c r="P128" s="244"/>
      <c r="Q128" s="244"/>
      <c r="R128" s="244"/>
      <c r="S128" s="244"/>
      <c r="T128" s="244"/>
      <c r="U128" s="244"/>
      <c r="V128" s="244"/>
      <c r="W128" s="244"/>
      <c r="X128" s="244"/>
      <c r="Y128" s="244"/>
      <c r="Z128" s="244"/>
      <c r="AA128" s="244"/>
      <c r="AB128" s="244"/>
      <c r="AC128" s="244"/>
      <c r="AD128" s="244"/>
      <c r="AE128" s="244"/>
      <c r="AF128" s="244"/>
      <c r="AG128" s="244"/>
    </row>
    <row r="129" spans="1:33" ht="15.75" customHeight="1" x14ac:dyDescent="0.25">
      <c r="A129" s="244"/>
      <c r="B129" s="346"/>
      <c r="C129" s="457"/>
      <c r="D129" s="468"/>
      <c r="E129" s="468"/>
      <c r="F129" s="468"/>
      <c r="G129" s="468"/>
      <c r="H129" s="468"/>
      <c r="I129" s="468"/>
      <c r="J129" s="468"/>
      <c r="K129" s="313"/>
      <c r="L129" s="313"/>
      <c r="M129" s="271"/>
      <c r="N129" s="244"/>
      <c r="O129" s="244"/>
      <c r="P129" s="244"/>
      <c r="Q129" s="244"/>
      <c r="R129" s="244"/>
      <c r="S129" s="244"/>
      <c r="T129" s="244"/>
      <c r="U129" s="244"/>
      <c r="V129" s="244"/>
      <c r="W129" s="244"/>
      <c r="X129" s="244"/>
      <c r="Y129" s="244"/>
      <c r="Z129" s="244"/>
      <c r="AA129" s="244"/>
      <c r="AB129" s="244"/>
      <c r="AC129" s="244"/>
      <c r="AD129" s="244"/>
      <c r="AE129" s="244"/>
      <c r="AF129" s="244"/>
      <c r="AG129" s="244"/>
    </row>
    <row r="130" spans="1:33" ht="15.75" customHeight="1" x14ac:dyDescent="0.25">
      <c r="A130" s="244"/>
      <c r="B130" s="279"/>
      <c r="C130" s="503" t="s">
        <v>41</v>
      </c>
      <c r="D130" s="489">
        <f>SUM(D131:D132)</f>
        <v>10325</v>
      </c>
      <c r="E130" s="502">
        <f>D130/D$29</f>
        <v>8.0348940921465728E-4</v>
      </c>
      <c r="F130" s="502"/>
      <c r="G130" s="502" t="e">
        <f>F130/F$29</f>
        <v>#DIV/0!</v>
      </c>
      <c r="H130" s="502">
        <f>SUM(H131:H132)</f>
        <v>0</v>
      </c>
      <c r="I130" s="502"/>
      <c r="J130" s="489">
        <f>SUM(J131:J132)</f>
        <v>10010</v>
      </c>
      <c r="K130" s="335">
        <f>J130/J$29</f>
        <v>8.0512344850861537E-4</v>
      </c>
      <c r="L130" s="313"/>
      <c r="M130" s="336" t="e">
        <f>L130/L$29</f>
        <v>#DIV/0!</v>
      </c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  <c r="AA130" s="246"/>
      <c r="AB130" s="246"/>
      <c r="AC130" s="246"/>
      <c r="AD130" s="246"/>
      <c r="AE130" s="246"/>
      <c r="AF130" s="246"/>
      <c r="AG130" s="246"/>
    </row>
    <row r="131" spans="1:33" ht="15.75" customHeight="1" x14ac:dyDescent="0.25">
      <c r="A131" s="244"/>
      <c r="B131" s="371"/>
      <c r="C131" s="393" t="s">
        <v>253</v>
      </c>
      <c r="D131" s="466">
        <v>0</v>
      </c>
      <c r="E131" s="466"/>
      <c r="F131" s="466"/>
      <c r="G131" s="466"/>
      <c r="H131" s="466"/>
      <c r="I131" s="466"/>
      <c r="J131" s="466">
        <v>0</v>
      </c>
      <c r="K131" s="313"/>
      <c r="L131" s="313"/>
      <c r="M131" s="271"/>
      <c r="N131" s="244"/>
      <c r="O131" s="244"/>
      <c r="P131" s="244"/>
      <c r="Q131" s="244"/>
      <c r="R131" s="244"/>
      <c r="S131" s="244"/>
      <c r="T131" s="244"/>
      <c r="U131" s="244"/>
      <c r="V131" s="244"/>
      <c r="W131" s="244"/>
      <c r="X131" s="244"/>
      <c r="Y131" s="244"/>
      <c r="Z131" s="244"/>
      <c r="AA131" s="244"/>
      <c r="AB131" s="244"/>
      <c r="AC131" s="244"/>
      <c r="AD131" s="244"/>
      <c r="AE131" s="244"/>
      <c r="AF131" s="244"/>
      <c r="AG131" s="244"/>
    </row>
    <row r="132" spans="1:33" ht="15.75" customHeight="1" x14ac:dyDescent="0.25">
      <c r="A132" s="244"/>
      <c r="B132" s="331"/>
      <c r="C132" s="339" t="s">
        <v>41</v>
      </c>
      <c r="D132" s="467">
        <v>10325</v>
      </c>
      <c r="E132" s="467">
        <f>D132/D$29</f>
        <v>8.0348940921465728E-4</v>
      </c>
      <c r="F132" s="467"/>
      <c r="G132" s="467"/>
      <c r="H132" s="467"/>
      <c r="I132" s="467"/>
      <c r="J132" s="467">
        <v>10010</v>
      </c>
      <c r="K132" s="332">
        <f>J132/J$29</f>
        <v>8.0512344850861537E-4</v>
      </c>
      <c r="L132" s="313"/>
      <c r="M132" s="271"/>
      <c r="N132" s="244"/>
      <c r="O132" s="244"/>
      <c r="P132" s="244"/>
      <c r="Q132" s="244"/>
      <c r="R132" s="244"/>
      <c r="S132" s="244"/>
      <c r="T132" s="244"/>
      <c r="U132" s="244"/>
      <c r="V132" s="244"/>
      <c r="W132" s="244"/>
      <c r="X132" s="244"/>
      <c r="Y132" s="244"/>
      <c r="Z132" s="244"/>
      <c r="AA132" s="244"/>
      <c r="AB132" s="244"/>
      <c r="AC132" s="244"/>
      <c r="AD132" s="244"/>
      <c r="AE132" s="244"/>
      <c r="AF132" s="244"/>
      <c r="AG132" s="244"/>
    </row>
    <row r="133" spans="1:33" ht="15.75" customHeight="1" x14ac:dyDescent="0.25">
      <c r="A133" s="244"/>
      <c r="B133" s="346"/>
      <c r="C133" s="404"/>
      <c r="D133" s="468"/>
      <c r="E133" s="468"/>
      <c r="F133" s="468"/>
      <c r="G133" s="468"/>
      <c r="H133" s="468"/>
      <c r="I133" s="468"/>
      <c r="J133" s="468"/>
      <c r="K133" s="313"/>
      <c r="L133" s="313"/>
      <c r="M133" s="271"/>
      <c r="N133" s="244"/>
      <c r="O133" s="244"/>
      <c r="P133" s="244"/>
      <c r="Q133" s="244"/>
      <c r="R133" s="244"/>
      <c r="S133" s="244"/>
      <c r="T133" s="244"/>
      <c r="U133" s="244"/>
      <c r="V133" s="244"/>
      <c r="W133" s="244"/>
      <c r="X133" s="244"/>
      <c r="Y133" s="244"/>
      <c r="Z133" s="244"/>
      <c r="AA133" s="244"/>
      <c r="AB133" s="244"/>
      <c r="AC133" s="244"/>
      <c r="AD133" s="244"/>
      <c r="AE133" s="244"/>
      <c r="AF133" s="244"/>
      <c r="AG133" s="244"/>
    </row>
    <row r="134" spans="1:33" ht="15.75" customHeight="1" x14ac:dyDescent="0.25">
      <c r="A134" s="244"/>
      <c r="B134" s="279"/>
      <c r="C134" s="503" t="s">
        <v>42</v>
      </c>
      <c r="D134" s="489">
        <f>SUM(D135)</f>
        <v>0</v>
      </c>
      <c r="E134" s="489">
        <f>D134/D$29</f>
        <v>0</v>
      </c>
      <c r="F134" s="489"/>
      <c r="G134" s="489" t="e">
        <f>F134/F$29</f>
        <v>#DIV/0!</v>
      </c>
      <c r="H134" s="489">
        <f>SUM(H135)</f>
        <v>0</v>
      </c>
      <c r="I134" s="489"/>
      <c r="J134" s="489">
        <f>SUM(J135)</f>
        <v>0</v>
      </c>
      <c r="K134" s="335">
        <f>J134/J$29</f>
        <v>0</v>
      </c>
      <c r="L134" s="415"/>
      <c r="M134" s="336" t="e">
        <f>L134/L$29</f>
        <v>#DIV/0!</v>
      </c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  <c r="AA134" s="246"/>
      <c r="AB134" s="246"/>
      <c r="AC134" s="246"/>
      <c r="AD134" s="246"/>
      <c r="AE134" s="246"/>
      <c r="AF134" s="246"/>
      <c r="AG134" s="246"/>
    </row>
    <row r="135" spans="1:33" ht="15.75" customHeight="1" x14ac:dyDescent="0.25">
      <c r="A135" s="244"/>
      <c r="B135" s="371"/>
      <c r="C135" s="393" t="s">
        <v>283</v>
      </c>
      <c r="D135" s="466"/>
      <c r="E135" s="466"/>
      <c r="F135" s="466"/>
      <c r="G135" s="466"/>
      <c r="H135" s="466"/>
      <c r="I135" s="466"/>
      <c r="J135" s="466"/>
      <c r="K135" s="313"/>
      <c r="L135" s="313"/>
      <c r="M135" s="271"/>
      <c r="N135" s="244"/>
      <c r="O135" s="244"/>
      <c r="P135" s="244"/>
      <c r="Q135" s="244"/>
      <c r="R135" s="244"/>
      <c r="S135" s="244"/>
      <c r="T135" s="244"/>
      <c r="U135" s="244"/>
      <c r="V135" s="244"/>
      <c r="W135" s="244"/>
      <c r="X135" s="244"/>
      <c r="Y135" s="244"/>
      <c r="Z135" s="244"/>
      <c r="AA135" s="244"/>
      <c r="AB135" s="244"/>
      <c r="AC135" s="244"/>
      <c r="AD135" s="244"/>
      <c r="AE135" s="244"/>
      <c r="AF135" s="244"/>
      <c r="AG135" s="244"/>
    </row>
    <row r="136" spans="1:33" ht="15.75" customHeight="1" x14ac:dyDescent="0.25">
      <c r="A136" s="244"/>
      <c r="B136" s="331"/>
      <c r="C136" s="339"/>
      <c r="D136" s="467"/>
      <c r="E136" s="467"/>
      <c r="F136" s="467"/>
      <c r="G136" s="467"/>
      <c r="H136" s="467"/>
      <c r="I136" s="467"/>
      <c r="J136" s="467"/>
      <c r="K136" s="313"/>
      <c r="L136" s="313"/>
      <c r="M136" s="271"/>
      <c r="N136" s="244"/>
      <c r="O136" s="244"/>
      <c r="P136" s="244"/>
      <c r="Q136" s="244"/>
      <c r="R136" s="244"/>
      <c r="S136" s="244"/>
      <c r="T136" s="244"/>
      <c r="U136" s="244"/>
      <c r="V136" s="244"/>
      <c r="W136" s="244"/>
      <c r="X136" s="244"/>
      <c r="Y136" s="244"/>
      <c r="Z136" s="244"/>
      <c r="AA136" s="244"/>
      <c r="AB136" s="244"/>
      <c r="AC136" s="244"/>
      <c r="AD136" s="244"/>
      <c r="AE136" s="244"/>
      <c r="AF136" s="244"/>
      <c r="AG136" s="244"/>
    </row>
    <row r="137" spans="1:33" ht="15.75" customHeight="1" x14ac:dyDescent="0.25">
      <c r="A137" s="244"/>
      <c r="B137" s="331"/>
      <c r="C137" s="339"/>
      <c r="D137" s="467"/>
      <c r="E137" s="467"/>
      <c r="F137" s="467"/>
      <c r="G137" s="467"/>
      <c r="H137" s="467"/>
      <c r="I137" s="467"/>
      <c r="J137" s="467"/>
      <c r="K137" s="313"/>
      <c r="L137" s="313"/>
      <c r="M137" s="271"/>
      <c r="N137" s="244"/>
      <c r="O137" s="244"/>
      <c r="P137" s="244"/>
      <c r="Q137" s="244"/>
      <c r="R137" s="244"/>
      <c r="S137" s="244"/>
      <c r="T137" s="244"/>
      <c r="U137" s="244"/>
      <c r="V137" s="244"/>
      <c r="W137" s="244"/>
      <c r="X137" s="244"/>
      <c r="Y137" s="244"/>
      <c r="Z137" s="244"/>
      <c r="AA137" s="244"/>
      <c r="AB137" s="244"/>
      <c r="AC137" s="244"/>
      <c r="AD137" s="244"/>
      <c r="AE137" s="244"/>
      <c r="AF137" s="244"/>
      <c r="AG137" s="244"/>
    </row>
    <row r="138" spans="1:33" ht="15.75" customHeight="1" x14ac:dyDescent="0.25">
      <c r="A138" s="244"/>
      <c r="B138" s="331"/>
      <c r="C138" s="455" t="s">
        <v>257</v>
      </c>
      <c r="D138" s="509">
        <f>D60+D72+D84+D91+D97+D107+D110+D114+D130+D134</f>
        <v>6719058.3533333335</v>
      </c>
      <c r="E138" s="509">
        <f>D138/D$29</f>
        <v>0.52287576046475626</v>
      </c>
      <c r="F138" s="509" t="e">
        <f>F60+F72+F84+F91+F97+F107+F110+F114+F130+F134</f>
        <v>#REF!</v>
      </c>
      <c r="G138" s="509" t="e">
        <f>F138/F$29</f>
        <v>#REF!</v>
      </c>
      <c r="H138" s="509" t="e">
        <f>D138-F138</f>
        <v>#REF!</v>
      </c>
      <c r="I138" s="509" t="e">
        <f>H138/F138</f>
        <v>#REF!</v>
      </c>
      <c r="J138" s="509">
        <f>J60+J72+J84+J91+J97+J107+J110+J114+J130+J134</f>
        <v>6609500.9499999993</v>
      </c>
      <c r="K138" s="446">
        <f>J138/J$29</f>
        <v>0.53161480497352331</v>
      </c>
      <c r="L138" s="448" t="e">
        <f>L60+L72+L84+L91+L97+L107+L110+L114+L130+L134</f>
        <v>#REF!</v>
      </c>
      <c r="M138" s="495" t="e">
        <f>L138/L$29</f>
        <v>#REF!</v>
      </c>
      <c r="N138" s="244"/>
      <c r="O138" s="244"/>
      <c r="P138" s="244"/>
      <c r="Q138" s="244"/>
      <c r="R138" s="244"/>
      <c r="S138" s="244"/>
      <c r="T138" s="244"/>
      <c r="U138" s="244"/>
      <c r="V138" s="244"/>
      <c r="W138" s="244"/>
      <c r="X138" s="244"/>
      <c r="Y138" s="244"/>
      <c r="Z138" s="244"/>
      <c r="AA138" s="244"/>
      <c r="AB138" s="244"/>
      <c r="AC138" s="244"/>
      <c r="AD138" s="244"/>
      <c r="AE138" s="244"/>
      <c r="AF138" s="244"/>
      <c r="AG138" s="244"/>
    </row>
    <row r="139" spans="1:33" ht="15.75" customHeight="1" x14ac:dyDescent="0.25">
      <c r="A139" s="244"/>
      <c r="B139" s="346"/>
      <c r="C139" s="404"/>
      <c r="D139" s="467"/>
      <c r="E139" s="467"/>
      <c r="F139" s="467"/>
      <c r="G139" s="467"/>
      <c r="H139" s="467"/>
      <c r="I139" s="467"/>
      <c r="J139" s="467"/>
      <c r="K139" s="316"/>
      <c r="L139" s="316"/>
      <c r="M139" s="318"/>
      <c r="N139" s="244"/>
      <c r="O139" s="244"/>
      <c r="P139" s="244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  <c r="AA139" s="244"/>
      <c r="AB139" s="244"/>
      <c r="AC139" s="244"/>
      <c r="AD139" s="244"/>
      <c r="AE139" s="244"/>
      <c r="AF139" s="244"/>
      <c r="AG139" s="244"/>
    </row>
    <row r="140" spans="1:33" ht="15.75" customHeight="1" x14ac:dyDescent="0.25">
      <c r="A140" s="244"/>
      <c r="B140" s="347"/>
      <c r="C140" s="410" t="s">
        <v>258</v>
      </c>
      <c r="D140" s="485">
        <f>D51-D138</f>
        <v>1086896.5138217472</v>
      </c>
      <c r="E140" s="321">
        <f>D140/D$29</f>
        <v>8.4582066611923121E-2</v>
      </c>
      <c r="F140" s="411" t="e">
        <f>F51-F138</f>
        <v>#REF!</v>
      </c>
      <c r="G140" s="321" t="e">
        <f>F140/F$29</f>
        <v>#REF!</v>
      </c>
      <c r="H140" s="411" t="e">
        <f>D140-F140</f>
        <v>#REF!</v>
      </c>
      <c r="I140" s="323" t="e">
        <f>H140/F140</f>
        <v>#REF!</v>
      </c>
      <c r="J140" s="485">
        <f>J51-J138</f>
        <v>631729.58392160665</v>
      </c>
      <c r="K140" s="321">
        <f>J140/J$29</f>
        <v>5.0811218894293374E-2</v>
      </c>
      <c r="L140" s="411" t="e">
        <f>L51-L138</f>
        <v>#REF!</v>
      </c>
      <c r="M140" s="323" t="e">
        <f>L140/L$29</f>
        <v>#REF!</v>
      </c>
      <c r="N140" s="244"/>
      <c r="O140" s="244"/>
      <c r="P140" s="244"/>
      <c r="Q140" s="244"/>
      <c r="R140" s="244"/>
      <c r="S140" s="244"/>
      <c r="T140" s="244"/>
      <c r="U140" s="244"/>
      <c r="V140" s="244"/>
      <c r="W140" s="244"/>
      <c r="X140" s="244"/>
      <c r="Y140" s="244"/>
      <c r="Z140" s="244"/>
      <c r="AA140" s="244"/>
      <c r="AB140" s="244"/>
      <c r="AC140" s="244"/>
      <c r="AD140" s="244"/>
      <c r="AE140" s="244"/>
      <c r="AF140" s="244"/>
      <c r="AG140" s="244"/>
    </row>
    <row r="141" spans="1:33" ht="15.75" customHeight="1" x14ac:dyDescent="0.25">
      <c r="A141" s="244"/>
      <c r="B141" s="244"/>
      <c r="C141" s="244"/>
      <c r="D141" s="244"/>
      <c r="E141" s="244"/>
      <c r="F141" s="244"/>
      <c r="G141" s="244"/>
      <c r="H141" s="244"/>
      <c r="I141" s="244"/>
      <c r="J141" s="244"/>
      <c r="K141" s="244"/>
      <c r="L141" s="244"/>
      <c r="M141" s="244"/>
      <c r="N141" s="244"/>
      <c r="O141" s="244"/>
      <c r="P141" s="244"/>
      <c r="Q141" s="244"/>
      <c r="R141" s="244"/>
      <c r="S141" s="244"/>
      <c r="T141" s="244"/>
      <c r="U141" s="244"/>
      <c r="V141" s="244"/>
      <c r="W141" s="244"/>
      <c r="X141" s="244"/>
      <c r="Y141" s="244"/>
      <c r="Z141" s="244"/>
      <c r="AA141" s="244"/>
      <c r="AB141" s="244"/>
      <c r="AC141" s="244"/>
      <c r="AD141" s="244"/>
      <c r="AE141" s="244"/>
      <c r="AF141" s="244"/>
      <c r="AG141" s="244"/>
    </row>
    <row r="142" spans="1:33" ht="15.75" customHeight="1" x14ac:dyDescent="0.25">
      <c r="A142" s="244"/>
      <c r="B142" s="244"/>
      <c r="C142" s="244"/>
      <c r="D142" s="244"/>
      <c r="E142" s="244"/>
      <c r="F142" s="244"/>
      <c r="G142" s="244"/>
      <c r="H142" s="244"/>
      <c r="I142" s="244"/>
      <c r="J142" s="244"/>
      <c r="K142" s="244"/>
      <c r="L142" s="244"/>
      <c r="M142" s="244"/>
      <c r="N142" s="244"/>
      <c r="O142" s="244"/>
      <c r="P142" s="244"/>
      <c r="Q142" s="244"/>
      <c r="R142" s="244"/>
      <c r="S142" s="244"/>
      <c r="T142" s="244"/>
      <c r="U142" s="244"/>
      <c r="V142" s="244"/>
      <c r="W142" s="244"/>
      <c r="X142" s="244"/>
      <c r="Y142" s="244"/>
      <c r="Z142" s="244"/>
      <c r="AA142" s="244"/>
      <c r="AB142" s="244"/>
      <c r="AC142" s="244"/>
      <c r="AD142" s="244"/>
      <c r="AE142" s="244"/>
      <c r="AF142" s="244"/>
      <c r="AG142" s="244"/>
    </row>
    <row r="143" spans="1:33" ht="15.75" customHeight="1" x14ac:dyDescent="0.25">
      <c r="A143" s="244"/>
      <c r="B143" s="244"/>
      <c r="C143" s="244"/>
      <c r="D143" s="244"/>
      <c r="E143" s="244"/>
      <c r="F143" s="244"/>
      <c r="G143" s="244"/>
      <c r="H143" s="244"/>
      <c r="I143" s="244"/>
      <c r="J143" s="244"/>
      <c r="K143" s="244"/>
      <c r="L143" s="244"/>
      <c r="M143" s="244"/>
      <c r="N143" s="244"/>
      <c r="O143" s="244"/>
      <c r="P143" s="244"/>
      <c r="Q143" s="244"/>
      <c r="R143" s="244"/>
      <c r="S143" s="244"/>
      <c r="T143" s="244"/>
      <c r="U143" s="244"/>
      <c r="V143" s="244"/>
      <c r="W143" s="244"/>
      <c r="X143" s="244"/>
      <c r="Y143" s="244"/>
      <c r="Z143" s="244"/>
      <c r="AA143" s="244"/>
      <c r="AB143" s="244"/>
      <c r="AC143" s="244"/>
      <c r="AD143" s="244"/>
      <c r="AE143" s="244"/>
      <c r="AF143" s="244"/>
      <c r="AG143" s="244"/>
    </row>
    <row r="144" spans="1:33" ht="15.75" customHeight="1" x14ac:dyDescent="0.25">
      <c r="A144" s="244"/>
      <c r="B144" s="244"/>
      <c r="C144" s="244"/>
      <c r="D144" s="244"/>
      <c r="E144" s="244"/>
      <c r="F144" s="244"/>
      <c r="G144" s="244"/>
      <c r="H144" s="244"/>
      <c r="I144" s="244"/>
      <c r="J144" s="244"/>
      <c r="K144" s="244"/>
      <c r="L144" s="244"/>
      <c r="M144" s="244"/>
      <c r="N144" s="244"/>
      <c r="O144" s="244"/>
      <c r="P144" s="244"/>
      <c r="Q144" s="244"/>
      <c r="R144" s="244"/>
      <c r="S144" s="244"/>
      <c r="T144" s="244"/>
      <c r="U144" s="244"/>
      <c r="V144" s="244"/>
      <c r="W144" s="244"/>
      <c r="X144" s="244"/>
      <c r="Y144" s="244"/>
      <c r="Z144" s="244"/>
      <c r="AA144" s="244"/>
      <c r="AB144" s="244"/>
      <c r="AC144" s="244"/>
      <c r="AD144" s="244"/>
      <c r="AE144" s="244"/>
      <c r="AF144" s="244"/>
      <c r="AG144" s="244"/>
    </row>
    <row r="145" spans="1:33" ht="15.75" customHeight="1" x14ac:dyDescent="0.25">
      <c r="A145" s="244"/>
      <c r="B145" s="244"/>
      <c r="C145" s="244"/>
      <c r="D145" s="244"/>
      <c r="E145" s="244"/>
      <c r="F145" s="244"/>
      <c r="G145" s="244"/>
      <c r="H145" s="244"/>
      <c r="I145" s="244"/>
      <c r="J145" s="244"/>
      <c r="K145" s="244"/>
      <c r="L145" s="244"/>
      <c r="M145" s="244"/>
      <c r="N145" s="244"/>
      <c r="O145" s="244"/>
      <c r="P145" s="244"/>
      <c r="Q145" s="244"/>
      <c r="R145" s="244"/>
      <c r="S145" s="244"/>
      <c r="T145" s="244"/>
      <c r="U145" s="244"/>
      <c r="V145" s="244"/>
      <c r="W145" s="244"/>
      <c r="X145" s="244"/>
      <c r="Y145" s="244"/>
      <c r="Z145" s="244"/>
      <c r="AA145" s="244"/>
      <c r="AB145" s="244"/>
      <c r="AC145" s="244"/>
      <c r="AD145" s="244"/>
      <c r="AE145" s="244"/>
      <c r="AF145" s="244"/>
      <c r="AG145" s="244"/>
    </row>
    <row r="146" spans="1:33" ht="15.75" customHeight="1" x14ac:dyDescent="0.25">
      <c r="A146" s="244"/>
      <c r="B146" s="244"/>
      <c r="C146" s="244"/>
      <c r="D146" s="244"/>
      <c r="E146" s="244"/>
      <c r="F146" s="244"/>
      <c r="G146" s="244"/>
      <c r="H146" s="244"/>
      <c r="I146" s="244"/>
      <c r="J146" s="244"/>
      <c r="K146" s="244"/>
      <c r="L146" s="244"/>
      <c r="M146" s="244"/>
      <c r="N146" s="244"/>
      <c r="O146" s="244"/>
      <c r="P146" s="244"/>
      <c r="Q146" s="244"/>
      <c r="R146" s="244"/>
      <c r="S146" s="244"/>
      <c r="T146" s="244"/>
      <c r="U146" s="244"/>
      <c r="V146" s="244"/>
      <c r="W146" s="244"/>
      <c r="X146" s="244"/>
      <c r="Y146" s="244"/>
      <c r="Z146" s="244"/>
      <c r="AA146" s="244"/>
      <c r="AB146" s="244"/>
      <c r="AC146" s="244"/>
      <c r="AD146" s="244"/>
      <c r="AE146" s="244"/>
      <c r="AF146" s="244"/>
      <c r="AG146" s="244"/>
    </row>
    <row r="147" spans="1:33" ht="15.75" customHeight="1" x14ac:dyDescent="0.25">
      <c r="A147" s="244"/>
      <c r="B147" s="244"/>
      <c r="C147" s="244"/>
      <c r="D147" s="244"/>
      <c r="E147" s="244"/>
      <c r="F147" s="244"/>
      <c r="G147" s="244"/>
      <c r="H147" s="244"/>
      <c r="I147" s="244"/>
      <c r="J147" s="244"/>
      <c r="K147" s="244"/>
      <c r="L147" s="244"/>
      <c r="M147" s="244"/>
      <c r="N147" s="244"/>
      <c r="O147" s="244"/>
      <c r="P147" s="244"/>
      <c r="Q147" s="244"/>
      <c r="R147" s="244"/>
      <c r="S147" s="244"/>
      <c r="T147" s="244"/>
      <c r="U147" s="244"/>
      <c r="V147" s="244"/>
      <c r="W147" s="244"/>
      <c r="X147" s="244"/>
      <c r="Y147" s="244"/>
      <c r="Z147" s="244"/>
      <c r="AA147" s="244"/>
      <c r="AB147" s="244"/>
      <c r="AC147" s="244"/>
      <c r="AD147" s="244"/>
      <c r="AE147" s="244"/>
      <c r="AF147" s="244"/>
      <c r="AG147" s="244"/>
    </row>
    <row r="148" spans="1:33" ht="15.75" customHeight="1" x14ac:dyDescent="0.25">
      <c r="A148" s="244"/>
      <c r="B148" s="244"/>
      <c r="C148" s="244"/>
      <c r="D148" s="244"/>
      <c r="E148" s="244"/>
      <c r="F148" s="244"/>
      <c r="G148" s="244"/>
      <c r="H148" s="244"/>
      <c r="I148" s="244"/>
      <c r="J148" s="244"/>
      <c r="K148" s="244"/>
      <c r="L148" s="244"/>
      <c r="M148" s="244"/>
      <c r="N148" s="244"/>
      <c r="O148" s="244"/>
      <c r="P148" s="244"/>
      <c r="Q148" s="244"/>
      <c r="R148" s="244"/>
      <c r="S148" s="244"/>
      <c r="T148" s="244"/>
      <c r="U148" s="244"/>
      <c r="V148" s="244"/>
      <c r="W148" s="244"/>
      <c r="X148" s="244"/>
      <c r="Y148" s="244"/>
      <c r="Z148" s="244"/>
      <c r="AA148" s="244"/>
      <c r="AB148" s="244"/>
      <c r="AC148" s="244"/>
      <c r="AD148" s="244"/>
      <c r="AE148" s="244"/>
      <c r="AF148" s="244"/>
      <c r="AG148" s="244"/>
    </row>
    <row r="149" spans="1:33" ht="15.75" customHeight="1" x14ac:dyDescent="0.25">
      <c r="A149" s="244"/>
      <c r="B149" s="244"/>
      <c r="C149" s="244"/>
      <c r="D149" s="244"/>
      <c r="E149" s="244"/>
      <c r="F149" s="244"/>
      <c r="G149" s="244"/>
      <c r="H149" s="244"/>
      <c r="I149" s="244"/>
      <c r="J149" s="244"/>
      <c r="K149" s="244"/>
      <c r="L149" s="244"/>
      <c r="M149" s="244"/>
      <c r="N149" s="244"/>
      <c r="O149" s="244"/>
      <c r="P149" s="244"/>
      <c r="Q149" s="244"/>
      <c r="R149" s="244"/>
      <c r="S149" s="244"/>
      <c r="T149" s="244"/>
      <c r="U149" s="244"/>
      <c r="V149" s="244"/>
      <c r="W149" s="244"/>
      <c r="X149" s="244"/>
      <c r="Y149" s="244"/>
      <c r="Z149" s="244"/>
      <c r="AA149" s="244"/>
      <c r="AB149" s="244"/>
      <c r="AC149" s="244"/>
      <c r="AD149" s="244"/>
      <c r="AE149" s="244"/>
      <c r="AF149" s="244"/>
      <c r="AG149" s="244"/>
    </row>
    <row r="150" spans="1:33" ht="15.75" customHeight="1" x14ac:dyDescent="0.25">
      <c r="A150" s="244"/>
      <c r="B150" s="244"/>
      <c r="C150" s="244"/>
      <c r="D150" s="244"/>
      <c r="E150" s="244"/>
      <c r="F150" s="244"/>
      <c r="G150" s="244"/>
      <c r="H150" s="244"/>
      <c r="I150" s="244"/>
      <c r="J150" s="244"/>
      <c r="K150" s="244"/>
      <c r="L150" s="244"/>
      <c r="M150" s="244"/>
      <c r="N150" s="244"/>
      <c r="O150" s="244"/>
      <c r="P150" s="244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  <c r="AA150" s="244"/>
      <c r="AB150" s="244"/>
      <c r="AC150" s="244"/>
      <c r="AD150" s="244"/>
      <c r="AE150" s="244"/>
      <c r="AF150" s="244"/>
      <c r="AG150" s="244"/>
    </row>
    <row r="151" spans="1:33" ht="15.75" customHeight="1" x14ac:dyDescent="0.25">
      <c r="A151" s="244"/>
      <c r="B151" s="244"/>
      <c r="C151" s="244"/>
      <c r="D151" s="244"/>
      <c r="E151" s="244"/>
      <c r="F151" s="244"/>
      <c r="G151" s="244"/>
      <c r="H151" s="244"/>
      <c r="I151" s="244"/>
      <c r="J151" s="244"/>
      <c r="K151" s="244"/>
      <c r="L151" s="244"/>
      <c r="M151" s="244"/>
      <c r="N151" s="244"/>
      <c r="O151" s="244"/>
      <c r="P151" s="244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  <c r="AA151" s="244"/>
      <c r="AB151" s="244"/>
      <c r="AC151" s="244"/>
      <c r="AD151" s="244"/>
      <c r="AE151" s="244"/>
      <c r="AF151" s="244"/>
      <c r="AG151" s="244"/>
    </row>
    <row r="152" spans="1:33" ht="15.75" customHeight="1" x14ac:dyDescent="0.25">
      <c r="A152" s="244"/>
      <c r="B152" s="244"/>
      <c r="C152" s="244"/>
      <c r="D152" s="244"/>
      <c r="E152" s="244"/>
      <c r="F152" s="244"/>
      <c r="G152" s="244"/>
      <c r="H152" s="244"/>
      <c r="I152" s="244"/>
      <c r="J152" s="244"/>
      <c r="K152" s="244"/>
      <c r="L152" s="244"/>
      <c r="M152" s="244"/>
      <c r="N152" s="244"/>
      <c r="O152" s="244"/>
      <c r="P152" s="244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  <c r="AA152" s="244"/>
      <c r="AB152" s="244"/>
      <c r="AC152" s="244"/>
      <c r="AD152" s="244"/>
      <c r="AE152" s="244"/>
      <c r="AF152" s="244"/>
      <c r="AG152" s="244"/>
    </row>
    <row r="153" spans="1:33" ht="15.75" customHeight="1" x14ac:dyDescent="0.25">
      <c r="A153" s="244"/>
      <c r="B153" s="244"/>
      <c r="C153" s="244"/>
      <c r="D153" s="244"/>
      <c r="E153" s="244"/>
      <c r="F153" s="244"/>
      <c r="G153" s="244"/>
      <c r="H153" s="244"/>
      <c r="I153" s="244"/>
      <c r="J153" s="244"/>
      <c r="K153" s="244"/>
      <c r="L153" s="244"/>
      <c r="M153" s="244"/>
      <c r="N153" s="244"/>
      <c r="O153" s="244"/>
      <c r="P153" s="244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  <c r="AA153" s="244"/>
      <c r="AB153" s="244"/>
      <c r="AC153" s="244"/>
      <c r="AD153" s="244"/>
      <c r="AE153" s="244"/>
      <c r="AF153" s="244"/>
      <c r="AG153" s="244"/>
    </row>
    <row r="154" spans="1:33" ht="15.75" customHeight="1" x14ac:dyDescent="0.25">
      <c r="A154" s="244"/>
      <c r="B154" s="244"/>
      <c r="C154" s="244"/>
      <c r="D154" s="244"/>
      <c r="E154" s="244"/>
      <c r="F154" s="244"/>
      <c r="G154" s="244"/>
      <c r="H154" s="244"/>
      <c r="I154" s="244"/>
      <c r="J154" s="244"/>
      <c r="K154" s="244"/>
      <c r="L154" s="244"/>
      <c r="M154" s="244"/>
      <c r="N154" s="244"/>
      <c r="O154" s="244"/>
      <c r="P154" s="244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  <c r="AA154" s="244"/>
      <c r="AB154" s="244"/>
      <c r="AC154" s="244"/>
      <c r="AD154" s="244"/>
      <c r="AE154" s="244"/>
      <c r="AF154" s="244"/>
      <c r="AG154" s="244"/>
    </row>
    <row r="155" spans="1:33" ht="15.75" customHeight="1" x14ac:dyDescent="0.25">
      <c r="A155" s="244"/>
      <c r="B155" s="244"/>
      <c r="C155" s="244"/>
      <c r="D155" s="244"/>
      <c r="E155" s="244"/>
      <c r="F155" s="244"/>
      <c r="G155" s="244"/>
      <c r="H155" s="244"/>
      <c r="I155" s="244"/>
      <c r="J155" s="244"/>
      <c r="K155" s="244"/>
      <c r="L155" s="244"/>
      <c r="M155" s="244"/>
      <c r="N155" s="244"/>
      <c r="O155" s="244"/>
      <c r="P155" s="244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  <c r="AA155" s="244"/>
      <c r="AB155" s="244"/>
      <c r="AC155" s="244"/>
      <c r="AD155" s="244"/>
      <c r="AE155" s="244"/>
      <c r="AF155" s="244"/>
      <c r="AG155" s="244"/>
    </row>
    <row r="156" spans="1:33" ht="15.75" customHeight="1" x14ac:dyDescent="0.25">
      <c r="A156" s="244"/>
      <c r="B156" s="244"/>
      <c r="C156" s="244"/>
      <c r="D156" s="244"/>
      <c r="E156" s="244"/>
      <c r="F156" s="244"/>
      <c r="G156" s="244"/>
      <c r="H156" s="244"/>
      <c r="I156" s="244"/>
      <c r="J156" s="244"/>
      <c r="K156" s="244"/>
      <c r="L156" s="244"/>
      <c r="M156" s="244"/>
      <c r="N156" s="244"/>
      <c r="O156" s="244"/>
      <c r="P156" s="244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  <c r="AA156" s="244"/>
      <c r="AB156" s="244"/>
      <c r="AC156" s="244"/>
      <c r="AD156" s="244"/>
      <c r="AE156" s="244"/>
      <c r="AF156" s="244"/>
      <c r="AG156" s="244"/>
    </row>
    <row r="157" spans="1:33" ht="15.75" customHeight="1" x14ac:dyDescent="0.25">
      <c r="A157" s="244"/>
      <c r="B157" s="244"/>
      <c r="C157" s="244"/>
      <c r="D157" s="244"/>
      <c r="E157" s="244"/>
      <c r="F157" s="244"/>
      <c r="G157" s="244"/>
      <c r="H157" s="244"/>
      <c r="I157" s="244"/>
      <c r="J157" s="244"/>
      <c r="K157" s="244"/>
      <c r="L157" s="244"/>
      <c r="M157" s="244"/>
      <c r="N157" s="244"/>
      <c r="O157" s="244"/>
      <c r="P157" s="244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  <c r="AA157" s="244"/>
      <c r="AB157" s="244"/>
      <c r="AC157" s="244"/>
      <c r="AD157" s="244"/>
      <c r="AE157" s="244"/>
      <c r="AF157" s="244"/>
      <c r="AG157" s="244"/>
    </row>
    <row r="158" spans="1:33" ht="15.75" customHeight="1" x14ac:dyDescent="0.25">
      <c r="A158" s="244"/>
      <c r="B158" s="244"/>
      <c r="C158" s="244"/>
      <c r="D158" s="244"/>
      <c r="E158" s="244"/>
      <c r="F158" s="244"/>
      <c r="G158" s="244"/>
      <c r="H158" s="244"/>
      <c r="I158" s="244"/>
      <c r="J158" s="244"/>
      <c r="K158" s="244"/>
      <c r="L158" s="244"/>
      <c r="M158" s="244"/>
      <c r="N158" s="244"/>
      <c r="O158" s="244"/>
      <c r="P158" s="244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  <c r="AA158" s="244"/>
      <c r="AB158" s="244"/>
      <c r="AC158" s="244"/>
      <c r="AD158" s="244"/>
      <c r="AE158" s="244"/>
      <c r="AF158" s="244"/>
      <c r="AG158" s="244"/>
    </row>
    <row r="159" spans="1:33" ht="15.75" customHeight="1" x14ac:dyDescent="0.25">
      <c r="A159" s="244"/>
      <c r="B159" s="244"/>
      <c r="C159" s="244"/>
      <c r="D159" s="244"/>
      <c r="E159" s="244"/>
      <c r="F159" s="244"/>
      <c r="G159" s="244"/>
      <c r="H159" s="244"/>
      <c r="I159" s="244"/>
      <c r="J159" s="244"/>
      <c r="K159" s="244"/>
      <c r="L159" s="244"/>
      <c r="M159" s="244"/>
      <c r="N159" s="244"/>
      <c r="O159" s="244"/>
      <c r="P159" s="244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  <c r="AA159" s="244"/>
      <c r="AB159" s="244"/>
      <c r="AC159" s="244"/>
      <c r="AD159" s="244"/>
      <c r="AE159" s="244"/>
      <c r="AF159" s="244"/>
      <c r="AG159" s="244"/>
    </row>
    <row r="160" spans="1:33" ht="15.75" customHeight="1" x14ac:dyDescent="0.25">
      <c r="A160" s="244"/>
      <c r="B160" s="244"/>
      <c r="C160" s="244"/>
      <c r="D160" s="244"/>
      <c r="E160" s="244"/>
      <c r="F160" s="244"/>
      <c r="G160" s="244"/>
      <c r="H160" s="244"/>
      <c r="I160" s="244"/>
      <c r="J160" s="244"/>
      <c r="K160" s="244"/>
      <c r="L160" s="244"/>
      <c r="M160" s="244"/>
      <c r="N160" s="244"/>
      <c r="O160" s="244"/>
      <c r="P160" s="244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  <c r="AA160" s="244"/>
      <c r="AB160" s="244"/>
      <c r="AC160" s="244"/>
      <c r="AD160" s="244"/>
      <c r="AE160" s="244"/>
      <c r="AF160" s="244"/>
      <c r="AG160" s="244"/>
    </row>
    <row r="161" spans="1:33" ht="15.75" customHeight="1" x14ac:dyDescent="0.25">
      <c r="A161" s="244"/>
      <c r="B161" s="244"/>
      <c r="C161" s="244"/>
      <c r="D161" s="244"/>
      <c r="E161" s="244"/>
      <c r="F161" s="244"/>
      <c r="G161" s="244"/>
      <c r="H161" s="244"/>
      <c r="I161" s="244"/>
      <c r="J161" s="244"/>
      <c r="K161" s="244"/>
      <c r="L161" s="244"/>
      <c r="M161" s="244"/>
      <c r="N161" s="244"/>
      <c r="O161" s="244"/>
      <c r="P161" s="244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  <c r="AA161" s="244"/>
      <c r="AB161" s="244"/>
      <c r="AC161" s="244"/>
      <c r="AD161" s="244"/>
      <c r="AE161" s="244"/>
      <c r="AF161" s="244"/>
      <c r="AG161" s="244"/>
    </row>
    <row r="162" spans="1:33" ht="15.75" customHeight="1" x14ac:dyDescent="0.25">
      <c r="A162" s="244"/>
      <c r="B162" s="244"/>
      <c r="C162" s="244"/>
      <c r="D162" s="244"/>
      <c r="E162" s="244"/>
      <c r="F162" s="244"/>
      <c r="G162" s="244"/>
      <c r="H162" s="244"/>
      <c r="I162" s="244"/>
      <c r="J162" s="244"/>
      <c r="K162" s="244"/>
      <c r="L162" s="244"/>
      <c r="M162" s="244"/>
      <c r="N162" s="244"/>
      <c r="O162" s="244"/>
      <c r="P162" s="244"/>
      <c r="Q162" s="244"/>
      <c r="R162" s="244"/>
      <c r="S162" s="244"/>
      <c r="T162" s="244"/>
      <c r="U162" s="244"/>
      <c r="V162" s="244"/>
      <c r="W162" s="244"/>
      <c r="X162" s="244"/>
      <c r="Y162" s="244"/>
      <c r="Z162" s="244"/>
      <c r="AA162" s="244"/>
      <c r="AB162" s="244"/>
      <c r="AC162" s="244"/>
      <c r="AD162" s="244"/>
      <c r="AE162" s="244"/>
      <c r="AF162" s="244"/>
      <c r="AG162" s="244"/>
    </row>
    <row r="163" spans="1:33" ht="15.75" customHeight="1" x14ac:dyDescent="0.25">
      <c r="A163" s="244"/>
      <c r="B163" s="244"/>
      <c r="C163" s="244"/>
      <c r="D163" s="244"/>
      <c r="E163" s="244"/>
      <c r="F163" s="244"/>
      <c r="G163" s="244"/>
      <c r="H163" s="244"/>
      <c r="I163" s="244"/>
      <c r="J163" s="244"/>
      <c r="K163" s="244"/>
      <c r="L163" s="244"/>
      <c r="M163" s="244"/>
      <c r="N163" s="244"/>
      <c r="O163" s="244"/>
      <c r="P163" s="244"/>
      <c r="Q163" s="244"/>
      <c r="R163" s="244"/>
      <c r="S163" s="244"/>
      <c r="T163" s="244"/>
      <c r="U163" s="244"/>
      <c r="V163" s="244"/>
      <c r="W163" s="244"/>
      <c r="X163" s="244"/>
      <c r="Y163" s="244"/>
      <c r="Z163" s="244"/>
      <c r="AA163" s="244"/>
      <c r="AB163" s="244"/>
      <c r="AC163" s="244"/>
      <c r="AD163" s="244"/>
      <c r="AE163" s="244"/>
      <c r="AF163" s="244"/>
      <c r="AG163" s="244"/>
    </row>
    <row r="164" spans="1:33" ht="15.75" customHeight="1" x14ac:dyDescent="0.25">
      <c r="A164" s="244"/>
      <c r="B164" s="244"/>
      <c r="C164" s="244"/>
      <c r="D164" s="244"/>
      <c r="E164" s="244"/>
      <c r="F164" s="244"/>
      <c r="G164" s="244"/>
      <c r="H164" s="244"/>
      <c r="I164" s="244"/>
      <c r="J164" s="244"/>
      <c r="K164" s="244"/>
      <c r="L164" s="244"/>
      <c r="M164" s="244"/>
      <c r="N164" s="244"/>
      <c r="O164" s="244"/>
      <c r="P164" s="244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  <c r="AA164" s="244"/>
      <c r="AB164" s="244"/>
      <c r="AC164" s="244"/>
      <c r="AD164" s="244"/>
      <c r="AE164" s="244"/>
      <c r="AF164" s="244"/>
      <c r="AG164" s="244"/>
    </row>
    <row r="165" spans="1:33" ht="15.75" customHeight="1" x14ac:dyDescent="0.25">
      <c r="A165" s="244"/>
      <c r="B165" s="244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244"/>
      <c r="R165" s="244"/>
      <c r="S165" s="244"/>
      <c r="T165" s="244"/>
      <c r="U165" s="244"/>
      <c r="V165" s="244"/>
      <c r="W165" s="244"/>
      <c r="X165" s="244"/>
      <c r="Y165" s="244"/>
      <c r="Z165" s="244"/>
      <c r="AA165" s="244"/>
      <c r="AB165" s="244"/>
      <c r="AC165" s="244"/>
      <c r="AD165" s="244"/>
      <c r="AE165" s="244"/>
      <c r="AF165" s="244"/>
      <c r="AG165" s="244"/>
    </row>
    <row r="166" spans="1:33" ht="15.75" customHeight="1" x14ac:dyDescent="0.25">
      <c r="A166" s="244"/>
      <c r="B166" s="244"/>
      <c r="C166" s="244"/>
      <c r="D166" s="244"/>
      <c r="E166" s="244"/>
      <c r="F166" s="244"/>
      <c r="G166" s="244"/>
      <c r="H166" s="244"/>
      <c r="I166" s="244"/>
      <c r="J166" s="244"/>
      <c r="K166" s="244"/>
      <c r="L166" s="244"/>
      <c r="M166" s="244"/>
      <c r="N166" s="244"/>
      <c r="O166" s="244"/>
      <c r="P166" s="244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  <c r="AA166" s="244"/>
      <c r="AB166" s="244"/>
      <c r="AC166" s="244"/>
      <c r="AD166" s="244"/>
      <c r="AE166" s="244"/>
      <c r="AF166" s="244"/>
      <c r="AG166" s="244"/>
    </row>
    <row r="167" spans="1:33" ht="15.75" customHeight="1" x14ac:dyDescent="0.25">
      <c r="A167" s="244"/>
      <c r="B167" s="244"/>
      <c r="C167" s="244"/>
      <c r="D167" s="244"/>
      <c r="E167" s="244"/>
      <c r="F167" s="244"/>
      <c r="G167" s="244"/>
      <c r="H167" s="244"/>
      <c r="I167" s="244"/>
      <c r="J167" s="244"/>
      <c r="K167" s="244"/>
      <c r="L167" s="244"/>
      <c r="M167" s="244"/>
      <c r="N167" s="244"/>
      <c r="O167" s="244"/>
      <c r="P167" s="244"/>
      <c r="Q167" s="244"/>
      <c r="R167" s="244"/>
      <c r="S167" s="244"/>
      <c r="T167" s="244"/>
      <c r="U167" s="244"/>
      <c r="V167" s="244"/>
      <c r="W167" s="244"/>
      <c r="X167" s="244"/>
      <c r="Y167" s="244"/>
      <c r="Z167" s="244"/>
      <c r="AA167" s="244"/>
      <c r="AB167" s="244"/>
      <c r="AC167" s="244"/>
      <c r="AD167" s="244"/>
      <c r="AE167" s="244"/>
      <c r="AF167" s="244"/>
      <c r="AG167" s="244"/>
    </row>
    <row r="168" spans="1:33" ht="15.75" customHeight="1" x14ac:dyDescent="0.25">
      <c r="A168" s="244"/>
      <c r="B168" s="244"/>
      <c r="C168" s="244"/>
      <c r="D168" s="244"/>
      <c r="E168" s="244"/>
      <c r="F168" s="244"/>
      <c r="G168" s="244"/>
      <c r="H168" s="244"/>
      <c r="I168" s="244"/>
      <c r="J168" s="244"/>
      <c r="K168" s="244"/>
      <c r="L168" s="244"/>
      <c r="M168" s="244"/>
      <c r="N168" s="244"/>
      <c r="O168" s="244"/>
      <c r="P168" s="244"/>
      <c r="Q168" s="244"/>
      <c r="R168" s="244"/>
      <c r="S168" s="244"/>
      <c r="T168" s="244"/>
      <c r="U168" s="244"/>
      <c r="V168" s="244"/>
      <c r="W168" s="244"/>
      <c r="X168" s="244"/>
      <c r="Y168" s="244"/>
      <c r="Z168" s="244"/>
      <c r="AA168" s="244"/>
      <c r="AB168" s="244"/>
      <c r="AC168" s="244"/>
      <c r="AD168" s="244"/>
      <c r="AE168" s="244"/>
      <c r="AF168" s="244"/>
      <c r="AG168" s="244"/>
    </row>
    <row r="169" spans="1:33" ht="15.75" customHeight="1" x14ac:dyDescent="0.25">
      <c r="A169" s="244"/>
      <c r="B169" s="244"/>
      <c r="C169" s="244"/>
      <c r="D169" s="244"/>
      <c r="E169" s="244"/>
      <c r="F169" s="244"/>
      <c r="G169" s="244"/>
      <c r="H169" s="244"/>
      <c r="I169" s="244"/>
      <c r="J169" s="244"/>
      <c r="K169" s="244"/>
      <c r="L169" s="244"/>
      <c r="M169" s="244"/>
      <c r="N169" s="244"/>
      <c r="O169" s="244"/>
      <c r="P169" s="244"/>
      <c r="Q169" s="244"/>
      <c r="R169" s="244"/>
      <c r="S169" s="244"/>
      <c r="T169" s="244"/>
      <c r="U169" s="244"/>
      <c r="V169" s="244"/>
      <c r="W169" s="244"/>
      <c r="X169" s="244"/>
      <c r="Y169" s="244"/>
      <c r="Z169" s="244"/>
      <c r="AA169" s="244"/>
      <c r="AB169" s="244"/>
      <c r="AC169" s="244"/>
      <c r="AD169" s="244"/>
      <c r="AE169" s="244"/>
      <c r="AF169" s="244"/>
      <c r="AG169" s="244"/>
    </row>
    <row r="170" spans="1:33" ht="15.75" customHeight="1" x14ac:dyDescent="0.25">
      <c r="A170" s="244"/>
      <c r="B170" s="244"/>
      <c r="C170" s="244"/>
      <c r="D170" s="244"/>
      <c r="E170" s="244"/>
      <c r="F170" s="244"/>
      <c r="G170" s="244"/>
      <c r="H170" s="244"/>
      <c r="I170" s="244"/>
      <c r="J170" s="244"/>
      <c r="K170" s="244"/>
      <c r="L170" s="244"/>
      <c r="M170" s="244"/>
      <c r="N170" s="244"/>
      <c r="O170" s="244"/>
      <c r="P170" s="244"/>
      <c r="Q170" s="244"/>
      <c r="R170" s="244"/>
      <c r="S170" s="244"/>
      <c r="T170" s="244"/>
      <c r="U170" s="244"/>
      <c r="V170" s="244"/>
      <c r="W170" s="244"/>
      <c r="X170" s="244"/>
      <c r="Y170" s="244"/>
      <c r="Z170" s="244"/>
      <c r="AA170" s="244"/>
      <c r="AB170" s="244"/>
      <c r="AC170" s="244"/>
      <c r="AD170" s="244"/>
      <c r="AE170" s="244"/>
      <c r="AF170" s="244"/>
      <c r="AG170" s="244"/>
    </row>
    <row r="171" spans="1:33" ht="15.75" customHeight="1" x14ac:dyDescent="0.25">
      <c r="A171" s="244"/>
      <c r="B171" s="244"/>
      <c r="C171" s="244"/>
      <c r="D171" s="244"/>
      <c r="E171" s="244"/>
      <c r="F171" s="244"/>
      <c r="G171" s="244"/>
      <c r="H171" s="244"/>
      <c r="I171" s="244"/>
      <c r="J171" s="244"/>
      <c r="K171" s="244"/>
      <c r="L171" s="244"/>
      <c r="M171" s="244"/>
      <c r="N171" s="244"/>
      <c r="O171" s="244"/>
      <c r="P171" s="244"/>
      <c r="Q171" s="244"/>
      <c r="R171" s="244"/>
      <c r="S171" s="244"/>
      <c r="T171" s="244"/>
      <c r="U171" s="244"/>
      <c r="V171" s="244"/>
      <c r="W171" s="244"/>
      <c r="X171" s="244"/>
      <c r="Y171" s="244"/>
      <c r="Z171" s="244"/>
      <c r="AA171" s="244"/>
      <c r="AB171" s="244"/>
      <c r="AC171" s="244"/>
      <c r="AD171" s="244"/>
      <c r="AE171" s="244"/>
      <c r="AF171" s="244"/>
      <c r="AG171" s="244"/>
    </row>
    <row r="172" spans="1:33" ht="15.75" customHeight="1" x14ac:dyDescent="0.25">
      <c r="A172" s="244"/>
      <c r="B172" s="244"/>
      <c r="C172" s="244"/>
      <c r="D172" s="244"/>
      <c r="E172" s="244"/>
      <c r="F172" s="244"/>
      <c r="G172" s="244"/>
      <c r="H172" s="244"/>
      <c r="I172" s="244"/>
      <c r="J172" s="244"/>
      <c r="K172" s="244"/>
      <c r="L172" s="244"/>
      <c r="M172" s="244"/>
      <c r="N172" s="244"/>
      <c r="O172" s="244"/>
      <c r="P172" s="244"/>
      <c r="Q172" s="244"/>
      <c r="R172" s="244"/>
      <c r="S172" s="244"/>
      <c r="T172" s="244"/>
      <c r="U172" s="244"/>
      <c r="V172" s="244"/>
      <c r="W172" s="244"/>
      <c r="X172" s="244"/>
      <c r="Y172" s="244"/>
      <c r="Z172" s="244"/>
      <c r="AA172" s="244"/>
      <c r="AB172" s="244"/>
      <c r="AC172" s="244"/>
      <c r="AD172" s="244"/>
      <c r="AE172" s="244"/>
      <c r="AF172" s="244"/>
      <c r="AG172" s="244"/>
    </row>
    <row r="173" spans="1:33" ht="15.75" customHeight="1" x14ac:dyDescent="0.25">
      <c r="A173" s="244"/>
      <c r="B173" s="244"/>
      <c r="C173" s="244"/>
      <c r="D173" s="244"/>
      <c r="E173" s="244"/>
      <c r="F173" s="244"/>
      <c r="G173" s="244"/>
      <c r="H173" s="244"/>
      <c r="I173" s="244"/>
      <c r="J173" s="244"/>
      <c r="K173" s="244"/>
      <c r="L173" s="244"/>
      <c r="M173" s="244"/>
      <c r="N173" s="244"/>
      <c r="O173" s="244"/>
      <c r="P173" s="244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  <c r="AA173" s="244"/>
      <c r="AB173" s="244"/>
      <c r="AC173" s="244"/>
      <c r="AD173" s="244"/>
      <c r="AE173" s="244"/>
      <c r="AF173" s="244"/>
      <c r="AG173" s="244"/>
    </row>
    <row r="174" spans="1:33" ht="15.75" customHeight="1" x14ac:dyDescent="0.25">
      <c r="A174" s="244"/>
      <c r="B174" s="244"/>
      <c r="C174" s="244"/>
      <c r="D174" s="244"/>
      <c r="E174" s="244"/>
      <c r="F174" s="244"/>
      <c r="G174" s="244"/>
      <c r="H174" s="244"/>
      <c r="I174" s="244"/>
      <c r="J174" s="244"/>
      <c r="K174" s="244"/>
      <c r="L174" s="244"/>
      <c r="M174" s="244"/>
      <c r="N174" s="244"/>
      <c r="O174" s="244"/>
      <c r="P174" s="244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  <c r="AA174" s="244"/>
      <c r="AB174" s="244"/>
      <c r="AC174" s="244"/>
      <c r="AD174" s="244"/>
      <c r="AE174" s="244"/>
      <c r="AF174" s="244"/>
      <c r="AG174" s="244"/>
    </row>
    <row r="175" spans="1:33" ht="15.75" customHeight="1" x14ac:dyDescent="0.25">
      <c r="A175" s="244"/>
      <c r="B175" s="244"/>
      <c r="C175" s="244"/>
      <c r="D175" s="244"/>
      <c r="E175" s="244"/>
      <c r="F175" s="244"/>
      <c r="G175" s="244"/>
      <c r="H175" s="244"/>
      <c r="I175" s="244"/>
      <c r="J175" s="244"/>
      <c r="K175" s="244"/>
      <c r="L175" s="244"/>
      <c r="M175" s="244"/>
      <c r="N175" s="244"/>
      <c r="O175" s="244"/>
      <c r="P175" s="244"/>
      <c r="Q175" s="244"/>
      <c r="R175" s="244"/>
      <c r="S175" s="244"/>
      <c r="T175" s="244"/>
      <c r="U175" s="244"/>
      <c r="V175" s="244"/>
      <c r="W175" s="244"/>
      <c r="X175" s="244"/>
      <c r="Y175" s="244"/>
      <c r="Z175" s="244"/>
      <c r="AA175" s="244"/>
      <c r="AB175" s="244"/>
      <c r="AC175" s="244"/>
      <c r="AD175" s="244"/>
      <c r="AE175" s="244"/>
      <c r="AF175" s="244"/>
      <c r="AG175" s="244"/>
    </row>
    <row r="176" spans="1:33" ht="15.75" customHeight="1" x14ac:dyDescent="0.25">
      <c r="A176" s="244"/>
      <c r="B176" s="244"/>
      <c r="C176" s="244"/>
      <c r="D176" s="244"/>
      <c r="E176" s="244"/>
      <c r="F176" s="244"/>
      <c r="G176" s="244"/>
      <c r="H176" s="244"/>
      <c r="I176" s="244"/>
      <c r="J176" s="244"/>
      <c r="K176" s="244"/>
      <c r="L176" s="244"/>
      <c r="M176" s="244"/>
      <c r="N176" s="244"/>
      <c r="O176" s="244"/>
      <c r="P176" s="244"/>
      <c r="Q176" s="244"/>
      <c r="R176" s="244"/>
      <c r="S176" s="244"/>
      <c r="T176" s="244"/>
      <c r="U176" s="244"/>
      <c r="V176" s="244"/>
      <c r="W176" s="244"/>
      <c r="X176" s="244"/>
      <c r="Y176" s="244"/>
      <c r="Z176" s="244"/>
      <c r="AA176" s="244"/>
      <c r="AB176" s="244"/>
      <c r="AC176" s="244"/>
      <c r="AD176" s="244"/>
      <c r="AE176" s="244"/>
      <c r="AF176" s="244"/>
      <c r="AG176" s="244"/>
    </row>
    <row r="177" spans="1:33" ht="15.75" customHeight="1" x14ac:dyDescent="0.25">
      <c r="A177" s="244"/>
      <c r="B177" s="244"/>
      <c r="C177" s="244"/>
      <c r="D177" s="244"/>
      <c r="E177" s="244"/>
      <c r="F177" s="244"/>
      <c r="G177" s="244"/>
      <c r="H177" s="244"/>
      <c r="I177" s="244"/>
      <c r="J177" s="244"/>
      <c r="K177" s="244"/>
      <c r="L177" s="244"/>
      <c r="M177" s="244"/>
      <c r="N177" s="244"/>
      <c r="O177" s="244"/>
      <c r="P177" s="244"/>
      <c r="Q177" s="244"/>
      <c r="R177" s="244"/>
      <c r="S177" s="244"/>
      <c r="T177" s="244"/>
      <c r="U177" s="244"/>
      <c r="V177" s="244"/>
      <c r="W177" s="244"/>
      <c r="X177" s="244"/>
      <c r="Y177" s="244"/>
      <c r="Z177" s="244"/>
      <c r="AA177" s="244"/>
      <c r="AB177" s="244"/>
      <c r="AC177" s="244"/>
      <c r="AD177" s="244"/>
      <c r="AE177" s="244"/>
      <c r="AF177" s="244"/>
      <c r="AG177" s="244"/>
    </row>
    <row r="178" spans="1:33" ht="15.75" customHeight="1" x14ac:dyDescent="0.25">
      <c r="A178" s="244"/>
      <c r="B178" s="244"/>
      <c r="C178" s="244"/>
      <c r="D178" s="244"/>
      <c r="E178" s="244"/>
      <c r="F178" s="244"/>
      <c r="G178" s="244"/>
      <c r="H178" s="244"/>
      <c r="I178" s="244"/>
      <c r="J178" s="244"/>
      <c r="K178" s="244"/>
      <c r="L178" s="244"/>
      <c r="M178" s="244"/>
      <c r="N178" s="244"/>
      <c r="O178" s="244"/>
      <c r="P178" s="244"/>
      <c r="Q178" s="244"/>
      <c r="R178" s="244"/>
      <c r="S178" s="244"/>
      <c r="T178" s="244"/>
      <c r="U178" s="244"/>
      <c r="V178" s="244"/>
      <c r="W178" s="244"/>
      <c r="X178" s="244"/>
      <c r="Y178" s="244"/>
      <c r="Z178" s="244"/>
      <c r="AA178" s="244"/>
      <c r="AB178" s="244"/>
      <c r="AC178" s="244"/>
      <c r="AD178" s="244"/>
      <c r="AE178" s="244"/>
      <c r="AF178" s="244"/>
      <c r="AG178" s="244"/>
    </row>
    <row r="179" spans="1:33" ht="15.75" customHeight="1" x14ac:dyDescent="0.25">
      <c r="A179" s="244"/>
      <c r="B179" s="244"/>
      <c r="C179" s="244"/>
      <c r="D179" s="244"/>
      <c r="E179" s="244"/>
      <c r="F179" s="244"/>
      <c r="G179" s="244"/>
      <c r="H179" s="244"/>
      <c r="I179" s="244"/>
      <c r="J179" s="244"/>
      <c r="K179" s="244"/>
      <c r="L179" s="244"/>
      <c r="M179" s="244"/>
      <c r="N179" s="244"/>
      <c r="O179" s="244"/>
      <c r="P179" s="244"/>
      <c r="Q179" s="244"/>
      <c r="R179" s="244"/>
      <c r="S179" s="244"/>
      <c r="T179" s="244"/>
      <c r="U179" s="244"/>
      <c r="V179" s="244"/>
      <c r="W179" s="244"/>
      <c r="X179" s="244"/>
      <c r="Y179" s="244"/>
      <c r="Z179" s="244"/>
      <c r="AA179" s="244"/>
      <c r="AB179" s="244"/>
      <c r="AC179" s="244"/>
      <c r="AD179" s="244"/>
      <c r="AE179" s="244"/>
      <c r="AF179" s="244"/>
      <c r="AG179" s="244"/>
    </row>
    <row r="180" spans="1:33" ht="15.75" customHeight="1" x14ac:dyDescent="0.25">
      <c r="A180" s="244"/>
      <c r="B180" s="244"/>
      <c r="C180" s="244"/>
      <c r="D180" s="244"/>
      <c r="E180" s="244"/>
      <c r="F180" s="244"/>
      <c r="G180" s="244"/>
      <c r="H180" s="244"/>
      <c r="I180" s="244"/>
      <c r="J180" s="244"/>
      <c r="K180" s="244"/>
      <c r="L180" s="244"/>
      <c r="M180" s="244"/>
      <c r="N180" s="244"/>
      <c r="O180" s="244"/>
      <c r="P180" s="244"/>
      <c r="Q180" s="244"/>
      <c r="R180" s="244"/>
      <c r="S180" s="244"/>
      <c r="T180" s="244"/>
      <c r="U180" s="244"/>
      <c r="V180" s="244"/>
      <c r="W180" s="244"/>
      <c r="X180" s="244"/>
      <c r="Y180" s="244"/>
      <c r="Z180" s="244"/>
      <c r="AA180" s="244"/>
      <c r="AB180" s="244"/>
      <c r="AC180" s="244"/>
      <c r="AD180" s="244"/>
      <c r="AE180" s="244"/>
      <c r="AF180" s="244"/>
      <c r="AG180" s="244"/>
    </row>
    <row r="181" spans="1:33" ht="15.75" customHeight="1" x14ac:dyDescent="0.25">
      <c r="A181" s="244"/>
      <c r="B181" s="244"/>
      <c r="C181" s="244"/>
      <c r="D181" s="244"/>
      <c r="E181" s="244"/>
      <c r="F181" s="244"/>
      <c r="G181" s="244"/>
      <c r="H181" s="244"/>
      <c r="I181" s="244"/>
      <c r="J181" s="244"/>
      <c r="K181" s="244"/>
      <c r="L181" s="244"/>
      <c r="M181" s="244"/>
      <c r="N181" s="244"/>
      <c r="O181" s="244"/>
      <c r="P181" s="244"/>
      <c r="Q181" s="244"/>
      <c r="R181" s="244"/>
      <c r="S181" s="244"/>
      <c r="T181" s="244"/>
      <c r="U181" s="244"/>
      <c r="V181" s="244"/>
      <c r="W181" s="244"/>
      <c r="X181" s="244"/>
      <c r="Y181" s="244"/>
      <c r="Z181" s="244"/>
      <c r="AA181" s="244"/>
      <c r="AB181" s="244"/>
      <c r="AC181" s="244"/>
      <c r="AD181" s="244"/>
      <c r="AE181" s="244"/>
      <c r="AF181" s="244"/>
      <c r="AG181" s="244"/>
    </row>
    <row r="182" spans="1:33" ht="15.75" customHeight="1" x14ac:dyDescent="0.25">
      <c r="A182" s="244"/>
      <c r="B182" s="244"/>
      <c r="C182" s="244"/>
      <c r="D182" s="244"/>
      <c r="E182" s="244"/>
      <c r="F182" s="244"/>
      <c r="G182" s="244"/>
      <c r="H182" s="244"/>
      <c r="I182" s="244"/>
      <c r="J182" s="244"/>
      <c r="K182" s="244"/>
      <c r="L182" s="244"/>
      <c r="M182" s="244"/>
      <c r="N182" s="244"/>
      <c r="O182" s="244"/>
      <c r="P182" s="244"/>
      <c r="Q182" s="244"/>
      <c r="R182" s="244"/>
      <c r="S182" s="244"/>
      <c r="T182" s="244"/>
      <c r="U182" s="244"/>
      <c r="V182" s="244"/>
      <c r="W182" s="244"/>
      <c r="X182" s="244"/>
      <c r="Y182" s="244"/>
      <c r="Z182" s="244"/>
      <c r="AA182" s="244"/>
      <c r="AB182" s="244"/>
      <c r="AC182" s="244"/>
      <c r="AD182" s="244"/>
      <c r="AE182" s="244"/>
      <c r="AF182" s="244"/>
      <c r="AG182" s="244"/>
    </row>
    <row r="183" spans="1:33" ht="15.75" customHeight="1" x14ac:dyDescent="0.25">
      <c r="A183" s="244"/>
      <c r="B183" s="244"/>
      <c r="C183" s="244"/>
      <c r="D183" s="244"/>
      <c r="E183" s="244"/>
      <c r="F183" s="244"/>
      <c r="G183" s="244"/>
      <c r="H183" s="244"/>
      <c r="I183" s="244"/>
      <c r="J183" s="244"/>
      <c r="K183" s="244"/>
      <c r="L183" s="244"/>
      <c r="M183" s="244"/>
      <c r="N183" s="244"/>
      <c r="O183" s="244"/>
      <c r="P183" s="244"/>
      <c r="Q183" s="244"/>
      <c r="R183" s="244"/>
      <c r="S183" s="244"/>
      <c r="T183" s="244"/>
      <c r="U183" s="244"/>
      <c r="V183" s="244"/>
      <c r="W183" s="244"/>
      <c r="X183" s="244"/>
      <c r="Y183" s="244"/>
      <c r="Z183" s="244"/>
      <c r="AA183" s="244"/>
      <c r="AB183" s="244"/>
      <c r="AC183" s="244"/>
      <c r="AD183" s="244"/>
      <c r="AE183" s="244"/>
      <c r="AF183" s="244"/>
      <c r="AG183" s="244"/>
    </row>
    <row r="184" spans="1:33" ht="15.75" customHeight="1" x14ac:dyDescent="0.25">
      <c r="A184" s="244"/>
      <c r="B184" s="244"/>
      <c r="C184" s="244"/>
      <c r="D184" s="244"/>
      <c r="E184" s="244"/>
      <c r="F184" s="244"/>
      <c r="G184" s="244"/>
      <c r="H184" s="244"/>
      <c r="I184" s="244"/>
      <c r="J184" s="244"/>
      <c r="K184" s="244"/>
      <c r="L184" s="244"/>
      <c r="M184" s="244"/>
      <c r="N184" s="244"/>
      <c r="O184" s="244"/>
      <c r="P184" s="244"/>
      <c r="Q184" s="244"/>
      <c r="R184" s="244"/>
      <c r="S184" s="244"/>
      <c r="T184" s="244"/>
      <c r="U184" s="244"/>
      <c r="V184" s="244"/>
      <c r="W184" s="244"/>
      <c r="X184" s="244"/>
      <c r="Y184" s="244"/>
      <c r="Z184" s="244"/>
      <c r="AA184" s="244"/>
      <c r="AB184" s="244"/>
      <c r="AC184" s="244"/>
      <c r="AD184" s="244"/>
      <c r="AE184" s="244"/>
      <c r="AF184" s="244"/>
      <c r="AG184" s="244"/>
    </row>
    <row r="185" spans="1:33" ht="15.75" customHeight="1" x14ac:dyDescent="0.25">
      <c r="A185" s="244"/>
      <c r="B185" s="244"/>
      <c r="C185" s="244"/>
      <c r="D185" s="244"/>
      <c r="E185" s="244"/>
      <c r="F185" s="244"/>
      <c r="G185" s="244"/>
      <c r="H185" s="244"/>
      <c r="I185" s="244"/>
      <c r="J185" s="244"/>
      <c r="K185" s="244"/>
      <c r="L185" s="244"/>
      <c r="M185" s="244"/>
      <c r="N185" s="244"/>
      <c r="O185" s="244"/>
      <c r="P185" s="244"/>
      <c r="Q185" s="244"/>
      <c r="R185" s="244"/>
      <c r="S185" s="244"/>
      <c r="T185" s="244"/>
      <c r="U185" s="244"/>
      <c r="V185" s="244"/>
      <c r="W185" s="244"/>
      <c r="X185" s="244"/>
      <c r="Y185" s="244"/>
      <c r="Z185" s="244"/>
      <c r="AA185" s="244"/>
      <c r="AB185" s="244"/>
      <c r="AC185" s="244"/>
      <c r="AD185" s="244"/>
      <c r="AE185" s="244"/>
      <c r="AF185" s="244"/>
      <c r="AG185" s="244"/>
    </row>
    <row r="186" spans="1:33" ht="15.75" customHeight="1" x14ac:dyDescent="0.25">
      <c r="A186" s="244"/>
      <c r="B186" s="244"/>
      <c r="C186" s="244"/>
      <c r="D186" s="244"/>
      <c r="E186" s="244"/>
      <c r="F186" s="244"/>
      <c r="G186" s="244"/>
      <c r="H186" s="244"/>
      <c r="I186" s="244"/>
      <c r="J186" s="244"/>
      <c r="K186" s="244"/>
      <c r="L186" s="244"/>
      <c r="M186" s="244"/>
      <c r="N186" s="244"/>
      <c r="O186" s="244"/>
      <c r="P186" s="244"/>
      <c r="Q186" s="244"/>
      <c r="R186" s="244"/>
      <c r="S186" s="244"/>
      <c r="T186" s="244"/>
      <c r="U186" s="244"/>
      <c r="V186" s="244"/>
      <c r="W186" s="244"/>
      <c r="X186" s="244"/>
      <c r="Y186" s="244"/>
      <c r="Z186" s="244"/>
      <c r="AA186" s="244"/>
      <c r="AB186" s="244"/>
      <c r="AC186" s="244"/>
      <c r="AD186" s="244"/>
      <c r="AE186" s="244"/>
      <c r="AF186" s="244"/>
      <c r="AG186" s="244"/>
    </row>
    <row r="187" spans="1:33" ht="15.75" customHeight="1" x14ac:dyDescent="0.25">
      <c r="A187" s="244"/>
      <c r="B187" s="244"/>
      <c r="C187" s="244"/>
      <c r="D187" s="244"/>
      <c r="E187" s="244"/>
      <c r="F187" s="244"/>
      <c r="G187" s="244"/>
      <c r="H187" s="244"/>
      <c r="I187" s="244"/>
      <c r="J187" s="244"/>
      <c r="K187" s="244"/>
      <c r="L187" s="244"/>
      <c r="M187" s="244"/>
      <c r="N187" s="244"/>
      <c r="O187" s="244"/>
      <c r="P187" s="244"/>
      <c r="Q187" s="244"/>
      <c r="R187" s="244"/>
      <c r="S187" s="244"/>
      <c r="T187" s="244"/>
      <c r="U187" s="244"/>
      <c r="V187" s="244"/>
      <c r="W187" s="244"/>
      <c r="X187" s="244"/>
      <c r="Y187" s="244"/>
      <c r="Z187" s="244"/>
      <c r="AA187" s="244"/>
      <c r="AB187" s="244"/>
      <c r="AC187" s="244"/>
      <c r="AD187" s="244"/>
      <c r="AE187" s="244"/>
      <c r="AF187" s="244"/>
      <c r="AG187" s="244"/>
    </row>
    <row r="188" spans="1:33" ht="15.75" customHeight="1" x14ac:dyDescent="0.25">
      <c r="A188" s="244"/>
      <c r="B188" s="244"/>
      <c r="C188" s="244"/>
      <c r="D188" s="244"/>
      <c r="E188" s="244"/>
      <c r="F188" s="244"/>
      <c r="G188" s="244"/>
      <c r="H188" s="244"/>
      <c r="I188" s="244"/>
      <c r="J188" s="244"/>
      <c r="K188" s="244"/>
      <c r="L188" s="244"/>
      <c r="M188" s="244"/>
      <c r="N188" s="244"/>
      <c r="O188" s="244"/>
      <c r="P188" s="244"/>
      <c r="Q188" s="244"/>
      <c r="R188" s="244"/>
      <c r="S188" s="244"/>
      <c r="T188" s="244"/>
      <c r="U188" s="244"/>
      <c r="V188" s="244"/>
      <c r="W188" s="244"/>
      <c r="X188" s="244"/>
      <c r="Y188" s="244"/>
      <c r="Z188" s="244"/>
      <c r="AA188" s="244"/>
      <c r="AB188" s="244"/>
      <c r="AC188" s="244"/>
      <c r="AD188" s="244"/>
      <c r="AE188" s="244"/>
      <c r="AF188" s="244"/>
      <c r="AG188" s="244"/>
    </row>
    <row r="189" spans="1:33" ht="15.75" customHeight="1" x14ac:dyDescent="0.25">
      <c r="A189" s="244"/>
      <c r="B189" s="244"/>
      <c r="C189" s="244"/>
      <c r="D189" s="244"/>
      <c r="E189" s="244"/>
      <c r="F189" s="244"/>
      <c r="G189" s="244"/>
      <c r="H189" s="244"/>
      <c r="I189" s="244"/>
      <c r="J189" s="244"/>
      <c r="K189" s="244"/>
      <c r="L189" s="244"/>
      <c r="M189" s="244"/>
      <c r="N189" s="244"/>
      <c r="O189" s="244"/>
      <c r="P189" s="244"/>
      <c r="Q189" s="244"/>
      <c r="R189" s="244"/>
      <c r="S189" s="244"/>
      <c r="T189" s="244"/>
      <c r="U189" s="244"/>
      <c r="V189" s="244"/>
      <c r="W189" s="244"/>
      <c r="X189" s="244"/>
      <c r="Y189" s="244"/>
      <c r="Z189" s="244"/>
      <c r="AA189" s="244"/>
      <c r="AB189" s="244"/>
      <c r="AC189" s="244"/>
      <c r="AD189" s="244"/>
      <c r="AE189" s="244"/>
      <c r="AF189" s="244"/>
      <c r="AG189" s="244"/>
    </row>
    <row r="190" spans="1:33" ht="15.75" customHeight="1" x14ac:dyDescent="0.25">
      <c r="A190" s="244"/>
      <c r="B190" s="244"/>
      <c r="C190" s="244"/>
      <c r="D190" s="244"/>
      <c r="E190" s="244"/>
      <c r="F190" s="244"/>
      <c r="G190" s="244"/>
      <c r="H190" s="244"/>
      <c r="I190" s="244"/>
      <c r="J190" s="244"/>
      <c r="K190" s="244"/>
      <c r="L190" s="244"/>
      <c r="M190" s="244"/>
      <c r="N190" s="244"/>
      <c r="O190" s="244"/>
      <c r="P190" s="244"/>
      <c r="Q190" s="244"/>
      <c r="R190" s="244"/>
      <c r="S190" s="244"/>
      <c r="T190" s="244"/>
      <c r="U190" s="244"/>
      <c r="V190" s="244"/>
      <c r="W190" s="244"/>
      <c r="X190" s="244"/>
      <c r="Y190" s="244"/>
      <c r="Z190" s="244"/>
      <c r="AA190" s="244"/>
      <c r="AB190" s="244"/>
      <c r="AC190" s="244"/>
      <c r="AD190" s="244"/>
      <c r="AE190" s="244"/>
      <c r="AF190" s="244"/>
      <c r="AG190" s="244"/>
    </row>
    <row r="191" spans="1:33" ht="15.75" customHeight="1" x14ac:dyDescent="0.25">
      <c r="A191" s="244"/>
      <c r="B191" s="244"/>
      <c r="C191" s="244"/>
      <c r="D191" s="244"/>
      <c r="E191" s="244"/>
      <c r="F191" s="244"/>
      <c r="G191" s="244"/>
      <c r="H191" s="244"/>
      <c r="I191" s="244"/>
      <c r="J191" s="244"/>
      <c r="K191" s="244"/>
      <c r="L191" s="244"/>
      <c r="M191" s="244"/>
      <c r="N191" s="244"/>
      <c r="O191" s="244"/>
      <c r="P191" s="244"/>
      <c r="Q191" s="244"/>
      <c r="R191" s="244"/>
      <c r="S191" s="244"/>
      <c r="T191" s="244"/>
      <c r="U191" s="244"/>
      <c r="V191" s="244"/>
      <c r="W191" s="244"/>
      <c r="X191" s="244"/>
      <c r="Y191" s="244"/>
      <c r="Z191" s="244"/>
      <c r="AA191" s="244"/>
      <c r="AB191" s="244"/>
      <c r="AC191" s="244"/>
      <c r="AD191" s="244"/>
      <c r="AE191" s="244"/>
      <c r="AF191" s="244"/>
      <c r="AG191" s="244"/>
    </row>
    <row r="192" spans="1:33" ht="15.75" customHeight="1" x14ac:dyDescent="0.25">
      <c r="A192" s="244"/>
      <c r="B192" s="244"/>
      <c r="C192" s="244"/>
      <c r="D192" s="244"/>
      <c r="E192" s="244"/>
      <c r="F192" s="244"/>
      <c r="G192" s="244"/>
      <c r="H192" s="244"/>
      <c r="I192" s="244"/>
      <c r="J192" s="244"/>
      <c r="K192" s="244"/>
      <c r="L192" s="244"/>
      <c r="M192" s="244"/>
      <c r="N192" s="244"/>
      <c r="O192" s="244"/>
      <c r="P192" s="244"/>
      <c r="Q192" s="244"/>
      <c r="R192" s="244"/>
      <c r="S192" s="244"/>
      <c r="T192" s="244"/>
      <c r="U192" s="244"/>
      <c r="V192" s="244"/>
      <c r="W192" s="244"/>
      <c r="X192" s="244"/>
      <c r="Y192" s="244"/>
      <c r="Z192" s="244"/>
      <c r="AA192" s="244"/>
      <c r="AB192" s="244"/>
      <c r="AC192" s="244"/>
      <c r="AD192" s="244"/>
      <c r="AE192" s="244"/>
      <c r="AF192" s="244"/>
      <c r="AG192" s="244"/>
    </row>
    <row r="193" spans="1:33" ht="15.75" customHeight="1" x14ac:dyDescent="0.25">
      <c r="A193" s="244"/>
      <c r="B193" s="244"/>
      <c r="C193" s="244"/>
      <c r="D193" s="244"/>
      <c r="E193" s="244"/>
      <c r="F193" s="244"/>
      <c r="G193" s="244"/>
      <c r="H193" s="244"/>
      <c r="I193" s="244"/>
      <c r="J193" s="244"/>
      <c r="K193" s="244"/>
      <c r="L193" s="244"/>
      <c r="M193" s="244"/>
      <c r="N193" s="244"/>
      <c r="O193" s="244"/>
      <c r="P193" s="244"/>
      <c r="Q193" s="244"/>
      <c r="R193" s="244"/>
      <c r="S193" s="244"/>
      <c r="T193" s="244"/>
      <c r="U193" s="244"/>
      <c r="V193" s="244"/>
      <c r="W193" s="244"/>
      <c r="X193" s="244"/>
      <c r="Y193" s="244"/>
      <c r="Z193" s="244"/>
      <c r="AA193" s="244"/>
      <c r="AB193" s="244"/>
      <c r="AC193" s="244"/>
      <c r="AD193" s="244"/>
      <c r="AE193" s="244"/>
      <c r="AF193" s="244"/>
      <c r="AG193" s="244"/>
    </row>
    <row r="194" spans="1:33" ht="15.75" customHeight="1" x14ac:dyDescent="0.25">
      <c r="A194" s="244"/>
      <c r="B194" s="244"/>
      <c r="C194" s="244"/>
      <c r="D194" s="244"/>
      <c r="E194" s="244"/>
      <c r="F194" s="244"/>
      <c r="G194" s="244"/>
      <c r="H194" s="244"/>
      <c r="I194" s="244"/>
      <c r="J194" s="244"/>
      <c r="K194" s="244"/>
      <c r="L194" s="244"/>
      <c r="M194" s="244"/>
      <c r="N194" s="244"/>
      <c r="O194" s="244"/>
      <c r="P194" s="244"/>
      <c r="Q194" s="244"/>
      <c r="R194" s="244"/>
      <c r="S194" s="244"/>
      <c r="T194" s="244"/>
      <c r="U194" s="244"/>
      <c r="V194" s="244"/>
      <c r="W194" s="244"/>
      <c r="X194" s="244"/>
      <c r="Y194" s="244"/>
      <c r="Z194" s="244"/>
      <c r="AA194" s="244"/>
      <c r="AB194" s="244"/>
      <c r="AC194" s="244"/>
      <c r="AD194" s="244"/>
      <c r="AE194" s="244"/>
      <c r="AF194" s="244"/>
      <c r="AG194" s="244"/>
    </row>
    <row r="195" spans="1:33" ht="15.75" customHeight="1" x14ac:dyDescent="0.25">
      <c r="A195" s="244"/>
      <c r="B195" s="244"/>
      <c r="C195" s="244"/>
      <c r="D195" s="244"/>
      <c r="E195" s="244"/>
      <c r="F195" s="244"/>
      <c r="G195" s="244"/>
      <c r="H195" s="244"/>
      <c r="I195" s="244"/>
      <c r="J195" s="244"/>
      <c r="K195" s="244"/>
      <c r="L195" s="244"/>
      <c r="M195" s="244"/>
      <c r="N195" s="244"/>
      <c r="O195" s="244"/>
      <c r="P195" s="244"/>
      <c r="Q195" s="244"/>
      <c r="R195" s="244"/>
      <c r="S195" s="244"/>
      <c r="T195" s="244"/>
      <c r="U195" s="244"/>
      <c r="V195" s="244"/>
      <c r="W195" s="244"/>
      <c r="X195" s="244"/>
      <c r="Y195" s="244"/>
      <c r="Z195" s="244"/>
      <c r="AA195" s="244"/>
      <c r="AB195" s="244"/>
      <c r="AC195" s="244"/>
      <c r="AD195" s="244"/>
      <c r="AE195" s="244"/>
      <c r="AF195" s="244"/>
      <c r="AG195" s="244"/>
    </row>
    <row r="196" spans="1:33" ht="15.75" customHeight="1" x14ac:dyDescent="0.25">
      <c r="A196" s="244"/>
      <c r="B196" s="244"/>
      <c r="C196" s="244"/>
      <c r="D196" s="244"/>
      <c r="E196" s="244"/>
      <c r="F196" s="244"/>
      <c r="G196" s="244"/>
      <c r="H196" s="244"/>
      <c r="I196" s="244"/>
      <c r="J196" s="244"/>
      <c r="K196" s="244"/>
      <c r="L196" s="244"/>
      <c r="M196" s="244"/>
      <c r="N196" s="244"/>
      <c r="O196" s="244"/>
      <c r="P196" s="244"/>
      <c r="Q196" s="244"/>
      <c r="R196" s="244"/>
      <c r="S196" s="244"/>
      <c r="T196" s="244"/>
      <c r="U196" s="244"/>
      <c r="V196" s="244"/>
      <c r="W196" s="244"/>
      <c r="X196" s="244"/>
      <c r="Y196" s="244"/>
      <c r="Z196" s="244"/>
      <c r="AA196" s="244"/>
      <c r="AB196" s="244"/>
      <c r="AC196" s="244"/>
      <c r="AD196" s="244"/>
      <c r="AE196" s="244"/>
      <c r="AF196" s="244"/>
      <c r="AG196" s="244"/>
    </row>
    <row r="197" spans="1:33" ht="15.75" customHeight="1" x14ac:dyDescent="0.25">
      <c r="A197" s="244"/>
      <c r="B197" s="244"/>
      <c r="C197" s="244"/>
      <c r="D197" s="244"/>
      <c r="E197" s="244"/>
      <c r="F197" s="244"/>
      <c r="G197" s="244"/>
      <c r="H197" s="244"/>
      <c r="I197" s="244"/>
      <c r="J197" s="244"/>
      <c r="K197" s="244"/>
      <c r="L197" s="244"/>
      <c r="M197" s="244"/>
      <c r="N197" s="244"/>
      <c r="O197" s="244"/>
      <c r="P197" s="244"/>
      <c r="Q197" s="244"/>
      <c r="R197" s="244"/>
      <c r="S197" s="244"/>
      <c r="T197" s="244"/>
      <c r="U197" s="244"/>
      <c r="V197" s="244"/>
      <c r="W197" s="244"/>
      <c r="X197" s="244"/>
      <c r="Y197" s="244"/>
      <c r="Z197" s="244"/>
      <c r="AA197" s="244"/>
      <c r="AB197" s="244"/>
      <c r="AC197" s="244"/>
      <c r="AD197" s="244"/>
      <c r="AE197" s="244"/>
      <c r="AF197" s="244"/>
      <c r="AG197" s="244"/>
    </row>
    <row r="198" spans="1:33" ht="15.75" customHeight="1" x14ac:dyDescent="0.25">
      <c r="A198" s="244"/>
      <c r="B198" s="244"/>
      <c r="C198" s="244"/>
      <c r="D198" s="244"/>
      <c r="E198" s="244"/>
      <c r="F198" s="244"/>
      <c r="G198" s="244"/>
      <c r="H198" s="244"/>
      <c r="I198" s="244"/>
      <c r="J198" s="244"/>
      <c r="K198" s="244"/>
      <c r="L198" s="244"/>
      <c r="M198" s="244"/>
      <c r="N198" s="244"/>
      <c r="O198" s="244"/>
      <c r="P198" s="244"/>
      <c r="Q198" s="244"/>
      <c r="R198" s="244"/>
      <c r="S198" s="244"/>
      <c r="T198" s="244"/>
      <c r="U198" s="244"/>
      <c r="V198" s="244"/>
      <c r="W198" s="244"/>
      <c r="X198" s="244"/>
      <c r="Y198" s="244"/>
      <c r="Z198" s="244"/>
      <c r="AA198" s="244"/>
      <c r="AB198" s="244"/>
      <c r="AC198" s="244"/>
      <c r="AD198" s="244"/>
      <c r="AE198" s="244"/>
      <c r="AF198" s="244"/>
      <c r="AG198" s="244"/>
    </row>
    <row r="199" spans="1:33" ht="15.75" customHeight="1" x14ac:dyDescent="0.25">
      <c r="A199" s="244"/>
      <c r="B199" s="244"/>
      <c r="C199" s="244"/>
      <c r="D199" s="244"/>
      <c r="E199" s="244"/>
      <c r="F199" s="244"/>
      <c r="G199" s="244"/>
      <c r="H199" s="244"/>
      <c r="I199" s="244"/>
      <c r="J199" s="244"/>
      <c r="K199" s="244"/>
      <c r="L199" s="244"/>
      <c r="M199" s="244"/>
      <c r="N199" s="244"/>
      <c r="O199" s="244"/>
      <c r="P199" s="244"/>
      <c r="Q199" s="244"/>
      <c r="R199" s="244"/>
      <c r="S199" s="244"/>
      <c r="T199" s="244"/>
      <c r="U199" s="244"/>
      <c r="V199" s="244"/>
      <c r="W199" s="244"/>
      <c r="X199" s="244"/>
      <c r="Y199" s="244"/>
      <c r="Z199" s="244"/>
      <c r="AA199" s="244"/>
      <c r="AB199" s="244"/>
      <c r="AC199" s="244"/>
      <c r="AD199" s="244"/>
      <c r="AE199" s="244"/>
      <c r="AF199" s="244"/>
      <c r="AG199" s="244"/>
    </row>
    <row r="200" spans="1:33" ht="15.75" customHeight="1" x14ac:dyDescent="0.25">
      <c r="A200" s="244"/>
      <c r="B200" s="244"/>
      <c r="C200" s="244"/>
      <c r="D200" s="244"/>
      <c r="E200" s="244"/>
      <c r="F200" s="244"/>
      <c r="G200" s="244"/>
      <c r="H200" s="244"/>
      <c r="I200" s="244"/>
      <c r="J200" s="244"/>
      <c r="K200" s="244"/>
      <c r="L200" s="244"/>
      <c r="M200" s="244"/>
      <c r="N200" s="244"/>
      <c r="O200" s="244"/>
      <c r="P200" s="244"/>
      <c r="Q200" s="244"/>
      <c r="R200" s="244"/>
      <c r="S200" s="244"/>
      <c r="T200" s="244"/>
      <c r="U200" s="244"/>
      <c r="V200" s="244"/>
      <c r="W200" s="244"/>
      <c r="X200" s="244"/>
      <c r="Y200" s="244"/>
      <c r="Z200" s="244"/>
      <c r="AA200" s="244"/>
      <c r="AB200" s="244"/>
      <c r="AC200" s="244"/>
      <c r="AD200" s="244"/>
      <c r="AE200" s="244"/>
      <c r="AF200" s="244"/>
      <c r="AG200" s="244"/>
    </row>
    <row r="201" spans="1:33" ht="15.75" customHeight="1" x14ac:dyDescent="0.25">
      <c r="A201" s="244"/>
      <c r="B201" s="244"/>
      <c r="C201" s="244"/>
      <c r="D201" s="244"/>
      <c r="E201" s="244"/>
      <c r="F201" s="244"/>
      <c r="G201" s="244"/>
      <c r="H201" s="244"/>
      <c r="I201" s="244"/>
      <c r="J201" s="244"/>
      <c r="K201" s="244"/>
      <c r="L201" s="244"/>
      <c r="M201" s="244"/>
      <c r="N201" s="244"/>
      <c r="O201" s="244"/>
      <c r="P201" s="244"/>
      <c r="Q201" s="244"/>
      <c r="R201" s="244"/>
      <c r="S201" s="244"/>
      <c r="T201" s="244"/>
      <c r="U201" s="244"/>
      <c r="V201" s="244"/>
      <c r="W201" s="244"/>
      <c r="X201" s="244"/>
      <c r="Y201" s="244"/>
      <c r="Z201" s="244"/>
      <c r="AA201" s="244"/>
      <c r="AB201" s="244"/>
      <c r="AC201" s="244"/>
      <c r="AD201" s="244"/>
      <c r="AE201" s="244"/>
      <c r="AF201" s="244"/>
      <c r="AG201" s="244"/>
    </row>
    <row r="202" spans="1:33" ht="15.75" customHeight="1" x14ac:dyDescent="0.25">
      <c r="A202" s="244"/>
      <c r="B202" s="244"/>
      <c r="C202" s="244"/>
      <c r="D202" s="244"/>
      <c r="E202" s="244"/>
      <c r="F202" s="244"/>
      <c r="G202" s="244"/>
      <c r="H202" s="244"/>
      <c r="I202" s="244"/>
      <c r="J202" s="244"/>
      <c r="K202" s="244"/>
      <c r="L202" s="244"/>
      <c r="M202" s="244"/>
      <c r="N202" s="244"/>
      <c r="O202" s="244"/>
      <c r="P202" s="244"/>
      <c r="Q202" s="244"/>
      <c r="R202" s="244"/>
      <c r="S202" s="244"/>
      <c r="T202" s="244"/>
      <c r="U202" s="244"/>
      <c r="V202" s="244"/>
      <c r="W202" s="244"/>
      <c r="X202" s="244"/>
      <c r="Y202" s="244"/>
      <c r="Z202" s="244"/>
      <c r="AA202" s="244"/>
      <c r="AB202" s="244"/>
      <c r="AC202" s="244"/>
      <c r="AD202" s="244"/>
      <c r="AE202" s="244"/>
      <c r="AF202" s="244"/>
      <c r="AG202" s="244"/>
    </row>
    <row r="203" spans="1:33" ht="15.75" customHeight="1" x14ac:dyDescent="0.25">
      <c r="A203" s="244"/>
      <c r="B203" s="244"/>
      <c r="C203" s="244"/>
      <c r="D203" s="244"/>
      <c r="E203" s="244"/>
      <c r="F203" s="244"/>
      <c r="G203" s="244"/>
      <c r="H203" s="244"/>
      <c r="I203" s="244"/>
      <c r="J203" s="244"/>
      <c r="K203" s="244"/>
      <c r="L203" s="244"/>
      <c r="M203" s="244"/>
      <c r="N203" s="244"/>
      <c r="O203" s="244"/>
      <c r="P203" s="244"/>
      <c r="Q203" s="244"/>
      <c r="R203" s="244"/>
      <c r="S203" s="244"/>
      <c r="T203" s="244"/>
      <c r="U203" s="244"/>
      <c r="V203" s="244"/>
      <c r="W203" s="244"/>
      <c r="X203" s="244"/>
      <c r="Y203" s="244"/>
      <c r="Z203" s="244"/>
      <c r="AA203" s="244"/>
      <c r="AB203" s="244"/>
      <c r="AC203" s="244"/>
      <c r="AD203" s="244"/>
      <c r="AE203" s="244"/>
      <c r="AF203" s="244"/>
      <c r="AG203" s="244"/>
    </row>
    <row r="204" spans="1:33" ht="15.75" customHeight="1" x14ac:dyDescent="0.25">
      <c r="A204" s="244"/>
      <c r="B204" s="244"/>
      <c r="C204" s="244"/>
      <c r="D204" s="244"/>
      <c r="E204" s="244"/>
      <c r="F204" s="244"/>
      <c r="G204" s="244"/>
      <c r="H204" s="244"/>
      <c r="I204" s="244"/>
      <c r="J204" s="244"/>
      <c r="K204" s="244"/>
      <c r="L204" s="244"/>
      <c r="M204" s="244"/>
      <c r="N204" s="244"/>
      <c r="O204" s="244"/>
      <c r="P204" s="244"/>
      <c r="Q204" s="244"/>
      <c r="R204" s="244"/>
      <c r="S204" s="244"/>
      <c r="T204" s="244"/>
      <c r="U204" s="244"/>
      <c r="V204" s="244"/>
      <c r="W204" s="244"/>
      <c r="X204" s="244"/>
      <c r="Y204" s="244"/>
      <c r="Z204" s="244"/>
      <c r="AA204" s="244"/>
      <c r="AB204" s="244"/>
      <c r="AC204" s="244"/>
      <c r="AD204" s="244"/>
      <c r="AE204" s="244"/>
      <c r="AF204" s="244"/>
      <c r="AG204" s="244"/>
    </row>
    <row r="205" spans="1:33" ht="15.75" customHeight="1" x14ac:dyDescent="0.25">
      <c r="A205" s="244"/>
      <c r="B205" s="244"/>
      <c r="C205" s="244"/>
      <c r="D205" s="244"/>
      <c r="E205" s="244"/>
      <c r="F205" s="244"/>
      <c r="G205" s="244"/>
      <c r="H205" s="244"/>
      <c r="I205" s="244"/>
      <c r="J205" s="244"/>
      <c r="K205" s="244"/>
      <c r="L205" s="244"/>
      <c r="M205" s="244"/>
      <c r="N205" s="244"/>
      <c r="O205" s="244"/>
      <c r="P205" s="244"/>
      <c r="Q205" s="244"/>
      <c r="R205" s="244"/>
      <c r="S205" s="244"/>
      <c r="T205" s="244"/>
      <c r="U205" s="244"/>
      <c r="V205" s="244"/>
      <c r="W205" s="244"/>
      <c r="X205" s="244"/>
      <c r="Y205" s="244"/>
      <c r="Z205" s="244"/>
      <c r="AA205" s="244"/>
      <c r="AB205" s="244"/>
      <c r="AC205" s="244"/>
      <c r="AD205" s="244"/>
      <c r="AE205" s="244"/>
      <c r="AF205" s="244"/>
      <c r="AG205" s="244"/>
    </row>
    <row r="206" spans="1:33" ht="15.75" customHeight="1" x14ac:dyDescent="0.25">
      <c r="A206" s="244"/>
      <c r="B206" s="244"/>
      <c r="C206" s="244"/>
      <c r="D206" s="244"/>
      <c r="E206" s="244"/>
      <c r="F206" s="244"/>
      <c r="G206" s="244"/>
      <c r="H206" s="244"/>
      <c r="I206" s="244"/>
      <c r="J206" s="244"/>
      <c r="K206" s="244"/>
      <c r="L206" s="244"/>
      <c r="M206" s="244"/>
      <c r="N206" s="244"/>
      <c r="O206" s="244"/>
      <c r="P206" s="244"/>
      <c r="Q206" s="244"/>
      <c r="R206" s="244"/>
      <c r="S206" s="244"/>
      <c r="T206" s="244"/>
      <c r="U206" s="244"/>
      <c r="V206" s="244"/>
      <c r="W206" s="244"/>
      <c r="X206" s="244"/>
      <c r="Y206" s="244"/>
      <c r="Z206" s="244"/>
      <c r="AA206" s="244"/>
      <c r="AB206" s="244"/>
      <c r="AC206" s="244"/>
      <c r="AD206" s="244"/>
      <c r="AE206" s="244"/>
      <c r="AF206" s="244"/>
      <c r="AG206" s="244"/>
    </row>
    <row r="207" spans="1:33" ht="15.75" customHeight="1" x14ac:dyDescent="0.25">
      <c r="A207" s="244"/>
      <c r="B207" s="244"/>
      <c r="C207" s="244"/>
      <c r="D207" s="244"/>
      <c r="E207" s="244"/>
      <c r="F207" s="244"/>
      <c r="G207" s="244"/>
      <c r="H207" s="244"/>
      <c r="I207" s="244"/>
      <c r="J207" s="244"/>
      <c r="K207" s="244"/>
      <c r="L207" s="244"/>
      <c r="M207" s="244"/>
      <c r="N207" s="244"/>
      <c r="O207" s="244"/>
      <c r="P207" s="244"/>
      <c r="Q207" s="244"/>
      <c r="R207" s="244"/>
      <c r="S207" s="244"/>
      <c r="T207" s="244"/>
      <c r="U207" s="244"/>
      <c r="V207" s="244"/>
      <c r="W207" s="244"/>
      <c r="X207" s="244"/>
      <c r="Y207" s="244"/>
      <c r="Z207" s="244"/>
      <c r="AA207" s="244"/>
      <c r="AB207" s="244"/>
      <c r="AC207" s="244"/>
      <c r="AD207" s="244"/>
      <c r="AE207" s="244"/>
      <c r="AF207" s="244"/>
      <c r="AG207" s="244"/>
    </row>
    <row r="208" spans="1:33" ht="15.75" customHeight="1" x14ac:dyDescent="0.25">
      <c r="A208" s="244"/>
      <c r="B208" s="244"/>
      <c r="C208" s="244"/>
      <c r="D208" s="244"/>
      <c r="E208" s="244"/>
      <c r="F208" s="244"/>
      <c r="G208" s="244"/>
      <c r="H208" s="244"/>
      <c r="I208" s="244"/>
      <c r="J208" s="244"/>
      <c r="K208" s="244"/>
      <c r="L208" s="244"/>
      <c r="M208" s="244"/>
      <c r="N208" s="244"/>
      <c r="O208" s="244"/>
      <c r="P208" s="244"/>
      <c r="Q208" s="244"/>
      <c r="R208" s="244"/>
      <c r="S208" s="244"/>
      <c r="T208" s="244"/>
      <c r="U208" s="244"/>
      <c r="V208" s="244"/>
      <c r="W208" s="244"/>
      <c r="X208" s="244"/>
      <c r="Y208" s="244"/>
      <c r="Z208" s="244"/>
      <c r="AA208" s="244"/>
      <c r="AB208" s="244"/>
      <c r="AC208" s="244"/>
      <c r="AD208" s="244"/>
      <c r="AE208" s="244"/>
      <c r="AF208" s="244"/>
      <c r="AG208" s="244"/>
    </row>
    <row r="209" spans="1:33" ht="15.75" customHeight="1" x14ac:dyDescent="0.25">
      <c r="A209" s="244"/>
      <c r="B209" s="244"/>
      <c r="C209" s="244"/>
      <c r="D209" s="244"/>
      <c r="E209" s="244"/>
      <c r="F209" s="244"/>
      <c r="G209" s="244"/>
      <c r="H209" s="244"/>
      <c r="I209" s="244"/>
      <c r="J209" s="244"/>
      <c r="K209" s="244"/>
      <c r="L209" s="244"/>
      <c r="M209" s="244"/>
      <c r="N209" s="244"/>
      <c r="O209" s="244"/>
      <c r="P209" s="244"/>
      <c r="Q209" s="244"/>
      <c r="R209" s="244"/>
      <c r="S209" s="244"/>
      <c r="T209" s="244"/>
      <c r="U209" s="244"/>
      <c r="V209" s="244"/>
      <c r="W209" s="244"/>
      <c r="X209" s="244"/>
      <c r="Y209" s="244"/>
      <c r="Z209" s="244"/>
      <c r="AA209" s="244"/>
      <c r="AB209" s="244"/>
      <c r="AC209" s="244"/>
      <c r="AD209" s="244"/>
      <c r="AE209" s="244"/>
      <c r="AF209" s="244"/>
      <c r="AG209" s="244"/>
    </row>
    <row r="210" spans="1:33" ht="15.75" customHeight="1" x14ac:dyDescent="0.25">
      <c r="A210" s="244"/>
      <c r="B210" s="244"/>
      <c r="C210" s="244"/>
      <c r="D210" s="244"/>
      <c r="E210" s="244"/>
      <c r="F210" s="244"/>
      <c r="G210" s="244"/>
      <c r="H210" s="244"/>
      <c r="I210" s="244"/>
      <c r="J210" s="244"/>
      <c r="K210" s="244"/>
      <c r="L210" s="244"/>
      <c r="M210" s="244"/>
      <c r="N210" s="244"/>
      <c r="O210" s="244"/>
      <c r="P210" s="244"/>
      <c r="Q210" s="244"/>
      <c r="R210" s="244"/>
      <c r="S210" s="244"/>
      <c r="T210" s="244"/>
      <c r="U210" s="244"/>
      <c r="V210" s="244"/>
      <c r="W210" s="244"/>
      <c r="X210" s="244"/>
      <c r="Y210" s="244"/>
      <c r="Z210" s="244"/>
      <c r="AA210" s="244"/>
      <c r="AB210" s="244"/>
      <c r="AC210" s="244"/>
      <c r="AD210" s="244"/>
      <c r="AE210" s="244"/>
      <c r="AF210" s="244"/>
      <c r="AG210" s="244"/>
    </row>
    <row r="211" spans="1:33" ht="15.75" customHeight="1" x14ac:dyDescent="0.25">
      <c r="A211" s="244"/>
      <c r="B211" s="244"/>
      <c r="C211" s="244"/>
      <c r="D211" s="244"/>
      <c r="E211" s="244"/>
      <c r="F211" s="244"/>
      <c r="G211" s="244"/>
      <c r="H211" s="244"/>
      <c r="I211" s="244"/>
      <c r="J211" s="244"/>
      <c r="K211" s="244"/>
      <c r="L211" s="244"/>
      <c r="M211" s="244"/>
      <c r="N211" s="244"/>
      <c r="O211" s="244"/>
      <c r="P211" s="244"/>
      <c r="Q211" s="244"/>
      <c r="R211" s="244"/>
      <c r="S211" s="244"/>
      <c r="T211" s="244"/>
      <c r="U211" s="244"/>
      <c r="V211" s="244"/>
      <c r="W211" s="244"/>
      <c r="X211" s="244"/>
      <c r="Y211" s="244"/>
      <c r="Z211" s="244"/>
      <c r="AA211" s="244"/>
      <c r="AB211" s="244"/>
      <c r="AC211" s="244"/>
      <c r="AD211" s="244"/>
      <c r="AE211" s="244"/>
      <c r="AF211" s="244"/>
      <c r="AG211" s="244"/>
    </row>
    <row r="212" spans="1:33" ht="15.75" customHeight="1" x14ac:dyDescent="0.25">
      <c r="A212" s="244"/>
      <c r="B212" s="244"/>
      <c r="C212" s="244"/>
      <c r="D212" s="244"/>
      <c r="E212" s="244"/>
      <c r="F212" s="244"/>
      <c r="G212" s="244"/>
      <c r="H212" s="244"/>
      <c r="I212" s="244"/>
      <c r="J212" s="244"/>
      <c r="K212" s="244"/>
      <c r="L212" s="244"/>
      <c r="M212" s="244"/>
      <c r="N212" s="244"/>
      <c r="O212" s="244"/>
      <c r="P212" s="244"/>
      <c r="Q212" s="244"/>
      <c r="R212" s="244"/>
      <c r="S212" s="244"/>
      <c r="T212" s="244"/>
      <c r="U212" s="244"/>
      <c r="V212" s="244"/>
      <c r="W212" s="244"/>
      <c r="X212" s="244"/>
      <c r="Y212" s="244"/>
      <c r="Z212" s="244"/>
      <c r="AA212" s="244"/>
      <c r="AB212" s="244"/>
      <c r="AC212" s="244"/>
      <c r="AD212" s="244"/>
      <c r="AE212" s="244"/>
      <c r="AF212" s="244"/>
      <c r="AG212" s="244"/>
    </row>
    <row r="213" spans="1:33" ht="15.75" customHeight="1" x14ac:dyDescent="0.25">
      <c r="A213" s="244"/>
      <c r="B213" s="244"/>
      <c r="C213" s="244"/>
      <c r="D213" s="244"/>
      <c r="E213" s="244"/>
      <c r="F213" s="244"/>
      <c r="G213" s="244"/>
      <c r="H213" s="244"/>
      <c r="I213" s="244"/>
      <c r="J213" s="244"/>
      <c r="K213" s="244"/>
      <c r="L213" s="244"/>
      <c r="M213" s="244"/>
      <c r="N213" s="244"/>
      <c r="O213" s="244"/>
      <c r="P213" s="244"/>
      <c r="Q213" s="244"/>
      <c r="R213" s="244"/>
      <c r="S213" s="244"/>
      <c r="T213" s="244"/>
      <c r="U213" s="244"/>
      <c r="V213" s="244"/>
      <c r="W213" s="244"/>
      <c r="X213" s="244"/>
      <c r="Y213" s="244"/>
      <c r="Z213" s="244"/>
      <c r="AA213" s="244"/>
      <c r="AB213" s="244"/>
      <c r="AC213" s="244"/>
      <c r="AD213" s="244"/>
      <c r="AE213" s="244"/>
      <c r="AF213" s="244"/>
      <c r="AG213" s="244"/>
    </row>
    <row r="214" spans="1:33" ht="15.75" customHeight="1" x14ac:dyDescent="0.25">
      <c r="A214" s="244"/>
      <c r="B214" s="244"/>
      <c r="C214" s="244"/>
      <c r="D214" s="244"/>
      <c r="E214" s="244"/>
      <c r="F214" s="244"/>
      <c r="G214" s="244"/>
      <c r="H214" s="244"/>
      <c r="I214" s="244"/>
      <c r="J214" s="244"/>
      <c r="K214" s="244"/>
      <c r="L214" s="244"/>
      <c r="M214" s="244"/>
      <c r="N214" s="244"/>
      <c r="O214" s="244"/>
      <c r="P214" s="244"/>
      <c r="Q214" s="244"/>
      <c r="R214" s="244"/>
      <c r="S214" s="244"/>
      <c r="T214" s="244"/>
      <c r="U214" s="244"/>
      <c r="V214" s="244"/>
      <c r="W214" s="244"/>
      <c r="X214" s="244"/>
      <c r="Y214" s="244"/>
      <c r="Z214" s="244"/>
      <c r="AA214" s="244"/>
      <c r="AB214" s="244"/>
      <c r="AC214" s="244"/>
      <c r="AD214" s="244"/>
      <c r="AE214" s="244"/>
      <c r="AF214" s="244"/>
      <c r="AG214" s="244"/>
    </row>
    <row r="215" spans="1:33" ht="15.75" customHeight="1" x14ac:dyDescent="0.25">
      <c r="A215" s="244"/>
      <c r="B215" s="244"/>
      <c r="C215" s="244"/>
      <c r="D215" s="244"/>
      <c r="E215" s="244"/>
      <c r="F215" s="244"/>
      <c r="G215" s="244"/>
      <c r="H215" s="244"/>
      <c r="I215" s="244"/>
      <c r="J215" s="244"/>
      <c r="K215" s="244"/>
      <c r="L215" s="244"/>
      <c r="M215" s="244"/>
      <c r="N215" s="244"/>
      <c r="O215" s="244"/>
      <c r="P215" s="244"/>
      <c r="Q215" s="244"/>
      <c r="R215" s="244"/>
      <c r="S215" s="244"/>
      <c r="T215" s="244"/>
      <c r="U215" s="244"/>
      <c r="V215" s="244"/>
      <c r="W215" s="244"/>
      <c r="X215" s="244"/>
      <c r="Y215" s="244"/>
      <c r="Z215" s="244"/>
      <c r="AA215" s="244"/>
      <c r="AB215" s="244"/>
      <c r="AC215" s="244"/>
      <c r="AD215" s="244"/>
      <c r="AE215" s="244"/>
      <c r="AF215" s="244"/>
      <c r="AG215" s="244"/>
    </row>
    <row r="216" spans="1:33" ht="15.75" customHeight="1" x14ac:dyDescent="0.25">
      <c r="A216" s="244"/>
      <c r="B216" s="244"/>
      <c r="C216" s="244"/>
      <c r="D216" s="244"/>
      <c r="E216" s="244"/>
      <c r="F216" s="244"/>
      <c r="G216" s="244"/>
      <c r="H216" s="244"/>
      <c r="I216" s="244"/>
      <c r="J216" s="244"/>
      <c r="K216" s="244"/>
      <c r="L216" s="244"/>
      <c r="M216" s="244"/>
      <c r="N216" s="244"/>
      <c r="O216" s="244"/>
      <c r="P216" s="244"/>
      <c r="Q216" s="244"/>
      <c r="R216" s="244"/>
      <c r="S216" s="244"/>
      <c r="T216" s="244"/>
      <c r="U216" s="244"/>
      <c r="V216" s="244"/>
      <c r="W216" s="244"/>
      <c r="X216" s="244"/>
      <c r="Y216" s="244"/>
      <c r="Z216" s="244"/>
      <c r="AA216" s="244"/>
      <c r="AB216" s="244"/>
      <c r="AC216" s="244"/>
      <c r="AD216" s="244"/>
      <c r="AE216" s="244"/>
      <c r="AF216" s="244"/>
      <c r="AG216" s="244"/>
    </row>
    <row r="217" spans="1:33" ht="15.75" customHeight="1" x14ac:dyDescent="0.25">
      <c r="A217" s="244"/>
      <c r="B217" s="244"/>
      <c r="C217" s="244"/>
      <c r="D217" s="244"/>
      <c r="E217" s="244"/>
      <c r="F217" s="244"/>
      <c r="G217" s="244"/>
      <c r="H217" s="244"/>
      <c r="I217" s="244"/>
      <c r="J217" s="244"/>
      <c r="K217" s="244"/>
      <c r="L217" s="244"/>
      <c r="M217" s="244"/>
      <c r="N217" s="244"/>
      <c r="O217" s="244"/>
      <c r="P217" s="244"/>
      <c r="Q217" s="244"/>
      <c r="R217" s="244"/>
      <c r="S217" s="244"/>
      <c r="T217" s="244"/>
      <c r="U217" s="244"/>
      <c r="V217" s="244"/>
      <c r="W217" s="244"/>
      <c r="X217" s="244"/>
      <c r="Y217" s="244"/>
      <c r="Z217" s="244"/>
      <c r="AA217" s="244"/>
      <c r="AB217" s="244"/>
      <c r="AC217" s="244"/>
      <c r="AD217" s="244"/>
      <c r="AE217" s="244"/>
      <c r="AF217" s="244"/>
      <c r="AG217" s="244"/>
    </row>
    <row r="218" spans="1:33" ht="15.75" customHeight="1" x14ac:dyDescent="0.25">
      <c r="A218" s="244"/>
      <c r="B218" s="244"/>
      <c r="C218" s="244"/>
      <c r="D218" s="244"/>
      <c r="E218" s="244"/>
      <c r="F218" s="244"/>
      <c r="G218" s="244"/>
      <c r="H218" s="244"/>
      <c r="I218" s="244"/>
      <c r="J218" s="244"/>
      <c r="K218" s="244"/>
      <c r="L218" s="244"/>
      <c r="M218" s="244"/>
      <c r="N218" s="244"/>
      <c r="O218" s="244"/>
      <c r="P218" s="244"/>
      <c r="Q218" s="244"/>
      <c r="R218" s="244"/>
      <c r="S218" s="244"/>
      <c r="T218" s="244"/>
      <c r="U218" s="244"/>
      <c r="V218" s="244"/>
      <c r="W218" s="244"/>
      <c r="X218" s="244"/>
      <c r="Y218" s="244"/>
      <c r="Z218" s="244"/>
      <c r="AA218" s="244"/>
      <c r="AB218" s="244"/>
      <c r="AC218" s="244"/>
      <c r="AD218" s="244"/>
      <c r="AE218" s="244"/>
      <c r="AF218" s="244"/>
      <c r="AG218" s="244"/>
    </row>
    <row r="219" spans="1:33" ht="15.75" customHeight="1" x14ac:dyDescent="0.25">
      <c r="A219" s="244"/>
      <c r="B219" s="244"/>
      <c r="C219" s="244"/>
      <c r="D219" s="244"/>
      <c r="E219" s="244"/>
      <c r="F219" s="244"/>
      <c r="G219" s="244"/>
      <c r="H219" s="244"/>
      <c r="I219" s="244"/>
      <c r="J219" s="244"/>
      <c r="K219" s="244"/>
      <c r="L219" s="244"/>
      <c r="M219" s="244"/>
      <c r="N219" s="244"/>
      <c r="O219" s="244"/>
      <c r="P219" s="244"/>
      <c r="Q219" s="244"/>
      <c r="R219" s="244"/>
      <c r="S219" s="244"/>
      <c r="T219" s="244"/>
      <c r="U219" s="244"/>
      <c r="V219" s="244"/>
      <c r="W219" s="244"/>
      <c r="X219" s="244"/>
      <c r="Y219" s="244"/>
      <c r="Z219" s="244"/>
      <c r="AA219" s="244"/>
      <c r="AB219" s="244"/>
      <c r="AC219" s="244"/>
      <c r="AD219" s="244"/>
      <c r="AE219" s="244"/>
      <c r="AF219" s="244"/>
      <c r="AG219" s="244"/>
    </row>
    <row r="220" spans="1:33" ht="15.75" customHeight="1" x14ac:dyDescent="0.25">
      <c r="A220" s="244"/>
      <c r="B220" s="244"/>
      <c r="C220" s="244"/>
      <c r="D220" s="244"/>
      <c r="E220" s="244"/>
      <c r="F220" s="244"/>
      <c r="G220" s="244"/>
      <c r="H220" s="244"/>
      <c r="I220" s="244"/>
      <c r="J220" s="244"/>
      <c r="K220" s="244"/>
      <c r="L220" s="244"/>
      <c r="M220" s="244"/>
      <c r="N220" s="244"/>
      <c r="O220" s="244"/>
      <c r="P220" s="244"/>
      <c r="Q220" s="244"/>
      <c r="R220" s="244"/>
      <c r="S220" s="244"/>
      <c r="T220" s="244"/>
      <c r="U220" s="244"/>
      <c r="V220" s="244"/>
      <c r="W220" s="244"/>
      <c r="X220" s="244"/>
      <c r="Y220" s="244"/>
      <c r="Z220" s="244"/>
      <c r="AA220" s="244"/>
      <c r="AB220" s="244"/>
      <c r="AC220" s="244"/>
      <c r="AD220" s="244"/>
      <c r="AE220" s="244"/>
      <c r="AF220" s="244"/>
      <c r="AG220" s="244"/>
    </row>
    <row r="221" spans="1:33" ht="15.75" customHeight="1" x14ac:dyDescent="0.25">
      <c r="A221" s="244"/>
      <c r="B221" s="244"/>
      <c r="C221" s="244"/>
      <c r="D221" s="244"/>
      <c r="E221" s="244"/>
      <c r="F221" s="244"/>
      <c r="G221" s="244"/>
      <c r="H221" s="244"/>
      <c r="I221" s="244"/>
      <c r="J221" s="244"/>
      <c r="K221" s="244"/>
      <c r="L221" s="244"/>
      <c r="M221" s="244"/>
      <c r="N221" s="244"/>
      <c r="O221" s="244"/>
      <c r="P221" s="244"/>
      <c r="Q221" s="244"/>
      <c r="R221" s="244"/>
      <c r="S221" s="244"/>
      <c r="T221" s="244"/>
      <c r="U221" s="244"/>
      <c r="V221" s="244"/>
      <c r="W221" s="244"/>
      <c r="X221" s="244"/>
      <c r="Y221" s="244"/>
      <c r="Z221" s="244"/>
      <c r="AA221" s="244"/>
      <c r="AB221" s="244"/>
      <c r="AC221" s="244"/>
      <c r="AD221" s="244"/>
      <c r="AE221" s="244"/>
      <c r="AF221" s="244"/>
      <c r="AG221" s="244"/>
    </row>
    <row r="222" spans="1:33" ht="15.75" customHeight="1" x14ac:dyDescent="0.25">
      <c r="A222" s="244"/>
      <c r="B222" s="244"/>
      <c r="C222" s="244"/>
      <c r="D222" s="244"/>
      <c r="E222" s="244"/>
      <c r="F222" s="244"/>
      <c r="G222" s="244"/>
      <c r="H222" s="244"/>
      <c r="I222" s="244"/>
      <c r="J222" s="244"/>
      <c r="K222" s="244"/>
      <c r="L222" s="244"/>
      <c r="M222" s="244"/>
      <c r="N222" s="244"/>
      <c r="O222" s="244"/>
      <c r="P222" s="244"/>
      <c r="Q222" s="244"/>
      <c r="R222" s="244"/>
      <c r="S222" s="244"/>
      <c r="T222" s="244"/>
      <c r="U222" s="244"/>
      <c r="V222" s="244"/>
      <c r="W222" s="244"/>
      <c r="X222" s="244"/>
      <c r="Y222" s="244"/>
      <c r="Z222" s="244"/>
      <c r="AA222" s="244"/>
      <c r="AB222" s="244"/>
      <c r="AC222" s="244"/>
      <c r="AD222" s="244"/>
      <c r="AE222" s="244"/>
      <c r="AF222" s="244"/>
      <c r="AG222" s="244"/>
    </row>
    <row r="223" spans="1:33" ht="15.75" customHeight="1" x14ac:dyDescent="0.25">
      <c r="A223" s="244"/>
      <c r="B223" s="244"/>
      <c r="C223" s="244"/>
      <c r="D223" s="244"/>
      <c r="E223" s="244"/>
      <c r="F223" s="244"/>
      <c r="G223" s="244"/>
      <c r="H223" s="244"/>
      <c r="I223" s="244"/>
      <c r="J223" s="244"/>
      <c r="K223" s="244"/>
      <c r="L223" s="244"/>
      <c r="M223" s="244"/>
      <c r="N223" s="244"/>
      <c r="O223" s="244"/>
      <c r="P223" s="244"/>
      <c r="Q223" s="244"/>
      <c r="R223" s="244"/>
      <c r="S223" s="244"/>
      <c r="T223" s="244"/>
      <c r="U223" s="244"/>
      <c r="V223" s="244"/>
      <c r="W223" s="244"/>
      <c r="X223" s="244"/>
      <c r="Y223" s="244"/>
      <c r="Z223" s="244"/>
      <c r="AA223" s="244"/>
      <c r="AB223" s="244"/>
      <c r="AC223" s="244"/>
      <c r="AD223" s="244"/>
      <c r="AE223" s="244"/>
      <c r="AF223" s="244"/>
      <c r="AG223" s="244"/>
    </row>
    <row r="224" spans="1:33" ht="15.75" customHeight="1" x14ac:dyDescent="0.25">
      <c r="A224" s="244"/>
      <c r="B224" s="244"/>
      <c r="C224" s="244"/>
      <c r="D224" s="244"/>
      <c r="E224" s="244"/>
      <c r="F224" s="244"/>
      <c r="G224" s="244"/>
      <c r="H224" s="244"/>
      <c r="I224" s="244"/>
      <c r="J224" s="244"/>
      <c r="K224" s="244"/>
      <c r="L224" s="244"/>
      <c r="M224" s="244"/>
      <c r="N224" s="244"/>
      <c r="O224" s="244"/>
      <c r="P224" s="244"/>
      <c r="Q224" s="244"/>
      <c r="R224" s="244"/>
      <c r="S224" s="244"/>
      <c r="T224" s="244"/>
      <c r="U224" s="244"/>
      <c r="V224" s="244"/>
      <c r="W224" s="244"/>
      <c r="X224" s="244"/>
      <c r="Y224" s="244"/>
      <c r="Z224" s="244"/>
      <c r="AA224" s="244"/>
      <c r="AB224" s="244"/>
      <c r="AC224" s="244"/>
      <c r="AD224" s="244"/>
      <c r="AE224" s="244"/>
      <c r="AF224" s="244"/>
      <c r="AG224" s="244"/>
    </row>
    <row r="225" spans="1:33" ht="15.75" customHeight="1" x14ac:dyDescent="0.25">
      <c r="A225" s="244"/>
      <c r="B225" s="244"/>
      <c r="C225" s="244"/>
      <c r="D225" s="244"/>
      <c r="E225" s="244"/>
      <c r="F225" s="244"/>
      <c r="G225" s="244"/>
      <c r="H225" s="244"/>
      <c r="I225" s="244"/>
      <c r="J225" s="244"/>
      <c r="K225" s="244"/>
      <c r="L225" s="244"/>
      <c r="M225" s="244"/>
      <c r="N225" s="244"/>
      <c r="O225" s="244"/>
      <c r="P225" s="244"/>
      <c r="Q225" s="244"/>
      <c r="R225" s="244"/>
      <c r="S225" s="244"/>
      <c r="T225" s="244"/>
      <c r="U225" s="244"/>
      <c r="V225" s="244"/>
      <c r="W225" s="244"/>
      <c r="X225" s="244"/>
      <c r="Y225" s="244"/>
      <c r="Z225" s="244"/>
      <c r="AA225" s="244"/>
      <c r="AB225" s="244"/>
      <c r="AC225" s="244"/>
      <c r="AD225" s="244"/>
      <c r="AE225" s="244"/>
      <c r="AF225" s="244"/>
      <c r="AG225" s="244"/>
    </row>
    <row r="226" spans="1:33" ht="15.75" customHeight="1" x14ac:dyDescent="0.25">
      <c r="A226" s="244"/>
      <c r="B226" s="244"/>
      <c r="C226" s="244"/>
      <c r="D226" s="244"/>
      <c r="E226" s="244"/>
      <c r="F226" s="244"/>
      <c r="G226" s="244"/>
      <c r="H226" s="244"/>
      <c r="I226" s="244"/>
      <c r="J226" s="244"/>
      <c r="K226" s="244"/>
      <c r="L226" s="244"/>
      <c r="M226" s="244"/>
      <c r="N226" s="244"/>
      <c r="O226" s="244"/>
      <c r="P226" s="244"/>
      <c r="Q226" s="244"/>
      <c r="R226" s="244"/>
      <c r="S226" s="244"/>
      <c r="T226" s="244"/>
      <c r="U226" s="244"/>
      <c r="V226" s="244"/>
      <c r="W226" s="244"/>
      <c r="X226" s="244"/>
      <c r="Y226" s="244"/>
      <c r="Z226" s="244"/>
      <c r="AA226" s="244"/>
      <c r="AB226" s="244"/>
      <c r="AC226" s="244"/>
      <c r="AD226" s="244"/>
      <c r="AE226" s="244"/>
      <c r="AF226" s="244"/>
      <c r="AG226" s="244"/>
    </row>
    <row r="227" spans="1:33" ht="15.75" customHeight="1" x14ac:dyDescent="0.25">
      <c r="A227" s="244"/>
      <c r="B227" s="244"/>
      <c r="C227" s="244"/>
      <c r="D227" s="244"/>
      <c r="E227" s="244"/>
      <c r="F227" s="244"/>
      <c r="G227" s="244"/>
      <c r="H227" s="244"/>
      <c r="I227" s="244"/>
      <c r="J227" s="244"/>
      <c r="K227" s="244"/>
      <c r="L227" s="244"/>
      <c r="M227" s="244"/>
      <c r="N227" s="244"/>
      <c r="O227" s="244"/>
      <c r="P227" s="244"/>
      <c r="Q227" s="244"/>
      <c r="R227" s="244"/>
      <c r="S227" s="244"/>
      <c r="T227" s="244"/>
      <c r="U227" s="244"/>
      <c r="V227" s="244"/>
      <c r="W227" s="244"/>
      <c r="X227" s="244"/>
      <c r="Y227" s="244"/>
      <c r="Z227" s="244"/>
      <c r="AA227" s="244"/>
      <c r="AB227" s="244"/>
      <c r="AC227" s="244"/>
      <c r="AD227" s="244"/>
      <c r="AE227" s="244"/>
      <c r="AF227" s="244"/>
      <c r="AG227" s="244"/>
    </row>
    <row r="228" spans="1:33" ht="15.75" customHeight="1" x14ac:dyDescent="0.25">
      <c r="A228" s="244"/>
      <c r="B228" s="244"/>
      <c r="C228" s="244"/>
      <c r="D228" s="244"/>
      <c r="E228" s="244"/>
      <c r="F228" s="244"/>
      <c r="G228" s="244"/>
      <c r="H228" s="244"/>
      <c r="I228" s="244"/>
      <c r="J228" s="244"/>
      <c r="K228" s="244"/>
      <c r="L228" s="244"/>
      <c r="M228" s="244"/>
      <c r="N228" s="244"/>
      <c r="O228" s="244"/>
      <c r="P228" s="244"/>
      <c r="Q228" s="244"/>
      <c r="R228" s="244"/>
      <c r="S228" s="244"/>
      <c r="T228" s="244"/>
      <c r="U228" s="244"/>
      <c r="V228" s="244"/>
      <c r="W228" s="244"/>
      <c r="X228" s="244"/>
      <c r="Y228" s="244"/>
      <c r="Z228" s="244"/>
      <c r="AA228" s="244"/>
      <c r="AB228" s="244"/>
      <c r="AC228" s="244"/>
      <c r="AD228" s="244"/>
      <c r="AE228" s="244"/>
      <c r="AF228" s="244"/>
      <c r="AG228" s="244"/>
    </row>
    <row r="229" spans="1:33" ht="15.75" customHeight="1" x14ac:dyDescent="0.25">
      <c r="A229" s="244"/>
      <c r="B229" s="244"/>
      <c r="C229" s="244"/>
      <c r="D229" s="244"/>
      <c r="E229" s="244"/>
      <c r="F229" s="244"/>
      <c r="G229" s="244"/>
      <c r="H229" s="244"/>
      <c r="I229" s="244"/>
      <c r="J229" s="244"/>
      <c r="K229" s="244"/>
      <c r="L229" s="244"/>
      <c r="M229" s="244"/>
      <c r="N229" s="244"/>
      <c r="O229" s="244"/>
      <c r="P229" s="244"/>
      <c r="Q229" s="244"/>
      <c r="R229" s="244"/>
      <c r="S229" s="244"/>
      <c r="T229" s="244"/>
      <c r="U229" s="244"/>
      <c r="V229" s="244"/>
      <c r="W229" s="244"/>
      <c r="X229" s="244"/>
      <c r="Y229" s="244"/>
      <c r="Z229" s="244"/>
      <c r="AA229" s="244"/>
      <c r="AB229" s="244"/>
      <c r="AC229" s="244"/>
      <c r="AD229" s="244"/>
      <c r="AE229" s="244"/>
      <c r="AF229" s="244"/>
      <c r="AG229" s="244"/>
    </row>
    <row r="230" spans="1:33" ht="15.75" customHeight="1" x14ac:dyDescent="0.25">
      <c r="A230" s="244"/>
      <c r="B230" s="244"/>
      <c r="C230" s="244"/>
      <c r="D230" s="244"/>
      <c r="E230" s="244"/>
      <c r="F230" s="244"/>
      <c r="G230" s="244"/>
      <c r="H230" s="244"/>
      <c r="I230" s="244"/>
      <c r="J230" s="244"/>
      <c r="K230" s="244"/>
      <c r="L230" s="244"/>
      <c r="M230" s="244"/>
      <c r="N230" s="244"/>
      <c r="O230" s="244"/>
      <c r="P230" s="244"/>
      <c r="Q230" s="244"/>
      <c r="R230" s="244"/>
      <c r="S230" s="244"/>
      <c r="T230" s="244"/>
      <c r="U230" s="244"/>
      <c r="V230" s="244"/>
      <c r="W230" s="244"/>
      <c r="X230" s="244"/>
      <c r="Y230" s="244"/>
      <c r="Z230" s="244"/>
      <c r="AA230" s="244"/>
      <c r="AB230" s="244"/>
      <c r="AC230" s="244"/>
      <c r="AD230" s="244"/>
      <c r="AE230" s="244"/>
      <c r="AF230" s="244"/>
      <c r="AG230" s="244"/>
    </row>
    <row r="231" spans="1:33" ht="15.75" customHeight="1" x14ac:dyDescent="0.25">
      <c r="A231" s="244"/>
      <c r="B231" s="244"/>
      <c r="C231" s="244"/>
      <c r="D231" s="244"/>
      <c r="E231" s="244"/>
      <c r="F231" s="244"/>
      <c r="G231" s="244"/>
      <c r="H231" s="244"/>
      <c r="I231" s="244"/>
      <c r="J231" s="244"/>
      <c r="K231" s="244"/>
      <c r="L231" s="244"/>
      <c r="M231" s="244"/>
      <c r="N231" s="244"/>
      <c r="O231" s="244"/>
      <c r="P231" s="244"/>
      <c r="Q231" s="244"/>
      <c r="R231" s="244"/>
      <c r="S231" s="244"/>
      <c r="T231" s="244"/>
      <c r="U231" s="244"/>
      <c r="V231" s="244"/>
      <c r="W231" s="244"/>
      <c r="X231" s="244"/>
      <c r="Y231" s="244"/>
      <c r="Z231" s="244"/>
      <c r="AA231" s="244"/>
      <c r="AB231" s="244"/>
      <c r="AC231" s="244"/>
      <c r="AD231" s="244"/>
      <c r="AE231" s="244"/>
      <c r="AF231" s="244"/>
      <c r="AG231" s="244"/>
    </row>
    <row r="232" spans="1:33" ht="15.75" customHeight="1" x14ac:dyDescent="0.25">
      <c r="A232" s="244"/>
      <c r="B232" s="244"/>
      <c r="C232" s="244"/>
      <c r="D232" s="244"/>
      <c r="E232" s="244"/>
      <c r="F232" s="244"/>
      <c r="G232" s="244"/>
      <c r="H232" s="244"/>
      <c r="I232" s="244"/>
      <c r="J232" s="244"/>
      <c r="K232" s="244"/>
      <c r="L232" s="244"/>
      <c r="M232" s="244"/>
      <c r="N232" s="244"/>
      <c r="O232" s="244"/>
      <c r="P232" s="244"/>
      <c r="Q232" s="244"/>
      <c r="R232" s="244"/>
      <c r="S232" s="244"/>
      <c r="T232" s="244"/>
      <c r="U232" s="244"/>
      <c r="V232" s="244"/>
      <c r="W232" s="244"/>
      <c r="X232" s="244"/>
      <c r="Y232" s="244"/>
      <c r="Z232" s="244"/>
      <c r="AA232" s="244"/>
      <c r="AB232" s="244"/>
      <c r="AC232" s="244"/>
      <c r="AD232" s="244"/>
      <c r="AE232" s="244"/>
      <c r="AF232" s="244"/>
      <c r="AG232" s="244"/>
    </row>
    <row r="233" spans="1:33" ht="15.75" customHeight="1" x14ac:dyDescent="0.25">
      <c r="A233" s="244"/>
      <c r="B233" s="244"/>
      <c r="C233" s="244"/>
      <c r="D233" s="244"/>
      <c r="E233" s="244"/>
      <c r="F233" s="244"/>
      <c r="G233" s="244"/>
      <c r="H233" s="244"/>
      <c r="I233" s="244"/>
      <c r="J233" s="244"/>
      <c r="K233" s="244"/>
      <c r="L233" s="244"/>
      <c r="M233" s="244"/>
      <c r="N233" s="244"/>
      <c r="O233" s="244"/>
      <c r="P233" s="244"/>
      <c r="Q233" s="244"/>
      <c r="R233" s="244"/>
      <c r="S233" s="244"/>
      <c r="T233" s="244"/>
      <c r="U233" s="244"/>
      <c r="V233" s="244"/>
      <c r="W233" s="244"/>
      <c r="X233" s="244"/>
      <c r="Y233" s="244"/>
      <c r="Z233" s="244"/>
      <c r="AA233" s="244"/>
      <c r="AB233" s="244"/>
      <c r="AC233" s="244"/>
      <c r="AD233" s="244"/>
      <c r="AE233" s="244"/>
      <c r="AF233" s="244"/>
      <c r="AG233" s="244"/>
    </row>
    <row r="234" spans="1:33" ht="15.75" customHeight="1" x14ac:dyDescent="0.25">
      <c r="A234" s="244"/>
      <c r="B234" s="244"/>
      <c r="C234" s="244"/>
      <c r="D234" s="244"/>
      <c r="E234" s="244"/>
      <c r="F234" s="244"/>
      <c r="G234" s="244"/>
      <c r="H234" s="244"/>
      <c r="I234" s="244"/>
      <c r="J234" s="244"/>
      <c r="K234" s="244"/>
      <c r="L234" s="244"/>
      <c r="M234" s="244"/>
      <c r="N234" s="244"/>
      <c r="O234" s="244"/>
      <c r="P234" s="244"/>
      <c r="Q234" s="244"/>
      <c r="R234" s="244"/>
      <c r="S234" s="244"/>
      <c r="T234" s="244"/>
      <c r="U234" s="244"/>
      <c r="V234" s="244"/>
      <c r="W234" s="244"/>
      <c r="X234" s="244"/>
      <c r="Y234" s="244"/>
      <c r="Z234" s="244"/>
      <c r="AA234" s="244"/>
      <c r="AB234" s="244"/>
      <c r="AC234" s="244"/>
      <c r="AD234" s="244"/>
      <c r="AE234" s="244"/>
      <c r="AF234" s="244"/>
      <c r="AG234" s="244"/>
    </row>
    <row r="235" spans="1:33" ht="15.75" customHeight="1" x14ac:dyDescent="0.25">
      <c r="A235" s="244"/>
      <c r="B235" s="244"/>
      <c r="C235" s="244"/>
      <c r="D235" s="244"/>
      <c r="E235" s="244"/>
      <c r="F235" s="244"/>
      <c r="G235" s="244"/>
      <c r="H235" s="244"/>
      <c r="I235" s="244"/>
      <c r="J235" s="244"/>
      <c r="K235" s="244"/>
      <c r="L235" s="244"/>
      <c r="M235" s="244"/>
      <c r="N235" s="244"/>
      <c r="O235" s="244"/>
      <c r="P235" s="244"/>
      <c r="Q235" s="244"/>
      <c r="R235" s="244"/>
      <c r="S235" s="244"/>
      <c r="T235" s="244"/>
      <c r="U235" s="244"/>
      <c r="V235" s="244"/>
      <c r="W235" s="244"/>
      <c r="X235" s="244"/>
      <c r="Y235" s="244"/>
      <c r="Z235" s="244"/>
      <c r="AA235" s="244"/>
      <c r="AB235" s="244"/>
      <c r="AC235" s="244"/>
      <c r="AD235" s="244"/>
      <c r="AE235" s="244"/>
      <c r="AF235" s="244"/>
      <c r="AG235" s="244"/>
    </row>
    <row r="236" spans="1:33" ht="15.75" customHeight="1" x14ac:dyDescent="0.25">
      <c r="A236" s="244"/>
      <c r="B236" s="244"/>
      <c r="C236" s="244"/>
      <c r="D236" s="244"/>
      <c r="E236" s="244"/>
      <c r="F236" s="244"/>
      <c r="G236" s="244"/>
      <c r="H236" s="244"/>
      <c r="I236" s="244"/>
      <c r="J236" s="244"/>
      <c r="K236" s="244"/>
      <c r="L236" s="244"/>
      <c r="M236" s="244"/>
      <c r="N236" s="244"/>
      <c r="O236" s="244"/>
      <c r="P236" s="244"/>
      <c r="Q236" s="244"/>
      <c r="R236" s="244"/>
      <c r="S236" s="244"/>
      <c r="T236" s="244"/>
      <c r="U236" s="244"/>
      <c r="V236" s="244"/>
      <c r="W236" s="244"/>
      <c r="X236" s="244"/>
      <c r="Y236" s="244"/>
      <c r="Z236" s="244"/>
      <c r="AA236" s="244"/>
      <c r="AB236" s="244"/>
      <c r="AC236" s="244"/>
      <c r="AD236" s="244"/>
      <c r="AE236" s="244"/>
      <c r="AF236" s="244"/>
      <c r="AG236" s="244"/>
    </row>
    <row r="237" spans="1:33" ht="15.75" customHeight="1" x14ac:dyDescent="0.25">
      <c r="A237" s="244"/>
      <c r="B237" s="244"/>
      <c r="C237" s="244"/>
      <c r="D237" s="244"/>
      <c r="E237" s="244"/>
      <c r="F237" s="244"/>
      <c r="G237" s="244"/>
      <c r="H237" s="244"/>
      <c r="I237" s="244"/>
      <c r="J237" s="244"/>
      <c r="K237" s="244"/>
      <c r="L237" s="244"/>
      <c r="M237" s="244"/>
      <c r="N237" s="244"/>
      <c r="O237" s="244"/>
      <c r="P237" s="244"/>
      <c r="Q237" s="244"/>
      <c r="R237" s="244"/>
      <c r="S237" s="244"/>
      <c r="T237" s="244"/>
      <c r="U237" s="244"/>
      <c r="V237" s="244"/>
      <c r="W237" s="244"/>
      <c r="X237" s="244"/>
      <c r="Y237" s="244"/>
      <c r="Z237" s="244"/>
      <c r="AA237" s="244"/>
      <c r="AB237" s="244"/>
      <c r="AC237" s="244"/>
      <c r="AD237" s="244"/>
      <c r="AE237" s="244"/>
      <c r="AF237" s="244"/>
      <c r="AG237" s="244"/>
    </row>
    <row r="238" spans="1:33" ht="15.75" customHeight="1" x14ac:dyDescent="0.25">
      <c r="A238" s="244"/>
      <c r="B238" s="244"/>
      <c r="C238" s="244"/>
      <c r="D238" s="244"/>
      <c r="E238" s="244"/>
      <c r="F238" s="244"/>
      <c r="G238" s="244"/>
      <c r="H238" s="244"/>
      <c r="I238" s="244"/>
      <c r="J238" s="244"/>
      <c r="K238" s="244"/>
      <c r="L238" s="244"/>
      <c r="M238" s="244"/>
      <c r="N238" s="244"/>
      <c r="O238" s="244"/>
      <c r="P238" s="244"/>
      <c r="Q238" s="244"/>
      <c r="R238" s="244"/>
      <c r="S238" s="244"/>
      <c r="T238" s="244"/>
      <c r="U238" s="244"/>
      <c r="V238" s="244"/>
      <c r="W238" s="244"/>
      <c r="X238" s="244"/>
      <c r="Y238" s="244"/>
      <c r="Z238" s="244"/>
      <c r="AA238" s="244"/>
      <c r="AB238" s="244"/>
      <c r="AC238" s="244"/>
      <c r="AD238" s="244"/>
      <c r="AE238" s="244"/>
      <c r="AF238" s="244"/>
      <c r="AG238" s="244"/>
    </row>
    <row r="239" spans="1:33" ht="15.75" customHeight="1" x14ac:dyDescent="0.25">
      <c r="A239" s="244"/>
      <c r="B239" s="244"/>
      <c r="C239" s="244"/>
      <c r="D239" s="244"/>
      <c r="E239" s="244"/>
      <c r="F239" s="244"/>
      <c r="G239" s="244"/>
      <c r="H239" s="244"/>
      <c r="I239" s="244"/>
      <c r="J239" s="244"/>
      <c r="K239" s="244"/>
      <c r="L239" s="244"/>
      <c r="M239" s="244"/>
      <c r="N239" s="244"/>
      <c r="O239" s="244"/>
      <c r="P239" s="244"/>
      <c r="Q239" s="244"/>
      <c r="R239" s="244"/>
      <c r="S239" s="244"/>
      <c r="T239" s="244"/>
      <c r="U239" s="244"/>
      <c r="V239" s="244"/>
      <c r="W239" s="244"/>
      <c r="X239" s="244"/>
      <c r="Y239" s="244"/>
      <c r="Z239" s="244"/>
      <c r="AA239" s="244"/>
      <c r="AB239" s="244"/>
      <c r="AC239" s="244"/>
      <c r="AD239" s="244"/>
      <c r="AE239" s="244"/>
      <c r="AF239" s="244"/>
      <c r="AG239" s="244"/>
    </row>
    <row r="240" spans="1:33" ht="15.75" customHeight="1" x14ac:dyDescent="0.25">
      <c r="A240" s="244"/>
      <c r="B240" s="244"/>
      <c r="C240" s="244"/>
      <c r="D240" s="244"/>
      <c r="E240" s="244"/>
      <c r="F240" s="244"/>
      <c r="G240" s="244"/>
      <c r="H240" s="244"/>
      <c r="I240" s="244"/>
      <c r="J240" s="244"/>
      <c r="K240" s="244"/>
      <c r="L240" s="244"/>
      <c r="M240" s="244"/>
      <c r="N240" s="244"/>
      <c r="O240" s="244"/>
      <c r="P240" s="244"/>
      <c r="Q240" s="244"/>
      <c r="R240" s="244"/>
      <c r="S240" s="244"/>
      <c r="T240" s="244"/>
      <c r="U240" s="244"/>
      <c r="V240" s="244"/>
      <c r="W240" s="244"/>
      <c r="X240" s="244"/>
      <c r="Y240" s="244"/>
      <c r="Z240" s="244"/>
      <c r="AA240" s="244"/>
      <c r="AB240" s="244"/>
      <c r="AC240" s="244"/>
      <c r="AD240" s="244"/>
      <c r="AE240" s="244"/>
      <c r="AF240" s="244"/>
      <c r="AG240" s="244"/>
    </row>
    <row r="241" spans="1:33" ht="15.75" customHeight="1" x14ac:dyDescent="0.25">
      <c r="A241" s="244"/>
      <c r="B241" s="244"/>
      <c r="C241" s="244"/>
      <c r="D241" s="244"/>
      <c r="E241" s="244"/>
      <c r="F241" s="244"/>
      <c r="G241" s="244"/>
      <c r="H241" s="244"/>
      <c r="I241" s="244"/>
      <c r="J241" s="244"/>
      <c r="K241" s="244"/>
      <c r="L241" s="244"/>
      <c r="M241" s="244"/>
      <c r="N241" s="244"/>
      <c r="O241" s="244"/>
      <c r="P241" s="244"/>
      <c r="Q241" s="244"/>
      <c r="R241" s="244"/>
      <c r="S241" s="244"/>
      <c r="T241" s="244"/>
      <c r="U241" s="244"/>
      <c r="V241" s="244"/>
      <c r="W241" s="244"/>
      <c r="X241" s="244"/>
      <c r="Y241" s="244"/>
      <c r="Z241" s="244"/>
      <c r="AA241" s="244"/>
      <c r="AB241" s="244"/>
      <c r="AC241" s="244"/>
      <c r="AD241" s="244"/>
      <c r="AE241" s="244"/>
      <c r="AF241" s="244"/>
      <c r="AG241" s="244"/>
    </row>
    <row r="242" spans="1:33" ht="15.75" customHeight="1" x14ac:dyDescent="0.25">
      <c r="A242" s="244"/>
      <c r="B242" s="244"/>
      <c r="C242" s="244"/>
      <c r="D242" s="244"/>
      <c r="E242" s="244"/>
      <c r="F242" s="244"/>
      <c r="G242" s="244"/>
      <c r="H242" s="244"/>
      <c r="I242" s="244"/>
      <c r="J242" s="244"/>
      <c r="K242" s="244"/>
      <c r="L242" s="244"/>
      <c r="M242" s="244"/>
      <c r="N242" s="244"/>
      <c r="O242" s="244"/>
      <c r="P242" s="244"/>
      <c r="Q242" s="244"/>
      <c r="R242" s="244"/>
      <c r="S242" s="244"/>
      <c r="T242" s="244"/>
      <c r="U242" s="244"/>
      <c r="V242" s="244"/>
      <c r="W242" s="244"/>
      <c r="X242" s="244"/>
      <c r="Y242" s="244"/>
      <c r="Z242" s="244"/>
      <c r="AA242" s="244"/>
      <c r="AB242" s="244"/>
      <c r="AC242" s="244"/>
      <c r="AD242" s="244"/>
      <c r="AE242" s="244"/>
      <c r="AF242" s="244"/>
      <c r="AG242" s="244"/>
    </row>
    <row r="243" spans="1:33" ht="15.75" customHeight="1" x14ac:dyDescent="0.25">
      <c r="A243" s="244"/>
      <c r="B243" s="244"/>
      <c r="C243" s="244"/>
      <c r="D243" s="244"/>
      <c r="E243" s="244"/>
      <c r="F243" s="244"/>
      <c r="G243" s="244"/>
      <c r="H243" s="244"/>
      <c r="I243" s="244"/>
      <c r="J243" s="244"/>
      <c r="K243" s="244"/>
      <c r="L243" s="244"/>
      <c r="M243" s="244"/>
      <c r="N243" s="244"/>
      <c r="O243" s="244"/>
      <c r="P243" s="244"/>
      <c r="Q243" s="244"/>
      <c r="R243" s="244"/>
      <c r="S243" s="244"/>
      <c r="T243" s="244"/>
      <c r="U243" s="244"/>
      <c r="V243" s="244"/>
      <c r="W243" s="244"/>
      <c r="X243" s="244"/>
      <c r="Y243" s="244"/>
      <c r="Z243" s="244"/>
      <c r="AA243" s="244"/>
      <c r="AB243" s="244"/>
      <c r="AC243" s="244"/>
      <c r="AD243" s="244"/>
      <c r="AE243" s="244"/>
      <c r="AF243" s="244"/>
      <c r="AG243" s="244"/>
    </row>
    <row r="244" spans="1:33" ht="15.75" customHeight="1" x14ac:dyDescent="0.25">
      <c r="A244" s="244"/>
      <c r="B244" s="244"/>
      <c r="C244" s="244"/>
      <c r="D244" s="244"/>
      <c r="E244" s="244"/>
      <c r="F244" s="244"/>
      <c r="G244" s="244"/>
      <c r="H244" s="244"/>
      <c r="I244" s="244"/>
      <c r="J244" s="244"/>
      <c r="K244" s="244"/>
      <c r="L244" s="244"/>
      <c r="M244" s="244"/>
      <c r="N244" s="244"/>
      <c r="O244" s="244"/>
      <c r="P244" s="244"/>
      <c r="Q244" s="244"/>
      <c r="R244" s="244"/>
      <c r="S244" s="244"/>
      <c r="T244" s="244"/>
      <c r="U244" s="244"/>
      <c r="V244" s="244"/>
      <c r="W244" s="244"/>
      <c r="X244" s="244"/>
      <c r="Y244" s="244"/>
      <c r="Z244" s="244"/>
      <c r="AA244" s="244"/>
      <c r="AB244" s="244"/>
      <c r="AC244" s="244"/>
      <c r="AD244" s="244"/>
      <c r="AE244" s="244"/>
      <c r="AF244" s="244"/>
      <c r="AG244" s="244"/>
    </row>
    <row r="245" spans="1:33" ht="15.75" customHeight="1" x14ac:dyDescent="0.25">
      <c r="A245" s="244"/>
      <c r="B245" s="244"/>
      <c r="C245" s="244"/>
      <c r="D245" s="244"/>
      <c r="E245" s="244"/>
      <c r="F245" s="244"/>
      <c r="G245" s="244"/>
      <c r="H245" s="244"/>
      <c r="I245" s="244"/>
      <c r="J245" s="244"/>
      <c r="K245" s="244"/>
      <c r="L245" s="244"/>
      <c r="M245" s="244"/>
      <c r="N245" s="244"/>
      <c r="O245" s="244"/>
      <c r="P245" s="244"/>
      <c r="Q245" s="244"/>
      <c r="R245" s="244"/>
      <c r="S245" s="244"/>
      <c r="T245" s="244"/>
      <c r="U245" s="244"/>
      <c r="V245" s="244"/>
      <c r="W245" s="244"/>
      <c r="X245" s="244"/>
      <c r="Y245" s="244"/>
      <c r="Z245" s="244"/>
      <c r="AA245" s="244"/>
      <c r="AB245" s="244"/>
      <c r="AC245" s="244"/>
      <c r="AD245" s="244"/>
      <c r="AE245" s="244"/>
      <c r="AF245" s="244"/>
      <c r="AG245" s="244"/>
    </row>
    <row r="246" spans="1:33" ht="15.75" customHeight="1" x14ac:dyDescent="0.25">
      <c r="A246" s="244"/>
      <c r="B246" s="244"/>
      <c r="C246" s="244"/>
      <c r="D246" s="244"/>
      <c r="E246" s="244"/>
      <c r="F246" s="244"/>
      <c r="G246" s="244"/>
      <c r="H246" s="244"/>
      <c r="I246" s="244"/>
      <c r="J246" s="244"/>
      <c r="K246" s="244"/>
      <c r="L246" s="244"/>
      <c r="M246" s="244"/>
      <c r="N246" s="244"/>
      <c r="O246" s="244"/>
      <c r="P246" s="244"/>
      <c r="Q246" s="244"/>
      <c r="R246" s="244"/>
      <c r="S246" s="244"/>
      <c r="T246" s="244"/>
      <c r="U246" s="244"/>
      <c r="V246" s="244"/>
      <c r="W246" s="244"/>
      <c r="X246" s="244"/>
      <c r="Y246" s="244"/>
      <c r="Z246" s="244"/>
      <c r="AA246" s="244"/>
      <c r="AB246" s="244"/>
      <c r="AC246" s="244"/>
      <c r="AD246" s="244"/>
      <c r="AE246" s="244"/>
      <c r="AF246" s="244"/>
      <c r="AG246" s="244"/>
    </row>
    <row r="247" spans="1:33" ht="15.75" customHeight="1" x14ac:dyDescent="0.25">
      <c r="A247" s="244"/>
      <c r="B247" s="244"/>
      <c r="C247" s="244"/>
      <c r="D247" s="244"/>
      <c r="E247" s="244"/>
      <c r="F247" s="244"/>
      <c r="G247" s="244"/>
      <c r="H247" s="244"/>
      <c r="I247" s="244"/>
      <c r="J247" s="244"/>
      <c r="K247" s="244"/>
      <c r="L247" s="244"/>
      <c r="M247" s="244"/>
      <c r="N247" s="244"/>
      <c r="O247" s="244"/>
      <c r="P247" s="244"/>
      <c r="Q247" s="244"/>
      <c r="R247" s="244"/>
      <c r="S247" s="244"/>
      <c r="T247" s="244"/>
      <c r="U247" s="244"/>
      <c r="V247" s="244"/>
      <c r="W247" s="244"/>
      <c r="X247" s="244"/>
      <c r="Y247" s="244"/>
      <c r="Z247" s="244"/>
      <c r="AA247" s="244"/>
      <c r="AB247" s="244"/>
      <c r="AC247" s="244"/>
      <c r="AD247" s="244"/>
      <c r="AE247" s="244"/>
      <c r="AF247" s="244"/>
      <c r="AG247" s="244"/>
    </row>
    <row r="248" spans="1:33" ht="15.75" customHeight="1" x14ac:dyDescent="0.25">
      <c r="A248" s="244"/>
      <c r="B248" s="244"/>
      <c r="C248" s="244"/>
      <c r="D248" s="244"/>
      <c r="E248" s="244"/>
      <c r="F248" s="244"/>
      <c r="G248" s="244"/>
      <c r="H248" s="244"/>
      <c r="I248" s="244"/>
      <c r="J248" s="244"/>
      <c r="K248" s="244"/>
      <c r="L248" s="244"/>
      <c r="M248" s="244"/>
      <c r="N248" s="244"/>
      <c r="O248" s="244"/>
      <c r="P248" s="244"/>
      <c r="Q248" s="244"/>
      <c r="R248" s="244"/>
      <c r="S248" s="244"/>
      <c r="T248" s="244"/>
      <c r="U248" s="244"/>
      <c r="V248" s="244"/>
      <c r="W248" s="244"/>
      <c r="X248" s="244"/>
      <c r="Y248" s="244"/>
      <c r="Z248" s="244"/>
      <c r="AA248" s="244"/>
      <c r="AB248" s="244"/>
      <c r="AC248" s="244"/>
      <c r="AD248" s="244"/>
      <c r="AE248" s="244"/>
      <c r="AF248" s="244"/>
      <c r="AG248" s="244"/>
    </row>
    <row r="249" spans="1:33" ht="15.75" customHeight="1" x14ac:dyDescent="0.25">
      <c r="A249" s="244"/>
      <c r="B249" s="244"/>
      <c r="C249" s="244"/>
      <c r="D249" s="244"/>
      <c r="E249" s="244"/>
      <c r="F249" s="244"/>
      <c r="G249" s="244"/>
      <c r="H249" s="244"/>
      <c r="I249" s="244"/>
      <c r="J249" s="244"/>
      <c r="K249" s="244"/>
      <c r="L249" s="244"/>
      <c r="M249" s="244"/>
      <c r="N249" s="244"/>
      <c r="O249" s="244"/>
      <c r="P249" s="244"/>
      <c r="Q249" s="244"/>
      <c r="R249" s="244"/>
      <c r="S249" s="244"/>
      <c r="T249" s="244"/>
      <c r="U249" s="244"/>
      <c r="V249" s="244"/>
      <c r="W249" s="244"/>
      <c r="X249" s="244"/>
      <c r="Y249" s="244"/>
      <c r="Z249" s="244"/>
      <c r="AA249" s="244"/>
      <c r="AB249" s="244"/>
      <c r="AC249" s="244"/>
      <c r="AD249" s="244"/>
      <c r="AE249" s="244"/>
      <c r="AF249" s="244"/>
      <c r="AG249" s="244"/>
    </row>
    <row r="250" spans="1:33" ht="15.75" customHeight="1" x14ac:dyDescent="0.25">
      <c r="A250" s="244"/>
      <c r="B250" s="244"/>
      <c r="C250" s="244"/>
      <c r="D250" s="244"/>
      <c r="E250" s="244"/>
      <c r="F250" s="244"/>
      <c r="G250" s="244"/>
      <c r="H250" s="244"/>
      <c r="I250" s="244"/>
      <c r="J250" s="244"/>
      <c r="K250" s="244"/>
      <c r="L250" s="244"/>
      <c r="M250" s="244"/>
      <c r="N250" s="244"/>
      <c r="O250" s="244"/>
      <c r="P250" s="244"/>
      <c r="Q250" s="244"/>
      <c r="R250" s="244"/>
      <c r="S250" s="244"/>
      <c r="T250" s="244"/>
      <c r="U250" s="244"/>
      <c r="V250" s="244"/>
      <c r="W250" s="244"/>
      <c r="X250" s="244"/>
      <c r="Y250" s="244"/>
      <c r="Z250" s="244"/>
      <c r="AA250" s="244"/>
      <c r="AB250" s="244"/>
      <c r="AC250" s="244"/>
      <c r="AD250" s="244"/>
      <c r="AE250" s="244"/>
      <c r="AF250" s="244"/>
      <c r="AG250" s="244"/>
    </row>
    <row r="251" spans="1:33" ht="15.75" customHeight="1" x14ac:dyDescent="0.25">
      <c r="A251" s="244"/>
      <c r="B251" s="244"/>
      <c r="C251" s="244"/>
      <c r="D251" s="244"/>
      <c r="E251" s="244"/>
      <c r="F251" s="244"/>
      <c r="G251" s="244"/>
      <c r="H251" s="244"/>
      <c r="I251" s="244"/>
      <c r="J251" s="244"/>
      <c r="K251" s="244"/>
      <c r="L251" s="244"/>
      <c r="M251" s="244"/>
      <c r="N251" s="244"/>
      <c r="O251" s="244"/>
      <c r="P251" s="244"/>
      <c r="Q251" s="244"/>
      <c r="R251" s="244"/>
      <c r="S251" s="244"/>
      <c r="T251" s="244"/>
      <c r="U251" s="244"/>
      <c r="V251" s="244"/>
      <c r="W251" s="244"/>
      <c r="X251" s="244"/>
      <c r="Y251" s="244"/>
      <c r="Z251" s="244"/>
      <c r="AA251" s="244"/>
      <c r="AB251" s="244"/>
      <c r="AC251" s="244"/>
      <c r="AD251" s="244"/>
      <c r="AE251" s="244"/>
      <c r="AF251" s="244"/>
      <c r="AG251" s="244"/>
    </row>
    <row r="252" spans="1:33" ht="15.75" customHeight="1" x14ac:dyDescent="0.25">
      <c r="A252" s="244"/>
      <c r="B252" s="244"/>
      <c r="C252" s="244"/>
      <c r="D252" s="244"/>
      <c r="E252" s="244"/>
      <c r="F252" s="244"/>
      <c r="G252" s="244"/>
      <c r="H252" s="244"/>
      <c r="I252" s="244"/>
      <c r="J252" s="244"/>
      <c r="K252" s="244"/>
      <c r="L252" s="244"/>
      <c r="M252" s="244"/>
      <c r="N252" s="244"/>
      <c r="O252" s="244"/>
      <c r="P252" s="244"/>
      <c r="Q252" s="244"/>
      <c r="R252" s="244"/>
      <c r="S252" s="244"/>
      <c r="T252" s="244"/>
      <c r="U252" s="244"/>
      <c r="V252" s="244"/>
      <c r="W252" s="244"/>
      <c r="X252" s="244"/>
      <c r="Y252" s="244"/>
      <c r="Z252" s="244"/>
      <c r="AA252" s="244"/>
      <c r="AB252" s="244"/>
      <c r="AC252" s="244"/>
      <c r="AD252" s="244"/>
      <c r="AE252" s="244"/>
      <c r="AF252" s="244"/>
      <c r="AG252" s="244"/>
    </row>
    <row r="253" spans="1:33" ht="15.75" customHeight="1" x14ac:dyDescent="0.25">
      <c r="A253" s="244"/>
      <c r="B253" s="244"/>
      <c r="C253" s="244"/>
      <c r="D253" s="244"/>
      <c r="E253" s="244"/>
      <c r="F253" s="244"/>
      <c r="G253" s="244"/>
      <c r="H253" s="244"/>
      <c r="I253" s="244"/>
      <c r="J253" s="244"/>
      <c r="K253" s="244"/>
      <c r="L253" s="244"/>
      <c r="M253" s="244"/>
      <c r="N253" s="244"/>
      <c r="O253" s="244"/>
      <c r="P253" s="244"/>
      <c r="Q253" s="244"/>
      <c r="R253" s="244"/>
      <c r="S253" s="244"/>
      <c r="T253" s="244"/>
      <c r="U253" s="244"/>
      <c r="V253" s="244"/>
      <c r="W253" s="244"/>
      <c r="X253" s="244"/>
      <c r="Y253" s="244"/>
      <c r="Z253" s="244"/>
      <c r="AA253" s="244"/>
      <c r="AB253" s="244"/>
      <c r="AC253" s="244"/>
      <c r="AD253" s="244"/>
      <c r="AE253" s="244"/>
      <c r="AF253" s="244"/>
      <c r="AG253" s="244"/>
    </row>
    <row r="254" spans="1:33" ht="15.75" customHeight="1" x14ac:dyDescent="0.25">
      <c r="A254" s="244"/>
      <c r="B254" s="244"/>
      <c r="C254" s="244"/>
      <c r="D254" s="244"/>
      <c r="E254" s="244"/>
      <c r="F254" s="244"/>
      <c r="G254" s="244"/>
      <c r="H254" s="244"/>
      <c r="I254" s="244"/>
      <c r="J254" s="244"/>
      <c r="K254" s="244"/>
      <c r="L254" s="244"/>
      <c r="M254" s="244"/>
      <c r="N254" s="244"/>
      <c r="O254" s="244"/>
      <c r="P254" s="244"/>
      <c r="Q254" s="244"/>
      <c r="R254" s="244"/>
      <c r="S254" s="244"/>
      <c r="T254" s="244"/>
      <c r="U254" s="244"/>
      <c r="V254" s="244"/>
      <c r="W254" s="244"/>
      <c r="X254" s="244"/>
      <c r="Y254" s="244"/>
      <c r="Z254" s="244"/>
      <c r="AA254" s="244"/>
      <c r="AB254" s="244"/>
      <c r="AC254" s="244"/>
      <c r="AD254" s="244"/>
      <c r="AE254" s="244"/>
      <c r="AF254" s="244"/>
      <c r="AG254" s="244"/>
    </row>
    <row r="255" spans="1:33" ht="15.75" customHeight="1" x14ac:dyDescent="0.25">
      <c r="A255" s="244"/>
      <c r="B255" s="244"/>
      <c r="C255" s="244"/>
      <c r="D255" s="244"/>
      <c r="E255" s="244"/>
      <c r="F255" s="244"/>
      <c r="G255" s="244"/>
      <c r="H255" s="244"/>
      <c r="I255" s="244"/>
      <c r="J255" s="244"/>
      <c r="K255" s="244"/>
      <c r="L255" s="244"/>
      <c r="M255" s="244"/>
      <c r="N255" s="244"/>
      <c r="O255" s="244"/>
      <c r="P255" s="244"/>
      <c r="Q255" s="244"/>
      <c r="R255" s="244"/>
      <c r="S255" s="244"/>
      <c r="T255" s="244"/>
      <c r="U255" s="244"/>
      <c r="V255" s="244"/>
      <c r="W255" s="244"/>
      <c r="X255" s="244"/>
      <c r="Y255" s="244"/>
      <c r="Z255" s="244"/>
      <c r="AA255" s="244"/>
      <c r="AB255" s="244"/>
      <c r="AC255" s="244"/>
      <c r="AD255" s="244"/>
      <c r="AE255" s="244"/>
      <c r="AF255" s="244"/>
      <c r="AG255" s="244"/>
    </row>
    <row r="256" spans="1:33" ht="15.75" customHeight="1" x14ac:dyDescent="0.25">
      <c r="A256" s="244"/>
      <c r="B256" s="244"/>
      <c r="C256" s="244"/>
      <c r="D256" s="244"/>
      <c r="E256" s="244"/>
      <c r="F256" s="244"/>
      <c r="G256" s="244"/>
      <c r="H256" s="244"/>
      <c r="I256" s="244"/>
      <c r="J256" s="244"/>
      <c r="K256" s="244"/>
      <c r="L256" s="244"/>
      <c r="M256" s="244"/>
      <c r="N256" s="244"/>
      <c r="O256" s="244"/>
      <c r="P256" s="244"/>
      <c r="Q256" s="244"/>
      <c r="R256" s="244"/>
      <c r="S256" s="244"/>
      <c r="T256" s="244"/>
      <c r="U256" s="244"/>
      <c r="V256" s="244"/>
      <c r="W256" s="244"/>
      <c r="X256" s="244"/>
      <c r="Y256" s="244"/>
      <c r="Z256" s="244"/>
      <c r="AA256" s="244"/>
      <c r="AB256" s="244"/>
      <c r="AC256" s="244"/>
      <c r="AD256" s="244"/>
      <c r="AE256" s="244"/>
      <c r="AF256" s="244"/>
      <c r="AG256" s="244"/>
    </row>
    <row r="257" spans="1:33" ht="15.75" customHeight="1" x14ac:dyDescent="0.25">
      <c r="A257" s="244"/>
      <c r="B257" s="244"/>
      <c r="C257" s="244"/>
      <c r="D257" s="244"/>
      <c r="E257" s="244"/>
      <c r="F257" s="244"/>
      <c r="G257" s="244"/>
      <c r="H257" s="244"/>
      <c r="I257" s="244"/>
      <c r="J257" s="244"/>
      <c r="K257" s="244"/>
      <c r="L257" s="244"/>
      <c r="M257" s="244"/>
      <c r="N257" s="244"/>
      <c r="O257" s="244"/>
      <c r="P257" s="244"/>
      <c r="Q257" s="244"/>
      <c r="R257" s="244"/>
      <c r="S257" s="244"/>
      <c r="T257" s="244"/>
      <c r="U257" s="244"/>
      <c r="V257" s="244"/>
      <c r="W257" s="244"/>
      <c r="X257" s="244"/>
      <c r="Y257" s="244"/>
      <c r="Z257" s="244"/>
      <c r="AA257" s="244"/>
      <c r="AB257" s="244"/>
      <c r="AC257" s="244"/>
      <c r="AD257" s="244"/>
      <c r="AE257" s="244"/>
      <c r="AF257" s="244"/>
      <c r="AG257" s="244"/>
    </row>
    <row r="258" spans="1:33" ht="15.75" customHeight="1" x14ac:dyDescent="0.25">
      <c r="A258" s="244"/>
      <c r="B258" s="244"/>
      <c r="C258" s="244"/>
      <c r="D258" s="244"/>
      <c r="E258" s="244"/>
      <c r="F258" s="244"/>
      <c r="G258" s="244"/>
      <c r="H258" s="244"/>
      <c r="I258" s="244"/>
      <c r="J258" s="244"/>
      <c r="K258" s="244"/>
      <c r="L258" s="244"/>
      <c r="M258" s="244"/>
      <c r="N258" s="244"/>
      <c r="O258" s="244"/>
      <c r="P258" s="244"/>
      <c r="Q258" s="244"/>
      <c r="R258" s="244"/>
      <c r="S258" s="244"/>
      <c r="T258" s="244"/>
      <c r="U258" s="244"/>
      <c r="V258" s="244"/>
      <c r="W258" s="244"/>
      <c r="X258" s="244"/>
      <c r="Y258" s="244"/>
      <c r="Z258" s="244"/>
      <c r="AA258" s="244"/>
      <c r="AB258" s="244"/>
      <c r="AC258" s="244"/>
      <c r="AD258" s="244"/>
      <c r="AE258" s="244"/>
      <c r="AF258" s="244"/>
      <c r="AG258" s="244"/>
    </row>
    <row r="259" spans="1:33" ht="15.75" customHeight="1" x14ac:dyDescent="0.25">
      <c r="A259" s="244"/>
      <c r="B259" s="244"/>
      <c r="C259" s="244"/>
      <c r="D259" s="244"/>
      <c r="E259" s="244"/>
      <c r="F259" s="244"/>
      <c r="G259" s="244"/>
      <c r="H259" s="244"/>
      <c r="I259" s="244"/>
      <c r="J259" s="244"/>
      <c r="K259" s="244"/>
      <c r="L259" s="244"/>
      <c r="M259" s="244"/>
      <c r="N259" s="244"/>
      <c r="O259" s="244"/>
      <c r="P259" s="244"/>
      <c r="Q259" s="244"/>
      <c r="R259" s="244"/>
      <c r="S259" s="244"/>
      <c r="T259" s="244"/>
      <c r="U259" s="244"/>
      <c r="V259" s="244"/>
      <c r="W259" s="244"/>
      <c r="X259" s="244"/>
      <c r="Y259" s="244"/>
      <c r="Z259" s="244"/>
      <c r="AA259" s="244"/>
      <c r="AB259" s="244"/>
      <c r="AC259" s="244"/>
      <c r="AD259" s="244"/>
      <c r="AE259" s="244"/>
      <c r="AF259" s="244"/>
      <c r="AG259" s="244"/>
    </row>
    <row r="260" spans="1:33" ht="15.75" customHeight="1" x14ac:dyDescent="0.25">
      <c r="A260" s="244"/>
      <c r="B260" s="244"/>
      <c r="C260" s="244"/>
      <c r="D260" s="244"/>
      <c r="E260" s="244"/>
      <c r="F260" s="244"/>
      <c r="G260" s="244"/>
      <c r="H260" s="244"/>
      <c r="I260" s="244"/>
      <c r="J260" s="244"/>
      <c r="K260" s="244"/>
      <c r="L260" s="244"/>
      <c r="M260" s="244"/>
      <c r="N260" s="244"/>
      <c r="O260" s="244"/>
      <c r="P260" s="244"/>
      <c r="Q260" s="244"/>
      <c r="R260" s="244"/>
      <c r="S260" s="244"/>
      <c r="T260" s="244"/>
      <c r="U260" s="244"/>
      <c r="V260" s="244"/>
      <c r="W260" s="244"/>
      <c r="X260" s="244"/>
      <c r="Y260" s="244"/>
      <c r="Z260" s="244"/>
      <c r="AA260" s="244"/>
      <c r="AB260" s="244"/>
      <c r="AC260" s="244"/>
      <c r="AD260" s="244"/>
      <c r="AE260" s="244"/>
      <c r="AF260" s="244"/>
      <c r="AG260" s="244"/>
    </row>
    <row r="261" spans="1:33" ht="15.75" customHeight="1" x14ac:dyDescent="0.25">
      <c r="A261" s="244"/>
      <c r="B261" s="244"/>
      <c r="C261" s="244"/>
      <c r="D261" s="244"/>
      <c r="E261" s="244"/>
      <c r="F261" s="244"/>
      <c r="G261" s="244"/>
      <c r="H261" s="244"/>
      <c r="I261" s="244"/>
      <c r="J261" s="244"/>
      <c r="K261" s="244"/>
      <c r="L261" s="244"/>
      <c r="M261" s="244"/>
      <c r="N261" s="244"/>
      <c r="O261" s="244"/>
      <c r="P261" s="244"/>
      <c r="Q261" s="244"/>
      <c r="R261" s="244"/>
      <c r="S261" s="244"/>
      <c r="T261" s="244"/>
      <c r="U261" s="244"/>
      <c r="V261" s="244"/>
      <c r="W261" s="244"/>
      <c r="X261" s="244"/>
      <c r="Y261" s="244"/>
      <c r="Z261" s="244"/>
      <c r="AA261" s="244"/>
      <c r="AB261" s="244"/>
      <c r="AC261" s="244"/>
      <c r="AD261" s="244"/>
      <c r="AE261" s="244"/>
      <c r="AF261" s="244"/>
      <c r="AG261" s="244"/>
    </row>
    <row r="262" spans="1:33" ht="15.75" customHeight="1" x14ac:dyDescent="0.25">
      <c r="A262" s="244"/>
      <c r="B262" s="244"/>
      <c r="C262" s="244"/>
      <c r="D262" s="244"/>
      <c r="E262" s="244"/>
      <c r="F262" s="244"/>
      <c r="G262" s="244"/>
      <c r="H262" s="244"/>
      <c r="I262" s="244"/>
      <c r="J262" s="244"/>
      <c r="K262" s="244"/>
      <c r="L262" s="244"/>
      <c r="M262" s="244"/>
      <c r="N262" s="244"/>
      <c r="O262" s="244"/>
      <c r="P262" s="244"/>
      <c r="Q262" s="244"/>
      <c r="R262" s="244"/>
      <c r="S262" s="244"/>
      <c r="T262" s="244"/>
      <c r="U262" s="244"/>
      <c r="V262" s="244"/>
      <c r="W262" s="244"/>
      <c r="X262" s="244"/>
      <c r="Y262" s="244"/>
      <c r="Z262" s="244"/>
      <c r="AA262" s="244"/>
      <c r="AB262" s="244"/>
      <c r="AC262" s="244"/>
      <c r="AD262" s="244"/>
      <c r="AE262" s="244"/>
      <c r="AF262" s="244"/>
      <c r="AG262" s="244"/>
    </row>
    <row r="263" spans="1:33" ht="15.75" customHeight="1" x14ac:dyDescent="0.25">
      <c r="A263" s="244"/>
      <c r="B263" s="244"/>
      <c r="C263" s="244"/>
      <c r="D263" s="244"/>
      <c r="E263" s="244"/>
      <c r="F263" s="244"/>
      <c r="G263" s="244"/>
      <c r="H263" s="244"/>
      <c r="I263" s="244"/>
      <c r="J263" s="244"/>
      <c r="K263" s="244"/>
      <c r="L263" s="244"/>
      <c r="M263" s="244"/>
      <c r="N263" s="244"/>
      <c r="O263" s="244"/>
      <c r="P263" s="244"/>
      <c r="Q263" s="244"/>
      <c r="R263" s="244"/>
      <c r="S263" s="244"/>
      <c r="T263" s="244"/>
      <c r="U263" s="244"/>
      <c r="V263" s="244"/>
      <c r="W263" s="244"/>
      <c r="X263" s="244"/>
      <c r="Y263" s="244"/>
      <c r="Z263" s="244"/>
      <c r="AA263" s="244"/>
      <c r="AB263" s="244"/>
      <c r="AC263" s="244"/>
      <c r="AD263" s="244"/>
      <c r="AE263" s="244"/>
      <c r="AF263" s="244"/>
      <c r="AG263" s="244"/>
    </row>
    <row r="264" spans="1:33" ht="15.75" customHeight="1" x14ac:dyDescent="0.25">
      <c r="A264" s="244"/>
      <c r="B264" s="244"/>
      <c r="C264" s="244"/>
      <c r="D264" s="244"/>
      <c r="E264" s="244"/>
      <c r="F264" s="244"/>
      <c r="G264" s="244"/>
      <c r="H264" s="244"/>
      <c r="I264" s="244"/>
      <c r="J264" s="244"/>
      <c r="K264" s="244"/>
      <c r="L264" s="244"/>
      <c r="M264" s="244"/>
      <c r="N264" s="244"/>
      <c r="O264" s="244"/>
      <c r="P264" s="244"/>
      <c r="Q264" s="244"/>
      <c r="R264" s="244"/>
      <c r="S264" s="244"/>
      <c r="T264" s="244"/>
      <c r="U264" s="244"/>
      <c r="V264" s="244"/>
      <c r="W264" s="244"/>
      <c r="X264" s="244"/>
      <c r="Y264" s="244"/>
      <c r="Z264" s="244"/>
      <c r="AA264" s="244"/>
      <c r="AB264" s="244"/>
      <c r="AC264" s="244"/>
      <c r="AD264" s="244"/>
      <c r="AE264" s="244"/>
      <c r="AF264" s="244"/>
      <c r="AG264" s="244"/>
    </row>
    <row r="265" spans="1:33" ht="15.75" customHeight="1" x14ac:dyDescent="0.25">
      <c r="A265" s="244"/>
      <c r="B265" s="244"/>
      <c r="C265" s="244"/>
      <c r="D265" s="244"/>
      <c r="E265" s="244"/>
      <c r="F265" s="244"/>
      <c r="G265" s="244"/>
      <c r="H265" s="244"/>
      <c r="I265" s="244"/>
      <c r="J265" s="244"/>
      <c r="K265" s="244"/>
      <c r="L265" s="244"/>
      <c r="M265" s="244"/>
      <c r="N265" s="244"/>
      <c r="O265" s="244"/>
      <c r="P265" s="244"/>
      <c r="Q265" s="244"/>
      <c r="R265" s="244"/>
      <c r="S265" s="244"/>
      <c r="T265" s="244"/>
      <c r="U265" s="244"/>
      <c r="V265" s="244"/>
      <c r="W265" s="244"/>
      <c r="X265" s="244"/>
      <c r="Y265" s="244"/>
      <c r="Z265" s="244"/>
      <c r="AA265" s="244"/>
      <c r="AB265" s="244"/>
      <c r="AC265" s="244"/>
      <c r="AD265" s="244"/>
      <c r="AE265" s="244"/>
      <c r="AF265" s="244"/>
      <c r="AG265" s="244"/>
    </row>
    <row r="266" spans="1:33" ht="15.75" customHeight="1" x14ac:dyDescent="0.25">
      <c r="A266" s="244"/>
      <c r="B266" s="244"/>
      <c r="C266" s="244"/>
      <c r="D266" s="244"/>
      <c r="E266" s="244"/>
      <c r="F266" s="244"/>
      <c r="G266" s="244"/>
      <c r="H266" s="244"/>
      <c r="I266" s="244"/>
      <c r="J266" s="244"/>
      <c r="K266" s="244"/>
      <c r="L266" s="244"/>
      <c r="M266" s="244"/>
      <c r="N266" s="244"/>
      <c r="O266" s="244"/>
      <c r="P266" s="244"/>
      <c r="Q266" s="244"/>
      <c r="R266" s="244"/>
      <c r="S266" s="244"/>
      <c r="T266" s="244"/>
      <c r="U266" s="244"/>
      <c r="V266" s="244"/>
      <c r="W266" s="244"/>
      <c r="X266" s="244"/>
      <c r="Y266" s="244"/>
      <c r="Z266" s="244"/>
      <c r="AA266" s="244"/>
      <c r="AB266" s="244"/>
      <c r="AC266" s="244"/>
      <c r="AD266" s="244"/>
      <c r="AE266" s="244"/>
      <c r="AF266" s="244"/>
      <c r="AG266" s="244"/>
    </row>
    <row r="267" spans="1:33" ht="15.75" customHeight="1" x14ac:dyDescent="0.25">
      <c r="A267" s="244"/>
      <c r="B267" s="244"/>
      <c r="C267" s="244"/>
      <c r="D267" s="244"/>
      <c r="E267" s="244"/>
      <c r="F267" s="244"/>
      <c r="G267" s="244"/>
      <c r="H267" s="244"/>
      <c r="I267" s="244"/>
      <c r="J267" s="244"/>
      <c r="K267" s="244"/>
      <c r="L267" s="244"/>
      <c r="M267" s="244"/>
      <c r="N267" s="244"/>
      <c r="O267" s="244"/>
      <c r="P267" s="244"/>
      <c r="Q267" s="244"/>
      <c r="R267" s="244"/>
      <c r="S267" s="244"/>
      <c r="T267" s="244"/>
      <c r="U267" s="244"/>
      <c r="V267" s="244"/>
      <c r="W267" s="244"/>
      <c r="X267" s="244"/>
      <c r="Y267" s="244"/>
      <c r="Z267" s="244"/>
      <c r="AA267" s="244"/>
      <c r="AB267" s="244"/>
      <c r="AC267" s="244"/>
      <c r="AD267" s="244"/>
      <c r="AE267" s="244"/>
      <c r="AF267" s="244"/>
      <c r="AG267" s="244"/>
    </row>
    <row r="268" spans="1:33" ht="15.75" customHeight="1" x14ac:dyDescent="0.25">
      <c r="A268" s="244"/>
      <c r="B268" s="244"/>
      <c r="C268" s="244"/>
      <c r="D268" s="244"/>
      <c r="E268" s="244"/>
      <c r="F268" s="244"/>
      <c r="G268" s="244"/>
      <c r="H268" s="244"/>
      <c r="I268" s="244"/>
      <c r="J268" s="244"/>
      <c r="K268" s="244"/>
      <c r="L268" s="244"/>
      <c r="M268" s="244"/>
      <c r="N268" s="244"/>
      <c r="O268" s="244"/>
      <c r="P268" s="244"/>
      <c r="Q268" s="244"/>
      <c r="R268" s="244"/>
      <c r="S268" s="244"/>
      <c r="T268" s="244"/>
      <c r="U268" s="244"/>
      <c r="V268" s="244"/>
      <c r="W268" s="244"/>
      <c r="X268" s="244"/>
      <c r="Y268" s="244"/>
      <c r="Z268" s="244"/>
      <c r="AA268" s="244"/>
      <c r="AB268" s="244"/>
      <c r="AC268" s="244"/>
      <c r="AD268" s="244"/>
      <c r="AE268" s="244"/>
      <c r="AF268" s="244"/>
      <c r="AG268" s="244"/>
    </row>
    <row r="269" spans="1:33" ht="15.75" customHeight="1" x14ac:dyDescent="0.25">
      <c r="A269" s="244"/>
      <c r="B269" s="244"/>
      <c r="C269" s="244"/>
      <c r="D269" s="244"/>
      <c r="E269" s="244"/>
      <c r="F269" s="244"/>
      <c r="G269" s="244"/>
      <c r="H269" s="244"/>
      <c r="I269" s="244"/>
      <c r="J269" s="244"/>
      <c r="K269" s="244"/>
      <c r="L269" s="244"/>
      <c r="M269" s="244"/>
      <c r="N269" s="244"/>
      <c r="O269" s="244"/>
      <c r="P269" s="244"/>
      <c r="Q269" s="244"/>
      <c r="R269" s="244"/>
      <c r="S269" s="244"/>
      <c r="T269" s="244"/>
      <c r="U269" s="244"/>
      <c r="V269" s="244"/>
      <c r="W269" s="244"/>
      <c r="X269" s="244"/>
      <c r="Y269" s="244"/>
      <c r="Z269" s="244"/>
      <c r="AA269" s="244"/>
      <c r="AB269" s="244"/>
      <c r="AC269" s="244"/>
      <c r="AD269" s="244"/>
      <c r="AE269" s="244"/>
      <c r="AF269" s="244"/>
      <c r="AG269" s="244"/>
    </row>
    <row r="270" spans="1:33" ht="15.75" customHeight="1" x14ac:dyDescent="0.25">
      <c r="A270" s="244"/>
      <c r="B270" s="244"/>
      <c r="C270" s="244"/>
      <c r="D270" s="244"/>
      <c r="E270" s="244"/>
      <c r="F270" s="244"/>
      <c r="G270" s="244"/>
      <c r="H270" s="244"/>
      <c r="I270" s="244"/>
      <c r="J270" s="244"/>
      <c r="K270" s="244"/>
      <c r="L270" s="244"/>
      <c r="M270" s="244"/>
      <c r="N270" s="244"/>
      <c r="O270" s="244"/>
      <c r="P270" s="244"/>
      <c r="Q270" s="244"/>
      <c r="R270" s="244"/>
      <c r="S270" s="244"/>
      <c r="T270" s="244"/>
      <c r="U270" s="244"/>
      <c r="V270" s="244"/>
      <c r="W270" s="244"/>
      <c r="X270" s="244"/>
      <c r="Y270" s="244"/>
      <c r="Z270" s="244"/>
      <c r="AA270" s="244"/>
      <c r="AB270" s="244"/>
      <c r="AC270" s="244"/>
      <c r="AD270" s="244"/>
      <c r="AE270" s="244"/>
      <c r="AF270" s="244"/>
      <c r="AG270" s="244"/>
    </row>
    <row r="271" spans="1:33" ht="15.75" customHeight="1" x14ac:dyDescent="0.25">
      <c r="A271" s="244"/>
      <c r="B271" s="244"/>
      <c r="C271" s="244"/>
      <c r="D271" s="244"/>
      <c r="E271" s="244"/>
      <c r="F271" s="244"/>
      <c r="G271" s="244"/>
      <c r="H271" s="244"/>
      <c r="I271" s="244"/>
      <c r="J271" s="244"/>
      <c r="K271" s="244"/>
      <c r="L271" s="244"/>
      <c r="M271" s="244"/>
      <c r="N271" s="244"/>
      <c r="O271" s="244"/>
      <c r="P271" s="244"/>
      <c r="Q271" s="244"/>
      <c r="R271" s="244"/>
      <c r="S271" s="244"/>
      <c r="T271" s="244"/>
      <c r="U271" s="244"/>
      <c r="V271" s="244"/>
      <c r="W271" s="244"/>
      <c r="X271" s="244"/>
      <c r="Y271" s="244"/>
      <c r="Z271" s="244"/>
      <c r="AA271" s="244"/>
      <c r="AB271" s="244"/>
      <c r="AC271" s="244"/>
      <c r="AD271" s="244"/>
      <c r="AE271" s="244"/>
      <c r="AF271" s="244"/>
      <c r="AG271" s="244"/>
    </row>
    <row r="272" spans="1:33" ht="15.75" customHeight="1" x14ac:dyDescent="0.25">
      <c r="A272" s="244"/>
      <c r="B272" s="244"/>
      <c r="C272" s="244"/>
      <c r="D272" s="244"/>
      <c r="E272" s="244"/>
      <c r="F272" s="244"/>
      <c r="G272" s="244"/>
      <c r="H272" s="244"/>
      <c r="I272" s="244"/>
      <c r="J272" s="244"/>
      <c r="K272" s="244"/>
      <c r="L272" s="244"/>
      <c r="M272" s="244"/>
      <c r="N272" s="244"/>
      <c r="O272" s="244"/>
      <c r="P272" s="244"/>
      <c r="Q272" s="244"/>
      <c r="R272" s="244"/>
      <c r="S272" s="244"/>
      <c r="T272" s="244"/>
      <c r="U272" s="244"/>
      <c r="V272" s="244"/>
      <c r="W272" s="244"/>
      <c r="X272" s="244"/>
      <c r="Y272" s="244"/>
      <c r="Z272" s="244"/>
      <c r="AA272" s="244"/>
      <c r="AB272" s="244"/>
      <c r="AC272" s="244"/>
      <c r="AD272" s="244"/>
      <c r="AE272" s="244"/>
      <c r="AF272" s="244"/>
      <c r="AG272" s="244"/>
    </row>
    <row r="273" spans="1:33" ht="15.75" customHeight="1" x14ac:dyDescent="0.25">
      <c r="A273" s="244"/>
      <c r="B273" s="244"/>
      <c r="C273" s="244"/>
      <c r="D273" s="244"/>
      <c r="E273" s="244"/>
      <c r="F273" s="244"/>
      <c r="G273" s="244"/>
      <c r="H273" s="244"/>
      <c r="I273" s="244"/>
      <c r="J273" s="244"/>
      <c r="K273" s="244"/>
      <c r="L273" s="244"/>
      <c r="M273" s="244"/>
      <c r="N273" s="244"/>
      <c r="O273" s="244"/>
      <c r="P273" s="244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  <c r="AD273" s="244"/>
      <c r="AE273" s="244"/>
      <c r="AF273" s="244"/>
      <c r="AG273" s="244"/>
    </row>
    <row r="274" spans="1:33" ht="15.75" customHeight="1" x14ac:dyDescent="0.25">
      <c r="A274" s="244"/>
      <c r="B274" s="244"/>
      <c r="C274" s="244"/>
      <c r="D274" s="244"/>
      <c r="E274" s="244"/>
      <c r="F274" s="244"/>
      <c r="G274" s="244"/>
      <c r="H274" s="244"/>
      <c r="I274" s="244"/>
      <c r="J274" s="244"/>
      <c r="K274" s="244"/>
      <c r="L274" s="244"/>
      <c r="M274" s="244"/>
      <c r="N274" s="244"/>
      <c r="O274" s="244"/>
      <c r="P274" s="244"/>
      <c r="Q274" s="244"/>
      <c r="R274" s="244"/>
      <c r="S274" s="244"/>
      <c r="T274" s="244"/>
      <c r="U274" s="244"/>
      <c r="V274" s="244"/>
      <c r="W274" s="244"/>
      <c r="X274" s="244"/>
      <c r="Y274" s="244"/>
      <c r="Z274" s="244"/>
      <c r="AA274" s="244"/>
      <c r="AB274" s="244"/>
      <c r="AC274" s="244"/>
      <c r="AD274" s="244"/>
      <c r="AE274" s="244"/>
      <c r="AF274" s="244"/>
      <c r="AG274" s="244"/>
    </row>
    <row r="275" spans="1:33" ht="15.75" customHeight="1" x14ac:dyDescent="0.25">
      <c r="A275" s="244"/>
      <c r="B275" s="244"/>
      <c r="C275" s="244"/>
      <c r="D275" s="244"/>
      <c r="E275" s="244"/>
      <c r="F275" s="244"/>
      <c r="G275" s="244"/>
      <c r="H275" s="244"/>
      <c r="I275" s="244"/>
      <c r="J275" s="244"/>
      <c r="K275" s="244"/>
      <c r="L275" s="244"/>
      <c r="M275" s="244"/>
      <c r="N275" s="244"/>
      <c r="O275" s="244"/>
      <c r="P275" s="244"/>
      <c r="Q275" s="244"/>
      <c r="R275" s="244"/>
      <c r="S275" s="244"/>
      <c r="T275" s="244"/>
      <c r="U275" s="244"/>
      <c r="V275" s="244"/>
      <c r="W275" s="244"/>
      <c r="X275" s="244"/>
      <c r="Y275" s="244"/>
      <c r="Z275" s="244"/>
      <c r="AA275" s="244"/>
      <c r="AB275" s="244"/>
      <c r="AC275" s="244"/>
      <c r="AD275" s="244"/>
      <c r="AE275" s="244"/>
      <c r="AF275" s="244"/>
      <c r="AG275" s="244"/>
    </row>
    <row r="276" spans="1:33" ht="15.75" customHeight="1" x14ac:dyDescent="0.25">
      <c r="A276" s="244"/>
      <c r="B276" s="244"/>
      <c r="C276" s="244"/>
      <c r="D276" s="244"/>
      <c r="E276" s="244"/>
      <c r="F276" s="244"/>
      <c r="G276" s="244"/>
      <c r="H276" s="244"/>
      <c r="I276" s="244"/>
      <c r="J276" s="244"/>
      <c r="K276" s="244"/>
      <c r="L276" s="244"/>
      <c r="M276" s="244"/>
      <c r="N276" s="244"/>
      <c r="O276" s="244"/>
      <c r="P276" s="244"/>
      <c r="Q276" s="244"/>
      <c r="R276" s="244"/>
      <c r="S276" s="244"/>
      <c r="T276" s="244"/>
      <c r="U276" s="244"/>
      <c r="V276" s="244"/>
      <c r="W276" s="244"/>
      <c r="X276" s="244"/>
      <c r="Y276" s="244"/>
      <c r="Z276" s="244"/>
      <c r="AA276" s="244"/>
      <c r="AB276" s="244"/>
      <c r="AC276" s="244"/>
      <c r="AD276" s="244"/>
      <c r="AE276" s="244"/>
      <c r="AF276" s="244"/>
      <c r="AG276" s="244"/>
    </row>
    <row r="277" spans="1:33" ht="15.75" customHeight="1" x14ac:dyDescent="0.25">
      <c r="A277" s="244"/>
      <c r="B277" s="244"/>
      <c r="C277" s="244"/>
      <c r="D277" s="244"/>
      <c r="E277" s="244"/>
      <c r="F277" s="244"/>
      <c r="G277" s="244"/>
      <c r="H277" s="244"/>
      <c r="I277" s="244"/>
      <c r="J277" s="244"/>
      <c r="K277" s="244"/>
      <c r="L277" s="244"/>
      <c r="M277" s="244"/>
      <c r="N277" s="244"/>
      <c r="O277" s="244"/>
      <c r="P277" s="244"/>
      <c r="Q277" s="244"/>
      <c r="R277" s="244"/>
      <c r="S277" s="244"/>
      <c r="T277" s="244"/>
      <c r="U277" s="244"/>
      <c r="V277" s="244"/>
      <c r="W277" s="244"/>
      <c r="X277" s="244"/>
      <c r="Y277" s="244"/>
      <c r="Z277" s="244"/>
      <c r="AA277" s="244"/>
      <c r="AB277" s="244"/>
      <c r="AC277" s="244"/>
      <c r="AD277" s="244"/>
      <c r="AE277" s="244"/>
      <c r="AF277" s="244"/>
      <c r="AG277" s="244"/>
    </row>
    <row r="278" spans="1:33" ht="15.75" customHeight="1" x14ac:dyDescent="0.25">
      <c r="A278" s="244"/>
      <c r="B278" s="244"/>
      <c r="C278" s="244"/>
      <c r="D278" s="244"/>
      <c r="E278" s="244"/>
      <c r="F278" s="244"/>
      <c r="G278" s="244"/>
      <c r="H278" s="244"/>
      <c r="I278" s="244"/>
      <c r="J278" s="244"/>
      <c r="K278" s="244"/>
      <c r="L278" s="244"/>
      <c r="M278" s="244"/>
      <c r="N278" s="244"/>
      <c r="O278" s="244"/>
      <c r="P278" s="244"/>
      <c r="Q278" s="244"/>
      <c r="R278" s="244"/>
      <c r="S278" s="244"/>
      <c r="T278" s="244"/>
      <c r="U278" s="244"/>
      <c r="V278" s="244"/>
      <c r="W278" s="244"/>
      <c r="X278" s="244"/>
      <c r="Y278" s="244"/>
      <c r="Z278" s="244"/>
      <c r="AA278" s="244"/>
      <c r="AB278" s="244"/>
      <c r="AC278" s="244"/>
      <c r="AD278" s="244"/>
      <c r="AE278" s="244"/>
      <c r="AF278" s="244"/>
      <c r="AG278" s="244"/>
    </row>
    <row r="279" spans="1:33" ht="15.75" customHeight="1" x14ac:dyDescent="0.25">
      <c r="A279" s="244"/>
      <c r="B279" s="244"/>
      <c r="C279" s="244"/>
      <c r="D279" s="244"/>
      <c r="E279" s="244"/>
      <c r="F279" s="244"/>
      <c r="G279" s="244"/>
      <c r="H279" s="244"/>
      <c r="I279" s="244"/>
      <c r="J279" s="244"/>
      <c r="K279" s="244"/>
      <c r="L279" s="244"/>
      <c r="M279" s="244"/>
      <c r="N279" s="244"/>
      <c r="O279" s="244"/>
      <c r="P279" s="244"/>
      <c r="Q279" s="244"/>
      <c r="R279" s="244"/>
      <c r="S279" s="244"/>
      <c r="T279" s="244"/>
      <c r="U279" s="244"/>
      <c r="V279" s="244"/>
      <c r="W279" s="244"/>
      <c r="X279" s="244"/>
      <c r="Y279" s="244"/>
      <c r="Z279" s="244"/>
      <c r="AA279" s="244"/>
      <c r="AB279" s="244"/>
      <c r="AC279" s="244"/>
      <c r="AD279" s="244"/>
      <c r="AE279" s="244"/>
      <c r="AF279" s="244"/>
      <c r="AG279" s="244"/>
    </row>
    <row r="280" spans="1:33" ht="15.75" customHeight="1" x14ac:dyDescent="0.25">
      <c r="A280" s="244"/>
      <c r="B280" s="244"/>
      <c r="C280" s="244"/>
      <c r="D280" s="244"/>
      <c r="E280" s="244"/>
      <c r="F280" s="244"/>
      <c r="G280" s="244"/>
      <c r="H280" s="244"/>
      <c r="I280" s="244"/>
      <c r="J280" s="244"/>
      <c r="K280" s="244"/>
      <c r="L280" s="244"/>
      <c r="M280" s="244"/>
      <c r="N280" s="244"/>
      <c r="O280" s="244"/>
      <c r="P280" s="244"/>
      <c r="Q280" s="244"/>
      <c r="R280" s="244"/>
      <c r="S280" s="244"/>
      <c r="T280" s="244"/>
      <c r="U280" s="244"/>
      <c r="V280" s="244"/>
      <c r="W280" s="244"/>
      <c r="X280" s="244"/>
      <c r="Y280" s="244"/>
      <c r="Z280" s="244"/>
      <c r="AA280" s="244"/>
      <c r="AB280" s="244"/>
      <c r="AC280" s="244"/>
      <c r="AD280" s="244"/>
      <c r="AE280" s="244"/>
      <c r="AF280" s="244"/>
      <c r="AG280" s="244"/>
    </row>
    <row r="281" spans="1:33" ht="15.75" customHeight="1" x14ac:dyDescent="0.25">
      <c r="A281" s="244"/>
      <c r="B281" s="244"/>
      <c r="C281" s="244"/>
      <c r="D281" s="244"/>
      <c r="E281" s="244"/>
      <c r="F281" s="244"/>
      <c r="G281" s="244"/>
      <c r="H281" s="244"/>
      <c r="I281" s="244"/>
      <c r="J281" s="244"/>
      <c r="K281" s="244"/>
      <c r="L281" s="244"/>
      <c r="M281" s="244"/>
      <c r="N281" s="244"/>
      <c r="O281" s="244"/>
      <c r="P281" s="244"/>
      <c r="Q281" s="244"/>
      <c r="R281" s="244"/>
      <c r="S281" s="244"/>
      <c r="T281" s="244"/>
      <c r="U281" s="244"/>
      <c r="V281" s="244"/>
      <c r="W281" s="244"/>
      <c r="X281" s="244"/>
      <c r="Y281" s="244"/>
      <c r="Z281" s="244"/>
      <c r="AA281" s="244"/>
      <c r="AB281" s="244"/>
      <c r="AC281" s="244"/>
      <c r="AD281" s="244"/>
      <c r="AE281" s="244"/>
      <c r="AF281" s="244"/>
      <c r="AG281" s="244"/>
    </row>
    <row r="282" spans="1:33" ht="15.75" customHeight="1" x14ac:dyDescent="0.25">
      <c r="A282" s="244"/>
      <c r="B282" s="244"/>
      <c r="C282" s="244"/>
      <c r="D282" s="244"/>
      <c r="E282" s="244"/>
      <c r="F282" s="244"/>
      <c r="G282" s="244"/>
      <c r="H282" s="244"/>
      <c r="I282" s="244"/>
      <c r="J282" s="244"/>
      <c r="K282" s="244"/>
      <c r="L282" s="244"/>
      <c r="M282" s="244"/>
      <c r="N282" s="244"/>
      <c r="O282" s="244"/>
      <c r="P282" s="244"/>
      <c r="Q282" s="244"/>
      <c r="R282" s="244"/>
      <c r="S282" s="244"/>
      <c r="T282" s="244"/>
      <c r="U282" s="244"/>
      <c r="V282" s="244"/>
      <c r="W282" s="244"/>
      <c r="X282" s="244"/>
      <c r="Y282" s="244"/>
      <c r="Z282" s="244"/>
      <c r="AA282" s="244"/>
      <c r="AB282" s="244"/>
      <c r="AC282" s="244"/>
      <c r="AD282" s="244"/>
      <c r="AE282" s="244"/>
      <c r="AF282" s="244"/>
      <c r="AG282" s="244"/>
    </row>
    <row r="283" spans="1:33" ht="15.75" customHeight="1" x14ac:dyDescent="0.25">
      <c r="A283" s="244"/>
      <c r="B283" s="244"/>
      <c r="C283" s="244"/>
      <c r="D283" s="244"/>
      <c r="E283" s="244"/>
      <c r="F283" s="244"/>
      <c r="G283" s="244"/>
      <c r="H283" s="244"/>
      <c r="I283" s="244"/>
      <c r="J283" s="244"/>
      <c r="K283" s="244"/>
      <c r="L283" s="244"/>
      <c r="M283" s="244"/>
      <c r="N283" s="244"/>
      <c r="O283" s="244"/>
      <c r="P283" s="244"/>
      <c r="Q283" s="244"/>
      <c r="R283" s="244"/>
      <c r="S283" s="244"/>
      <c r="T283" s="244"/>
      <c r="U283" s="244"/>
      <c r="V283" s="244"/>
      <c r="W283" s="244"/>
      <c r="X283" s="244"/>
      <c r="Y283" s="244"/>
      <c r="Z283" s="244"/>
      <c r="AA283" s="244"/>
      <c r="AB283" s="244"/>
      <c r="AC283" s="244"/>
      <c r="AD283" s="244"/>
      <c r="AE283" s="244"/>
      <c r="AF283" s="244"/>
      <c r="AG283" s="244"/>
    </row>
    <row r="284" spans="1:33" ht="15.75" customHeight="1" x14ac:dyDescent="0.25">
      <c r="A284" s="244"/>
      <c r="B284" s="244"/>
      <c r="C284" s="244"/>
      <c r="D284" s="244"/>
      <c r="E284" s="244"/>
      <c r="F284" s="244"/>
      <c r="G284" s="244"/>
      <c r="H284" s="244"/>
      <c r="I284" s="244"/>
      <c r="J284" s="244"/>
      <c r="K284" s="244"/>
      <c r="L284" s="244"/>
      <c r="M284" s="244"/>
      <c r="N284" s="244"/>
      <c r="O284" s="244"/>
      <c r="P284" s="244"/>
      <c r="Q284" s="244"/>
      <c r="R284" s="244"/>
      <c r="S284" s="244"/>
      <c r="T284" s="244"/>
      <c r="U284" s="244"/>
      <c r="V284" s="244"/>
      <c r="W284" s="244"/>
      <c r="X284" s="244"/>
      <c r="Y284" s="244"/>
      <c r="Z284" s="244"/>
      <c r="AA284" s="244"/>
      <c r="AB284" s="244"/>
      <c r="AC284" s="244"/>
      <c r="AD284" s="244"/>
      <c r="AE284" s="244"/>
      <c r="AF284" s="244"/>
      <c r="AG284" s="244"/>
    </row>
    <row r="285" spans="1:33" ht="15.75" customHeight="1" x14ac:dyDescent="0.25">
      <c r="A285" s="244"/>
      <c r="B285" s="244"/>
      <c r="C285" s="244"/>
      <c r="D285" s="244"/>
      <c r="E285" s="244"/>
      <c r="F285" s="244"/>
      <c r="G285" s="244"/>
      <c r="H285" s="244"/>
      <c r="I285" s="244"/>
      <c r="J285" s="244"/>
      <c r="K285" s="244"/>
      <c r="L285" s="244"/>
      <c r="M285" s="244"/>
      <c r="N285" s="244"/>
      <c r="O285" s="244"/>
      <c r="P285" s="244"/>
      <c r="Q285" s="244"/>
      <c r="R285" s="244"/>
      <c r="S285" s="244"/>
      <c r="T285" s="244"/>
      <c r="U285" s="244"/>
      <c r="V285" s="244"/>
      <c r="W285" s="244"/>
      <c r="X285" s="244"/>
      <c r="Y285" s="244"/>
      <c r="Z285" s="244"/>
      <c r="AA285" s="244"/>
      <c r="AB285" s="244"/>
      <c r="AC285" s="244"/>
      <c r="AD285" s="244"/>
      <c r="AE285" s="244"/>
      <c r="AF285" s="244"/>
      <c r="AG285" s="244"/>
    </row>
    <row r="286" spans="1:33" ht="15.75" customHeight="1" x14ac:dyDescent="0.25">
      <c r="A286" s="244"/>
      <c r="B286" s="244"/>
      <c r="C286" s="244"/>
      <c r="D286" s="244"/>
      <c r="E286" s="244"/>
      <c r="F286" s="244"/>
      <c r="G286" s="244"/>
      <c r="H286" s="244"/>
      <c r="I286" s="244"/>
      <c r="J286" s="244"/>
      <c r="K286" s="244"/>
      <c r="L286" s="244"/>
      <c r="M286" s="244"/>
      <c r="N286" s="244"/>
      <c r="O286" s="244"/>
      <c r="P286" s="244"/>
      <c r="Q286" s="244"/>
      <c r="R286" s="244"/>
      <c r="S286" s="244"/>
      <c r="T286" s="244"/>
      <c r="U286" s="244"/>
      <c r="V286" s="244"/>
      <c r="W286" s="244"/>
      <c r="X286" s="244"/>
      <c r="Y286" s="244"/>
      <c r="Z286" s="244"/>
      <c r="AA286" s="244"/>
      <c r="AB286" s="244"/>
      <c r="AC286" s="244"/>
      <c r="AD286" s="244"/>
      <c r="AE286" s="244"/>
      <c r="AF286" s="244"/>
      <c r="AG286" s="244"/>
    </row>
    <row r="287" spans="1:33" ht="15.75" customHeight="1" x14ac:dyDescent="0.25">
      <c r="A287" s="244"/>
      <c r="B287" s="244"/>
      <c r="C287" s="244"/>
      <c r="D287" s="244"/>
      <c r="E287" s="244"/>
      <c r="F287" s="244"/>
      <c r="G287" s="244"/>
      <c r="H287" s="244"/>
      <c r="I287" s="244"/>
      <c r="J287" s="244"/>
      <c r="K287" s="244"/>
      <c r="L287" s="244"/>
      <c r="M287" s="244"/>
      <c r="N287" s="244"/>
      <c r="O287" s="244"/>
      <c r="P287" s="244"/>
      <c r="Q287" s="244"/>
      <c r="R287" s="244"/>
      <c r="S287" s="244"/>
      <c r="T287" s="244"/>
      <c r="U287" s="244"/>
      <c r="V287" s="244"/>
      <c r="W287" s="244"/>
      <c r="X287" s="244"/>
      <c r="Y287" s="244"/>
      <c r="Z287" s="244"/>
      <c r="AA287" s="244"/>
      <c r="AB287" s="244"/>
      <c r="AC287" s="244"/>
      <c r="AD287" s="244"/>
      <c r="AE287" s="244"/>
      <c r="AF287" s="244"/>
      <c r="AG287" s="244"/>
    </row>
    <row r="288" spans="1:33" ht="15.75" customHeight="1" x14ac:dyDescent="0.25">
      <c r="A288" s="244"/>
      <c r="B288" s="244"/>
      <c r="C288" s="244"/>
      <c r="D288" s="244"/>
      <c r="E288" s="244"/>
      <c r="F288" s="244"/>
      <c r="G288" s="244"/>
      <c r="H288" s="244"/>
      <c r="I288" s="244"/>
      <c r="J288" s="244"/>
      <c r="K288" s="244"/>
      <c r="L288" s="244"/>
      <c r="M288" s="244"/>
      <c r="N288" s="244"/>
      <c r="O288" s="244"/>
      <c r="P288" s="244"/>
      <c r="Q288" s="244"/>
      <c r="R288" s="244"/>
      <c r="S288" s="244"/>
      <c r="T288" s="244"/>
      <c r="U288" s="244"/>
      <c r="V288" s="244"/>
      <c r="W288" s="244"/>
      <c r="X288" s="244"/>
      <c r="Y288" s="244"/>
      <c r="Z288" s="244"/>
      <c r="AA288" s="244"/>
      <c r="AB288" s="244"/>
      <c r="AC288" s="244"/>
      <c r="AD288" s="244"/>
      <c r="AE288" s="244"/>
      <c r="AF288" s="244"/>
      <c r="AG288" s="244"/>
    </row>
    <row r="289" spans="1:33" ht="15.75" customHeight="1" x14ac:dyDescent="0.25">
      <c r="A289" s="244"/>
      <c r="B289" s="244"/>
      <c r="C289" s="244"/>
      <c r="D289" s="244"/>
      <c r="E289" s="244"/>
      <c r="F289" s="244"/>
      <c r="G289" s="244"/>
      <c r="H289" s="244"/>
      <c r="I289" s="244"/>
      <c r="J289" s="244"/>
      <c r="K289" s="244"/>
      <c r="L289" s="244"/>
      <c r="M289" s="244"/>
      <c r="N289" s="244"/>
      <c r="O289" s="244"/>
      <c r="P289" s="244"/>
      <c r="Q289" s="244"/>
      <c r="R289" s="244"/>
      <c r="S289" s="244"/>
      <c r="T289" s="244"/>
      <c r="U289" s="244"/>
      <c r="V289" s="244"/>
      <c r="W289" s="244"/>
      <c r="X289" s="244"/>
      <c r="Y289" s="244"/>
      <c r="Z289" s="244"/>
      <c r="AA289" s="244"/>
      <c r="AB289" s="244"/>
      <c r="AC289" s="244"/>
      <c r="AD289" s="244"/>
      <c r="AE289" s="244"/>
      <c r="AF289" s="244"/>
      <c r="AG289" s="244"/>
    </row>
    <row r="290" spans="1:33" ht="15.75" customHeight="1" x14ac:dyDescent="0.25">
      <c r="A290" s="244"/>
      <c r="B290" s="244"/>
      <c r="C290" s="244"/>
      <c r="D290" s="244"/>
      <c r="E290" s="244"/>
      <c r="F290" s="244"/>
      <c r="G290" s="244"/>
      <c r="H290" s="244"/>
      <c r="I290" s="244"/>
      <c r="J290" s="244"/>
      <c r="K290" s="244"/>
      <c r="L290" s="244"/>
      <c r="M290" s="244"/>
      <c r="N290" s="244"/>
      <c r="O290" s="244"/>
      <c r="P290" s="244"/>
      <c r="Q290" s="244"/>
      <c r="R290" s="244"/>
      <c r="S290" s="244"/>
      <c r="T290" s="244"/>
      <c r="U290" s="244"/>
      <c r="V290" s="244"/>
      <c r="W290" s="244"/>
      <c r="X290" s="244"/>
      <c r="Y290" s="244"/>
      <c r="Z290" s="244"/>
      <c r="AA290" s="244"/>
      <c r="AB290" s="244"/>
      <c r="AC290" s="244"/>
      <c r="AD290" s="244"/>
      <c r="AE290" s="244"/>
      <c r="AF290" s="244"/>
      <c r="AG290" s="244"/>
    </row>
    <row r="291" spans="1:33" ht="15.75" customHeight="1" x14ac:dyDescent="0.25">
      <c r="A291" s="244"/>
      <c r="B291" s="244"/>
      <c r="C291" s="244"/>
      <c r="D291" s="244"/>
      <c r="E291" s="244"/>
      <c r="F291" s="244"/>
      <c r="G291" s="244"/>
      <c r="H291" s="244"/>
      <c r="I291" s="244"/>
      <c r="J291" s="244"/>
      <c r="K291" s="244"/>
      <c r="L291" s="244"/>
      <c r="M291" s="244"/>
      <c r="N291" s="244"/>
      <c r="O291" s="244"/>
      <c r="P291" s="244"/>
      <c r="Q291" s="244"/>
      <c r="R291" s="244"/>
      <c r="S291" s="244"/>
      <c r="T291" s="244"/>
      <c r="U291" s="244"/>
      <c r="V291" s="244"/>
      <c r="W291" s="244"/>
      <c r="X291" s="244"/>
      <c r="Y291" s="244"/>
      <c r="Z291" s="244"/>
      <c r="AA291" s="244"/>
      <c r="AB291" s="244"/>
      <c r="AC291" s="244"/>
      <c r="AD291" s="244"/>
      <c r="AE291" s="244"/>
      <c r="AF291" s="244"/>
      <c r="AG291" s="244"/>
    </row>
    <row r="292" spans="1:33" ht="15.75" customHeight="1" x14ac:dyDescent="0.25">
      <c r="A292" s="244"/>
      <c r="B292" s="244"/>
      <c r="C292" s="244"/>
      <c r="D292" s="244"/>
      <c r="E292" s="244"/>
      <c r="F292" s="244"/>
      <c r="G292" s="244"/>
      <c r="H292" s="244"/>
      <c r="I292" s="244"/>
      <c r="J292" s="244"/>
      <c r="K292" s="244"/>
      <c r="L292" s="244"/>
      <c r="M292" s="244"/>
      <c r="N292" s="244"/>
      <c r="O292" s="244"/>
      <c r="P292" s="244"/>
      <c r="Q292" s="244"/>
      <c r="R292" s="244"/>
      <c r="S292" s="244"/>
      <c r="T292" s="244"/>
      <c r="U292" s="244"/>
      <c r="V292" s="244"/>
      <c r="W292" s="244"/>
      <c r="X292" s="244"/>
      <c r="Y292" s="244"/>
      <c r="Z292" s="244"/>
      <c r="AA292" s="244"/>
      <c r="AB292" s="244"/>
      <c r="AC292" s="244"/>
      <c r="AD292" s="244"/>
      <c r="AE292" s="244"/>
      <c r="AF292" s="244"/>
      <c r="AG292" s="244"/>
    </row>
    <row r="293" spans="1:33" ht="15.75" customHeight="1" x14ac:dyDescent="0.25">
      <c r="A293" s="244"/>
      <c r="B293" s="244"/>
      <c r="C293" s="244"/>
      <c r="D293" s="244"/>
      <c r="E293" s="244"/>
      <c r="F293" s="244"/>
      <c r="G293" s="244"/>
      <c r="H293" s="244"/>
      <c r="I293" s="244"/>
      <c r="J293" s="244"/>
      <c r="K293" s="244"/>
      <c r="L293" s="244"/>
      <c r="M293" s="244"/>
      <c r="N293" s="244"/>
      <c r="O293" s="244"/>
      <c r="P293" s="244"/>
      <c r="Q293" s="244"/>
      <c r="R293" s="244"/>
      <c r="S293" s="244"/>
      <c r="T293" s="244"/>
      <c r="U293" s="244"/>
      <c r="V293" s="244"/>
      <c r="W293" s="244"/>
      <c r="X293" s="244"/>
      <c r="Y293" s="244"/>
      <c r="Z293" s="244"/>
      <c r="AA293" s="244"/>
      <c r="AB293" s="244"/>
      <c r="AC293" s="244"/>
      <c r="AD293" s="244"/>
      <c r="AE293" s="244"/>
      <c r="AF293" s="244"/>
      <c r="AG293" s="244"/>
    </row>
    <row r="294" spans="1:33" ht="15.75" customHeight="1" x14ac:dyDescent="0.25">
      <c r="A294" s="244"/>
      <c r="B294" s="244"/>
      <c r="C294" s="244"/>
      <c r="D294" s="244"/>
      <c r="E294" s="244"/>
      <c r="F294" s="244"/>
      <c r="G294" s="244"/>
      <c r="H294" s="244"/>
      <c r="I294" s="244"/>
      <c r="J294" s="244"/>
      <c r="K294" s="244"/>
      <c r="L294" s="244"/>
      <c r="M294" s="244"/>
      <c r="N294" s="244"/>
      <c r="O294" s="244"/>
      <c r="P294" s="244"/>
      <c r="Q294" s="244"/>
      <c r="R294" s="244"/>
      <c r="S294" s="244"/>
      <c r="T294" s="244"/>
      <c r="U294" s="244"/>
      <c r="V294" s="244"/>
      <c r="W294" s="244"/>
      <c r="X294" s="244"/>
      <c r="Y294" s="244"/>
      <c r="Z294" s="244"/>
      <c r="AA294" s="244"/>
      <c r="AB294" s="244"/>
      <c r="AC294" s="244"/>
      <c r="AD294" s="244"/>
      <c r="AE294" s="244"/>
      <c r="AF294" s="244"/>
      <c r="AG294" s="244"/>
    </row>
    <row r="295" spans="1:33" ht="15.75" customHeight="1" x14ac:dyDescent="0.25">
      <c r="A295" s="244"/>
      <c r="B295" s="244"/>
      <c r="C295" s="244"/>
      <c r="D295" s="244"/>
      <c r="E295" s="244"/>
      <c r="F295" s="244"/>
      <c r="G295" s="244"/>
      <c r="H295" s="244"/>
      <c r="I295" s="244"/>
      <c r="J295" s="244"/>
      <c r="K295" s="244"/>
      <c r="L295" s="244"/>
      <c r="M295" s="244"/>
      <c r="N295" s="244"/>
      <c r="O295" s="244"/>
      <c r="P295" s="244"/>
      <c r="Q295" s="244"/>
      <c r="R295" s="244"/>
      <c r="S295" s="244"/>
      <c r="T295" s="244"/>
      <c r="U295" s="244"/>
      <c r="V295" s="244"/>
      <c r="W295" s="244"/>
      <c r="X295" s="244"/>
      <c r="Y295" s="244"/>
      <c r="Z295" s="244"/>
      <c r="AA295" s="244"/>
      <c r="AB295" s="244"/>
      <c r="AC295" s="244"/>
      <c r="AD295" s="244"/>
      <c r="AE295" s="244"/>
      <c r="AF295" s="244"/>
      <c r="AG295" s="244"/>
    </row>
    <row r="296" spans="1:33" ht="15.75" customHeight="1" x14ac:dyDescent="0.25">
      <c r="A296" s="244"/>
      <c r="B296" s="244"/>
      <c r="C296" s="244"/>
      <c r="D296" s="244"/>
      <c r="E296" s="244"/>
      <c r="F296" s="244"/>
      <c r="G296" s="244"/>
      <c r="H296" s="244"/>
      <c r="I296" s="244"/>
      <c r="J296" s="244"/>
      <c r="K296" s="244"/>
      <c r="L296" s="244"/>
      <c r="M296" s="244"/>
      <c r="N296" s="244"/>
      <c r="O296" s="244"/>
      <c r="P296" s="244"/>
      <c r="Q296" s="244"/>
      <c r="R296" s="244"/>
      <c r="S296" s="244"/>
      <c r="T296" s="244"/>
      <c r="U296" s="244"/>
      <c r="V296" s="244"/>
      <c r="W296" s="244"/>
      <c r="X296" s="244"/>
      <c r="Y296" s="244"/>
      <c r="Z296" s="244"/>
      <c r="AA296" s="244"/>
      <c r="AB296" s="244"/>
      <c r="AC296" s="244"/>
      <c r="AD296" s="244"/>
      <c r="AE296" s="244"/>
      <c r="AF296" s="244"/>
      <c r="AG296" s="244"/>
    </row>
    <row r="297" spans="1:33" ht="15.75" customHeight="1" x14ac:dyDescent="0.25">
      <c r="A297" s="244"/>
      <c r="B297" s="244"/>
      <c r="C297" s="244"/>
      <c r="D297" s="244"/>
      <c r="E297" s="244"/>
      <c r="F297" s="244"/>
      <c r="G297" s="244"/>
      <c r="H297" s="244"/>
      <c r="I297" s="244"/>
      <c r="J297" s="244"/>
      <c r="K297" s="244"/>
      <c r="L297" s="244"/>
      <c r="M297" s="244"/>
      <c r="N297" s="244"/>
      <c r="O297" s="244"/>
      <c r="P297" s="244"/>
      <c r="Q297" s="244"/>
      <c r="R297" s="244"/>
      <c r="S297" s="244"/>
      <c r="T297" s="244"/>
      <c r="U297" s="244"/>
      <c r="V297" s="244"/>
      <c r="W297" s="244"/>
      <c r="X297" s="244"/>
      <c r="Y297" s="244"/>
      <c r="Z297" s="244"/>
      <c r="AA297" s="244"/>
      <c r="AB297" s="244"/>
      <c r="AC297" s="244"/>
      <c r="AD297" s="244"/>
      <c r="AE297" s="244"/>
      <c r="AF297" s="244"/>
      <c r="AG297" s="244"/>
    </row>
    <row r="298" spans="1:33" ht="15.75" customHeight="1" x14ac:dyDescent="0.25">
      <c r="A298" s="244"/>
      <c r="B298" s="244"/>
      <c r="C298" s="244"/>
      <c r="D298" s="244"/>
      <c r="E298" s="244"/>
      <c r="F298" s="244"/>
      <c r="G298" s="244"/>
      <c r="H298" s="244"/>
      <c r="I298" s="244"/>
      <c r="J298" s="244"/>
      <c r="K298" s="244"/>
      <c r="L298" s="244"/>
      <c r="M298" s="244"/>
      <c r="N298" s="244"/>
      <c r="O298" s="244"/>
      <c r="P298" s="244"/>
      <c r="Q298" s="244"/>
      <c r="R298" s="244"/>
      <c r="S298" s="244"/>
      <c r="T298" s="244"/>
      <c r="U298" s="244"/>
      <c r="V298" s="244"/>
      <c r="W298" s="244"/>
      <c r="X298" s="244"/>
      <c r="Y298" s="244"/>
      <c r="Z298" s="244"/>
      <c r="AA298" s="244"/>
      <c r="AB298" s="244"/>
      <c r="AC298" s="244"/>
      <c r="AD298" s="244"/>
      <c r="AE298" s="244"/>
      <c r="AF298" s="244"/>
      <c r="AG298" s="244"/>
    </row>
    <row r="299" spans="1:33" ht="15.75" customHeight="1" x14ac:dyDescent="0.25">
      <c r="A299" s="244"/>
      <c r="B299" s="244"/>
      <c r="C299" s="244"/>
      <c r="D299" s="244"/>
      <c r="E299" s="244"/>
      <c r="F299" s="244"/>
      <c r="G299" s="244"/>
      <c r="H299" s="244"/>
      <c r="I299" s="244"/>
      <c r="J299" s="244"/>
      <c r="K299" s="244"/>
      <c r="L299" s="244"/>
      <c r="M299" s="244"/>
      <c r="N299" s="244"/>
      <c r="O299" s="244"/>
      <c r="P299" s="244"/>
      <c r="Q299" s="244"/>
      <c r="R299" s="244"/>
      <c r="S299" s="244"/>
      <c r="T299" s="244"/>
      <c r="U299" s="244"/>
      <c r="V299" s="244"/>
      <c r="W299" s="244"/>
      <c r="X299" s="244"/>
      <c r="Y299" s="244"/>
      <c r="Z299" s="244"/>
      <c r="AA299" s="244"/>
      <c r="AB299" s="244"/>
      <c r="AC299" s="244"/>
      <c r="AD299" s="244"/>
      <c r="AE299" s="244"/>
      <c r="AF299" s="244"/>
      <c r="AG299" s="244"/>
    </row>
    <row r="300" spans="1:33" ht="15.75" customHeight="1" x14ac:dyDescent="0.25">
      <c r="A300" s="244"/>
      <c r="B300" s="244"/>
      <c r="C300" s="244"/>
      <c r="D300" s="244"/>
      <c r="E300" s="244"/>
      <c r="F300" s="244"/>
      <c r="G300" s="244"/>
      <c r="H300" s="244"/>
      <c r="I300" s="244"/>
      <c r="J300" s="244"/>
      <c r="K300" s="244"/>
      <c r="L300" s="244"/>
      <c r="M300" s="244"/>
      <c r="N300" s="244"/>
      <c r="O300" s="244"/>
      <c r="P300" s="244"/>
      <c r="Q300" s="244"/>
      <c r="R300" s="244"/>
      <c r="S300" s="244"/>
      <c r="T300" s="244"/>
      <c r="U300" s="244"/>
      <c r="V300" s="244"/>
      <c r="W300" s="244"/>
      <c r="X300" s="244"/>
      <c r="Y300" s="244"/>
      <c r="Z300" s="244"/>
      <c r="AA300" s="244"/>
      <c r="AB300" s="244"/>
      <c r="AC300" s="244"/>
      <c r="AD300" s="244"/>
      <c r="AE300" s="244"/>
      <c r="AF300" s="244"/>
      <c r="AG300" s="244"/>
    </row>
    <row r="301" spans="1:33" ht="15.75" customHeight="1" x14ac:dyDescent="0.25">
      <c r="A301" s="244"/>
      <c r="B301" s="244"/>
      <c r="C301" s="244"/>
      <c r="D301" s="244"/>
      <c r="E301" s="244"/>
      <c r="F301" s="244"/>
      <c r="G301" s="244"/>
      <c r="H301" s="244"/>
      <c r="I301" s="244"/>
      <c r="J301" s="244"/>
      <c r="K301" s="244"/>
      <c r="L301" s="244"/>
      <c r="M301" s="244"/>
      <c r="N301" s="244"/>
      <c r="O301" s="244"/>
      <c r="P301" s="244"/>
      <c r="Q301" s="244"/>
      <c r="R301" s="244"/>
      <c r="S301" s="244"/>
      <c r="T301" s="244"/>
      <c r="U301" s="244"/>
      <c r="V301" s="244"/>
      <c r="W301" s="244"/>
      <c r="X301" s="244"/>
      <c r="Y301" s="244"/>
      <c r="Z301" s="244"/>
      <c r="AA301" s="244"/>
      <c r="AB301" s="244"/>
      <c r="AC301" s="244"/>
      <c r="AD301" s="244"/>
      <c r="AE301" s="244"/>
      <c r="AF301" s="244"/>
      <c r="AG301" s="244"/>
    </row>
    <row r="302" spans="1:33" ht="15.75" customHeight="1" x14ac:dyDescent="0.25">
      <c r="A302" s="244"/>
      <c r="B302" s="244"/>
      <c r="C302" s="244"/>
      <c r="D302" s="244"/>
      <c r="E302" s="244"/>
      <c r="F302" s="244"/>
      <c r="G302" s="244"/>
      <c r="H302" s="244"/>
      <c r="I302" s="244"/>
      <c r="J302" s="244"/>
      <c r="K302" s="244"/>
      <c r="L302" s="244"/>
      <c r="M302" s="244"/>
      <c r="N302" s="244"/>
      <c r="O302" s="244"/>
      <c r="P302" s="244"/>
      <c r="Q302" s="244"/>
      <c r="R302" s="244"/>
      <c r="S302" s="244"/>
      <c r="T302" s="244"/>
      <c r="U302" s="244"/>
      <c r="V302" s="244"/>
      <c r="W302" s="244"/>
      <c r="X302" s="244"/>
      <c r="Y302" s="244"/>
      <c r="Z302" s="244"/>
      <c r="AA302" s="244"/>
      <c r="AB302" s="244"/>
      <c r="AC302" s="244"/>
      <c r="AD302" s="244"/>
      <c r="AE302" s="244"/>
      <c r="AF302" s="244"/>
      <c r="AG302" s="244"/>
    </row>
    <row r="303" spans="1:33" ht="15.75" customHeight="1" x14ac:dyDescent="0.25">
      <c r="A303" s="244"/>
      <c r="B303" s="244"/>
      <c r="C303" s="244"/>
      <c r="D303" s="244"/>
      <c r="E303" s="244"/>
      <c r="F303" s="244"/>
      <c r="G303" s="244"/>
      <c r="H303" s="244"/>
      <c r="I303" s="244"/>
      <c r="J303" s="244"/>
      <c r="K303" s="244"/>
      <c r="L303" s="244"/>
      <c r="M303" s="244"/>
      <c r="N303" s="244"/>
      <c r="O303" s="244"/>
      <c r="P303" s="244"/>
      <c r="Q303" s="244"/>
      <c r="R303" s="244"/>
      <c r="S303" s="244"/>
      <c r="T303" s="244"/>
      <c r="U303" s="244"/>
      <c r="V303" s="244"/>
      <c r="W303" s="244"/>
      <c r="X303" s="244"/>
      <c r="Y303" s="244"/>
      <c r="Z303" s="244"/>
      <c r="AA303" s="244"/>
      <c r="AB303" s="244"/>
      <c r="AC303" s="244"/>
      <c r="AD303" s="244"/>
      <c r="AE303" s="244"/>
      <c r="AF303" s="244"/>
      <c r="AG303" s="244"/>
    </row>
    <row r="304" spans="1:33" ht="15.75" customHeight="1" x14ac:dyDescent="0.25">
      <c r="A304" s="244"/>
      <c r="B304" s="244"/>
      <c r="C304" s="244"/>
      <c r="D304" s="244"/>
      <c r="E304" s="244"/>
      <c r="F304" s="244"/>
      <c r="G304" s="244"/>
      <c r="H304" s="244"/>
      <c r="I304" s="244"/>
      <c r="J304" s="244"/>
      <c r="K304" s="244"/>
      <c r="L304" s="244"/>
      <c r="M304" s="244"/>
      <c r="N304" s="244"/>
      <c r="O304" s="244"/>
      <c r="P304" s="244"/>
      <c r="Q304" s="244"/>
      <c r="R304" s="244"/>
      <c r="S304" s="244"/>
      <c r="T304" s="244"/>
      <c r="U304" s="244"/>
      <c r="V304" s="244"/>
      <c r="W304" s="244"/>
      <c r="X304" s="244"/>
      <c r="Y304" s="244"/>
      <c r="Z304" s="244"/>
      <c r="AA304" s="244"/>
      <c r="AB304" s="244"/>
      <c r="AC304" s="244"/>
      <c r="AD304" s="244"/>
      <c r="AE304" s="244"/>
      <c r="AF304" s="244"/>
      <c r="AG304" s="244"/>
    </row>
    <row r="305" spans="1:33" ht="15.75" customHeight="1" x14ac:dyDescent="0.25">
      <c r="A305" s="244"/>
      <c r="B305" s="244"/>
      <c r="C305" s="244"/>
      <c r="D305" s="244"/>
      <c r="E305" s="244"/>
      <c r="F305" s="244"/>
      <c r="G305" s="244"/>
      <c r="H305" s="244"/>
      <c r="I305" s="244"/>
      <c r="J305" s="244"/>
      <c r="K305" s="244"/>
      <c r="L305" s="244"/>
      <c r="M305" s="244"/>
      <c r="N305" s="244"/>
      <c r="O305" s="244"/>
      <c r="P305" s="244"/>
      <c r="Q305" s="244"/>
      <c r="R305" s="244"/>
      <c r="S305" s="244"/>
      <c r="T305" s="244"/>
      <c r="U305" s="244"/>
      <c r="V305" s="244"/>
      <c r="W305" s="244"/>
      <c r="X305" s="244"/>
      <c r="Y305" s="244"/>
      <c r="Z305" s="244"/>
      <c r="AA305" s="244"/>
      <c r="AB305" s="244"/>
      <c r="AC305" s="244"/>
      <c r="AD305" s="244"/>
      <c r="AE305" s="244"/>
      <c r="AF305" s="244"/>
      <c r="AG305" s="244"/>
    </row>
    <row r="306" spans="1:33" ht="15.75" customHeight="1" x14ac:dyDescent="0.25">
      <c r="A306" s="244"/>
      <c r="B306" s="244"/>
      <c r="C306" s="244"/>
      <c r="D306" s="244"/>
      <c r="E306" s="244"/>
      <c r="F306" s="244"/>
      <c r="G306" s="244"/>
      <c r="H306" s="244"/>
      <c r="I306" s="244"/>
      <c r="J306" s="244"/>
      <c r="K306" s="244"/>
      <c r="L306" s="244"/>
      <c r="M306" s="244"/>
      <c r="N306" s="244"/>
      <c r="O306" s="244"/>
      <c r="P306" s="244"/>
      <c r="Q306" s="244"/>
      <c r="R306" s="244"/>
      <c r="S306" s="244"/>
      <c r="T306" s="244"/>
      <c r="U306" s="244"/>
      <c r="V306" s="244"/>
      <c r="W306" s="244"/>
      <c r="X306" s="244"/>
      <c r="Y306" s="244"/>
      <c r="Z306" s="244"/>
      <c r="AA306" s="244"/>
      <c r="AB306" s="244"/>
      <c r="AC306" s="244"/>
      <c r="AD306" s="244"/>
      <c r="AE306" s="244"/>
      <c r="AF306" s="244"/>
      <c r="AG306" s="244"/>
    </row>
    <row r="307" spans="1:33" ht="15.75" customHeight="1" x14ac:dyDescent="0.25">
      <c r="A307" s="244"/>
      <c r="B307" s="244"/>
      <c r="C307" s="244"/>
      <c r="D307" s="244"/>
      <c r="E307" s="244"/>
      <c r="F307" s="244"/>
      <c r="G307" s="244"/>
      <c r="H307" s="244"/>
      <c r="I307" s="244"/>
      <c r="J307" s="244"/>
      <c r="K307" s="244"/>
      <c r="L307" s="244"/>
      <c r="M307" s="244"/>
      <c r="N307" s="244"/>
      <c r="O307" s="244"/>
      <c r="P307" s="244"/>
      <c r="Q307" s="244"/>
      <c r="R307" s="244"/>
      <c r="S307" s="244"/>
      <c r="T307" s="244"/>
      <c r="U307" s="244"/>
      <c r="V307" s="244"/>
      <c r="W307" s="244"/>
      <c r="X307" s="244"/>
      <c r="Y307" s="244"/>
      <c r="Z307" s="244"/>
      <c r="AA307" s="244"/>
      <c r="AB307" s="244"/>
      <c r="AC307" s="244"/>
      <c r="AD307" s="244"/>
      <c r="AE307" s="244"/>
      <c r="AF307" s="244"/>
      <c r="AG307" s="244"/>
    </row>
    <row r="308" spans="1:33" ht="15.75" customHeight="1" x14ac:dyDescent="0.25">
      <c r="A308" s="244"/>
      <c r="B308" s="244"/>
      <c r="C308" s="244"/>
      <c r="D308" s="244"/>
      <c r="E308" s="244"/>
      <c r="F308" s="244"/>
      <c r="G308" s="244"/>
      <c r="H308" s="244"/>
      <c r="I308" s="244"/>
      <c r="J308" s="244"/>
      <c r="K308" s="244"/>
      <c r="L308" s="244"/>
      <c r="M308" s="244"/>
      <c r="N308" s="244"/>
      <c r="O308" s="244"/>
      <c r="P308" s="244"/>
      <c r="Q308" s="244"/>
      <c r="R308" s="244"/>
      <c r="S308" s="244"/>
      <c r="T308" s="244"/>
      <c r="U308" s="244"/>
      <c r="V308" s="244"/>
      <c r="W308" s="244"/>
      <c r="X308" s="244"/>
      <c r="Y308" s="244"/>
      <c r="Z308" s="244"/>
      <c r="AA308" s="244"/>
      <c r="AB308" s="244"/>
      <c r="AC308" s="244"/>
      <c r="AD308" s="244"/>
      <c r="AE308" s="244"/>
      <c r="AF308" s="244"/>
      <c r="AG308" s="244"/>
    </row>
    <row r="309" spans="1:33" ht="15.75" customHeight="1" x14ac:dyDescent="0.25">
      <c r="A309" s="244"/>
      <c r="B309" s="244"/>
      <c r="C309" s="244"/>
      <c r="D309" s="244"/>
      <c r="E309" s="244"/>
      <c r="F309" s="244"/>
      <c r="G309" s="244"/>
      <c r="H309" s="244"/>
      <c r="I309" s="244"/>
      <c r="J309" s="244"/>
      <c r="K309" s="244"/>
      <c r="L309" s="244"/>
      <c r="M309" s="244"/>
      <c r="N309" s="244"/>
      <c r="O309" s="244"/>
      <c r="P309" s="244"/>
      <c r="Q309" s="244"/>
      <c r="R309" s="244"/>
      <c r="S309" s="244"/>
      <c r="T309" s="244"/>
      <c r="U309" s="244"/>
      <c r="V309" s="244"/>
      <c r="W309" s="244"/>
      <c r="X309" s="244"/>
      <c r="Y309" s="244"/>
      <c r="Z309" s="244"/>
      <c r="AA309" s="244"/>
      <c r="AB309" s="244"/>
      <c r="AC309" s="244"/>
      <c r="AD309" s="244"/>
      <c r="AE309" s="244"/>
      <c r="AF309" s="244"/>
      <c r="AG309" s="244"/>
    </row>
    <row r="310" spans="1:33" ht="15.75" customHeight="1" x14ac:dyDescent="0.25">
      <c r="A310" s="244"/>
      <c r="B310" s="244"/>
      <c r="C310" s="244"/>
      <c r="D310" s="244"/>
      <c r="E310" s="244"/>
      <c r="F310" s="244"/>
      <c r="G310" s="244"/>
      <c r="H310" s="244"/>
      <c r="I310" s="244"/>
      <c r="J310" s="244"/>
      <c r="K310" s="244"/>
      <c r="L310" s="244"/>
      <c r="M310" s="244"/>
      <c r="N310" s="244"/>
      <c r="O310" s="244"/>
      <c r="P310" s="244"/>
      <c r="Q310" s="244"/>
      <c r="R310" s="244"/>
      <c r="S310" s="244"/>
      <c r="T310" s="244"/>
      <c r="U310" s="244"/>
      <c r="V310" s="244"/>
      <c r="W310" s="244"/>
      <c r="X310" s="244"/>
      <c r="Y310" s="244"/>
      <c r="Z310" s="244"/>
      <c r="AA310" s="244"/>
      <c r="AB310" s="244"/>
      <c r="AC310" s="244"/>
      <c r="AD310" s="244"/>
      <c r="AE310" s="244"/>
      <c r="AF310" s="244"/>
      <c r="AG310" s="244"/>
    </row>
    <row r="311" spans="1:33" ht="15.75" customHeight="1" x14ac:dyDescent="0.25">
      <c r="A311" s="244"/>
      <c r="B311" s="244"/>
      <c r="C311" s="244"/>
      <c r="D311" s="244"/>
      <c r="E311" s="244"/>
      <c r="F311" s="244"/>
      <c r="G311" s="244"/>
      <c r="H311" s="244"/>
      <c r="I311" s="244"/>
      <c r="J311" s="244"/>
      <c r="K311" s="244"/>
      <c r="L311" s="244"/>
      <c r="M311" s="244"/>
      <c r="N311" s="244"/>
      <c r="O311" s="244"/>
      <c r="P311" s="244"/>
      <c r="Q311" s="244"/>
      <c r="R311" s="244"/>
      <c r="S311" s="244"/>
      <c r="T311" s="244"/>
      <c r="U311" s="244"/>
      <c r="V311" s="244"/>
      <c r="W311" s="244"/>
      <c r="X311" s="244"/>
      <c r="Y311" s="244"/>
      <c r="Z311" s="244"/>
      <c r="AA311" s="244"/>
      <c r="AB311" s="244"/>
      <c r="AC311" s="244"/>
      <c r="AD311" s="244"/>
      <c r="AE311" s="244"/>
      <c r="AF311" s="244"/>
      <c r="AG311" s="244"/>
    </row>
    <row r="312" spans="1:33" ht="15.75" customHeight="1" x14ac:dyDescent="0.25">
      <c r="A312" s="244"/>
      <c r="B312" s="244"/>
      <c r="C312" s="244"/>
      <c r="D312" s="244"/>
      <c r="E312" s="244"/>
      <c r="F312" s="244"/>
      <c r="G312" s="244"/>
      <c r="H312" s="244"/>
      <c r="I312" s="244"/>
      <c r="J312" s="244"/>
      <c r="K312" s="244"/>
      <c r="L312" s="244"/>
      <c r="M312" s="244"/>
      <c r="N312" s="244"/>
      <c r="O312" s="244"/>
      <c r="P312" s="244"/>
      <c r="Q312" s="244"/>
      <c r="R312" s="244"/>
      <c r="S312" s="244"/>
      <c r="T312" s="244"/>
      <c r="U312" s="244"/>
      <c r="V312" s="244"/>
      <c r="W312" s="244"/>
      <c r="X312" s="244"/>
      <c r="Y312" s="244"/>
      <c r="Z312" s="244"/>
      <c r="AA312" s="244"/>
      <c r="AB312" s="244"/>
      <c r="AC312" s="244"/>
      <c r="AD312" s="244"/>
      <c r="AE312" s="244"/>
      <c r="AF312" s="244"/>
      <c r="AG312" s="244"/>
    </row>
    <row r="313" spans="1:33" ht="15.75" customHeight="1" x14ac:dyDescent="0.25">
      <c r="A313" s="244"/>
      <c r="B313" s="244"/>
      <c r="C313" s="244"/>
      <c r="D313" s="244"/>
      <c r="E313" s="244"/>
      <c r="F313" s="244"/>
      <c r="G313" s="244"/>
      <c r="H313" s="244"/>
      <c r="I313" s="244"/>
      <c r="J313" s="244"/>
      <c r="K313" s="244"/>
      <c r="L313" s="244"/>
      <c r="M313" s="244"/>
      <c r="N313" s="244"/>
      <c r="O313" s="244"/>
      <c r="P313" s="244"/>
      <c r="Q313" s="244"/>
      <c r="R313" s="244"/>
      <c r="S313" s="244"/>
      <c r="T313" s="244"/>
      <c r="U313" s="244"/>
      <c r="V313" s="244"/>
      <c r="W313" s="244"/>
      <c r="X313" s="244"/>
      <c r="Y313" s="244"/>
      <c r="Z313" s="244"/>
      <c r="AA313" s="244"/>
      <c r="AB313" s="244"/>
      <c r="AC313" s="244"/>
      <c r="AD313" s="244"/>
      <c r="AE313" s="244"/>
      <c r="AF313" s="244"/>
      <c r="AG313" s="244"/>
    </row>
    <row r="314" spans="1:33" ht="15.75" customHeight="1" x14ac:dyDescent="0.25">
      <c r="A314" s="244"/>
      <c r="B314" s="244"/>
      <c r="C314" s="244"/>
      <c r="D314" s="244"/>
      <c r="E314" s="244"/>
      <c r="F314" s="244"/>
      <c r="G314" s="244"/>
      <c r="H314" s="244"/>
      <c r="I314" s="244"/>
      <c r="J314" s="244"/>
      <c r="K314" s="244"/>
      <c r="L314" s="244"/>
      <c r="M314" s="244"/>
      <c r="N314" s="244"/>
      <c r="O314" s="244"/>
      <c r="P314" s="244"/>
      <c r="Q314" s="244"/>
      <c r="R314" s="244"/>
      <c r="S314" s="244"/>
      <c r="T314" s="244"/>
      <c r="U314" s="244"/>
      <c r="V314" s="244"/>
      <c r="W314" s="244"/>
      <c r="X314" s="244"/>
      <c r="Y314" s="244"/>
      <c r="Z314" s="244"/>
      <c r="AA314" s="244"/>
      <c r="AB314" s="244"/>
      <c r="AC314" s="244"/>
      <c r="AD314" s="244"/>
      <c r="AE314" s="244"/>
      <c r="AF314" s="244"/>
      <c r="AG314" s="244"/>
    </row>
    <row r="315" spans="1:33" ht="15.75" customHeight="1" x14ac:dyDescent="0.25">
      <c r="A315" s="244"/>
      <c r="B315" s="244"/>
      <c r="C315" s="244"/>
      <c r="D315" s="244"/>
      <c r="E315" s="244"/>
      <c r="F315" s="244"/>
      <c r="G315" s="244"/>
      <c r="H315" s="244"/>
      <c r="I315" s="244"/>
      <c r="J315" s="244"/>
      <c r="K315" s="244"/>
      <c r="L315" s="244"/>
      <c r="M315" s="244"/>
      <c r="N315" s="244"/>
      <c r="O315" s="244"/>
      <c r="P315" s="244"/>
      <c r="Q315" s="244"/>
      <c r="R315" s="244"/>
      <c r="S315" s="244"/>
      <c r="T315" s="244"/>
      <c r="U315" s="244"/>
      <c r="V315" s="244"/>
      <c r="W315" s="244"/>
      <c r="X315" s="244"/>
      <c r="Y315" s="244"/>
      <c r="Z315" s="244"/>
      <c r="AA315" s="244"/>
      <c r="AB315" s="244"/>
      <c r="AC315" s="244"/>
      <c r="AD315" s="244"/>
      <c r="AE315" s="244"/>
      <c r="AF315" s="244"/>
      <c r="AG315" s="244"/>
    </row>
    <row r="316" spans="1:33" ht="15.75" customHeight="1" x14ac:dyDescent="0.25">
      <c r="A316" s="244"/>
      <c r="B316" s="244"/>
      <c r="C316" s="244"/>
      <c r="D316" s="244"/>
      <c r="E316" s="244"/>
      <c r="F316" s="244"/>
      <c r="G316" s="244"/>
      <c r="H316" s="244"/>
      <c r="I316" s="244"/>
      <c r="J316" s="244"/>
      <c r="K316" s="244"/>
      <c r="L316" s="244"/>
      <c r="M316" s="244"/>
      <c r="N316" s="244"/>
      <c r="O316" s="244"/>
      <c r="P316" s="244"/>
      <c r="Q316" s="244"/>
      <c r="R316" s="244"/>
      <c r="S316" s="244"/>
      <c r="T316" s="244"/>
      <c r="U316" s="244"/>
      <c r="V316" s="244"/>
      <c r="W316" s="244"/>
      <c r="X316" s="244"/>
      <c r="Y316" s="244"/>
      <c r="Z316" s="244"/>
      <c r="AA316" s="244"/>
      <c r="AB316" s="244"/>
      <c r="AC316" s="244"/>
      <c r="AD316" s="244"/>
      <c r="AE316" s="244"/>
      <c r="AF316" s="244"/>
      <c r="AG316" s="244"/>
    </row>
    <row r="317" spans="1:33" ht="15.75" customHeight="1" x14ac:dyDescent="0.25">
      <c r="A317" s="244"/>
      <c r="B317" s="244"/>
      <c r="C317" s="244"/>
      <c r="D317" s="244"/>
      <c r="E317" s="244"/>
      <c r="F317" s="244"/>
      <c r="G317" s="244"/>
      <c r="H317" s="244"/>
      <c r="I317" s="244"/>
      <c r="J317" s="244"/>
      <c r="K317" s="244"/>
      <c r="L317" s="244"/>
      <c r="M317" s="244"/>
      <c r="N317" s="244"/>
      <c r="O317" s="244"/>
      <c r="P317" s="244"/>
      <c r="Q317" s="244"/>
      <c r="R317" s="244"/>
      <c r="S317" s="244"/>
      <c r="T317" s="244"/>
      <c r="U317" s="244"/>
      <c r="V317" s="244"/>
      <c r="W317" s="244"/>
      <c r="X317" s="244"/>
      <c r="Y317" s="244"/>
      <c r="Z317" s="244"/>
      <c r="AA317" s="244"/>
      <c r="AB317" s="244"/>
      <c r="AC317" s="244"/>
      <c r="AD317" s="244"/>
      <c r="AE317" s="244"/>
      <c r="AF317" s="244"/>
      <c r="AG317" s="244"/>
    </row>
    <row r="318" spans="1:33" ht="15.75" customHeight="1" x14ac:dyDescent="0.25">
      <c r="A318" s="244"/>
      <c r="B318" s="244"/>
      <c r="C318" s="244"/>
      <c r="D318" s="244"/>
      <c r="E318" s="244"/>
      <c r="F318" s="244"/>
      <c r="G318" s="244"/>
      <c r="H318" s="244"/>
      <c r="I318" s="244"/>
      <c r="J318" s="244"/>
      <c r="K318" s="244"/>
      <c r="L318" s="244"/>
      <c r="M318" s="244"/>
      <c r="N318" s="244"/>
      <c r="O318" s="244"/>
      <c r="P318" s="244"/>
      <c r="Q318" s="244"/>
      <c r="R318" s="244"/>
      <c r="S318" s="244"/>
      <c r="T318" s="244"/>
      <c r="U318" s="244"/>
      <c r="V318" s="244"/>
      <c r="W318" s="244"/>
      <c r="X318" s="244"/>
      <c r="Y318" s="244"/>
      <c r="Z318" s="244"/>
      <c r="AA318" s="244"/>
      <c r="AB318" s="244"/>
      <c r="AC318" s="244"/>
      <c r="AD318" s="244"/>
      <c r="AE318" s="244"/>
      <c r="AF318" s="244"/>
      <c r="AG318" s="244"/>
    </row>
    <row r="319" spans="1:33" ht="15.75" customHeight="1" x14ac:dyDescent="0.25">
      <c r="A319" s="244"/>
      <c r="B319" s="244"/>
      <c r="C319" s="244"/>
      <c r="D319" s="244"/>
      <c r="E319" s="244"/>
      <c r="F319" s="244"/>
      <c r="G319" s="244"/>
      <c r="H319" s="244"/>
      <c r="I319" s="244"/>
      <c r="J319" s="244"/>
      <c r="K319" s="244"/>
      <c r="L319" s="244"/>
      <c r="M319" s="244"/>
      <c r="N319" s="244"/>
      <c r="O319" s="244"/>
      <c r="P319" s="244"/>
      <c r="Q319" s="244"/>
      <c r="R319" s="244"/>
      <c r="S319" s="244"/>
      <c r="T319" s="244"/>
      <c r="U319" s="244"/>
      <c r="V319" s="244"/>
      <c r="W319" s="244"/>
      <c r="X319" s="244"/>
      <c r="Y319" s="244"/>
      <c r="Z319" s="244"/>
      <c r="AA319" s="244"/>
      <c r="AB319" s="244"/>
      <c r="AC319" s="244"/>
      <c r="AD319" s="244"/>
      <c r="AE319" s="244"/>
      <c r="AF319" s="244"/>
      <c r="AG319" s="244"/>
    </row>
    <row r="320" spans="1:33" ht="15.75" customHeight="1" x14ac:dyDescent="0.25">
      <c r="A320" s="244"/>
      <c r="B320" s="244"/>
      <c r="C320" s="244"/>
      <c r="D320" s="244"/>
      <c r="E320" s="244"/>
      <c r="F320" s="244"/>
      <c r="G320" s="244"/>
      <c r="H320" s="244"/>
      <c r="I320" s="244"/>
      <c r="J320" s="244"/>
      <c r="K320" s="244"/>
      <c r="L320" s="244"/>
      <c r="M320" s="244"/>
      <c r="N320" s="244"/>
      <c r="O320" s="244"/>
      <c r="P320" s="244"/>
      <c r="Q320" s="244"/>
      <c r="R320" s="244"/>
      <c r="S320" s="244"/>
      <c r="T320" s="244"/>
      <c r="U320" s="244"/>
      <c r="V320" s="244"/>
      <c r="W320" s="244"/>
      <c r="X320" s="244"/>
      <c r="Y320" s="244"/>
      <c r="Z320" s="244"/>
      <c r="AA320" s="244"/>
      <c r="AB320" s="244"/>
      <c r="AC320" s="244"/>
      <c r="AD320" s="244"/>
      <c r="AE320" s="244"/>
      <c r="AF320" s="244"/>
      <c r="AG320" s="244"/>
    </row>
    <row r="321" spans="1:33" ht="15.75" customHeight="1" x14ac:dyDescent="0.25">
      <c r="A321" s="244"/>
      <c r="B321" s="244"/>
      <c r="C321" s="244"/>
      <c r="D321" s="244"/>
      <c r="E321" s="244"/>
      <c r="F321" s="244"/>
      <c r="G321" s="244"/>
      <c r="H321" s="244"/>
      <c r="I321" s="244"/>
      <c r="J321" s="244"/>
      <c r="K321" s="244"/>
      <c r="L321" s="244"/>
      <c r="M321" s="244"/>
      <c r="N321" s="244"/>
      <c r="O321" s="244"/>
      <c r="P321" s="244"/>
      <c r="Q321" s="244"/>
      <c r="R321" s="244"/>
      <c r="S321" s="244"/>
      <c r="T321" s="244"/>
      <c r="U321" s="244"/>
      <c r="V321" s="244"/>
      <c r="W321" s="244"/>
      <c r="X321" s="244"/>
      <c r="Y321" s="244"/>
      <c r="Z321" s="244"/>
      <c r="AA321" s="244"/>
      <c r="AB321" s="244"/>
      <c r="AC321" s="244"/>
      <c r="AD321" s="244"/>
      <c r="AE321" s="244"/>
      <c r="AF321" s="244"/>
      <c r="AG321" s="244"/>
    </row>
    <row r="322" spans="1:33" ht="15.75" customHeight="1" x14ac:dyDescent="0.25">
      <c r="A322" s="244"/>
      <c r="B322" s="244"/>
      <c r="C322" s="244"/>
      <c r="D322" s="244"/>
      <c r="E322" s="244"/>
      <c r="F322" s="244"/>
      <c r="G322" s="244"/>
      <c r="H322" s="244"/>
      <c r="I322" s="244"/>
      <c r="J322" s="244"/>
      <c r="K322" s="244"/>
      <c r="L322" s="244"/>
      <c r="M322" s="244"/>
      <c r="N322" s="244"/>
      <c r="O322" s="244"/>
      <c r="P322" s="244"/>
      <c r="Q322" s="244"/>
      <c r="R322" s="244"/>
      <c r="S322" s="244"/>
      <c r="T322" s="244"/>
      <c r="U322" s="244"/>
      <c r="V322" s="244"/>
      <c r="W322" s="244"/>
      <c r="X322" s="244"/>
      <c r="Y322" s="244"/>
      <c r="Z322" s="244"/>
      <c r="AA322" s="244"/>
      <c r="AB322" s="244"/>
      <c r="AC322" s="244"/>
      <c r="AD322" s="244"/>
      <c r="AE322" s="244"/>
      <c r="AF322" s="244"/>
      <c r="AG322" s="244"/>
    </row>
    <row r="323" spans="1:33" ht="15.75" customHeight="1" x14ac:dyDescent="0.25">
      <c r="A323" s="244"/>
      <c r="B323" s="244"/>
      <c r="C323" s="244"/>
      <c r="D323" s="244"/>
      <c r="E323" s="244"/>
      <c r="F323" s="244"/>
      <c r="G323" s="244"/>
      <c r="H323" s="244"/>
      <c r="I323" s="244"/>
      <c r="J323" s="244"/>
      <c r="K323" s="244"/>
      <c r="L323" s="244"/>
      <c r="M323" s="244"/>
      <c r="N323" s="244"/>
      <c r="O323" s="244"/>
      <c r="P323" s="244"/>
      <c r="Q323" s="244"/>
      <c r="R323" s="244"/>
      <c r="S323" s="244"/>
      <c r="T323" s="244"/>
      <c r="U323" s="244"/>
      <c r="V323" s="244"/>
      <c r="W323" s="244"/>
      <c r="X323" s="244"/>
      <c r="Y323" s="244"/>
      <c r="Z323" s="244"/>
      <c r="AA323" s="244"/>
      <c r="AB323" s="244"/>
      <c r="AC323" s="244"/>
      <c r="AD323" s="244"/>
      <c r="AE323" s="244"/>
      <c r="AF323" s="244"/>
      <c r="AG323" s="244"/>
    </row>
    <row r="324" spans="1:33" ht="15.75" customHeight="1" x14ac:dyDescent="0.25">
      <c r="A324" s="244"/>
      <c r="B324" s="244"/>
      <c r="C324" s="244"/>
      <c r="D324" s="244"/>
      <c r="E324" s="244"/>
      <c r="F324" s="244"/>
      <c r="G324" s="244"/>
      <c r="H324" s="244"/>
      <c r="I324" s="244"/>
      <c r="J324" s="244"/>
      <c r="K324" s="244"/>
      <c r="L324" s="244"/>
      <c r="M324" s="244"/>
      <c r="N324" s="244"/>
      <c r="O324" s="244"/>
      <c r="P324" s="244"/>
      <c r="Q324" s="244"/>
      <c r="R324" s="244"/>
      <c r="S324" s="244"/>
      <c r="T324" s="244"/>
      <c r="U324" s="244"/>
      <c r="V324" s="244"/>
      <c r="W324" s="244"/>
      <c r="X324" s="244"/>
      <c r="Y324" s="244"/>
      <c r="Z324" s="244"/>
      <c r="AA324" s="244"/>
      <c r="AB324" s="244"/>
      <c r="AC324" s="244"/>
      <c r="AD324" s="244"/>
      <c r="AE324" s="244"/>
      <c r="AF324" s="244"/>
      <c r="AG324" s="244"/>
    </row>
    <row r="325" spans="1:33" ht="15.75" customHeight="1" x14ac:dyDescent="0.25">
      <c r="A325" s="244"/>
      <c r="B325" s="244"/>
      <c r="C325" s="244"/>
      <c r="D325" s="244"/>
      <c r="E325" s="244"/>
      <c r="F325" s="244"/>
      <c r="G325" s="244"/>
      <c r="H325" s="244"/>
      <c r="I325" s="244"/>
      <c r="J325" s="244"/>
      <c r="K325" s="244"/>
      <c r="L325" s="244"/>
      <c r="M325" s="244"/>
      <c r="N325" s="244"/>
      <c r="O325" s="244"/>
      <c r="P325" s="244"/>
      <c r="Q325" s="244"/>
      <c r="R325" s="244"/>
      <c r="S325" s="244"/>
      <c r="T325" s="244"/>
      <c r="U325" s="244"/>
      <c r="V325" s="244"/>
      <c r="W325" s="244"/>
      <c r="X325" s="244"/>
      <c r="Y325" s="244"/>
      <c r="Z325" s="244"/>
      <c r="AA325" s="244"/>
      <c r="AB325" s="244"/>
      <c r="AC325" s="244"/>
      <c r="AD325" s="244"/>
      <c r="AE325" s="244"/>
      <c r="AF325" s="244"/>
      <c r="AG325" s="244"/>
    </row>
    <row r="326" spans="1:33" ht="15.75" customHeight="1" x14ac:dyDescent="0.25">
      <c r="A326" s="244"/>
      <c r="B326" s="244"/>
      <c r="C326" s="244"/>
      <c r="D326" s="244"/>
      <c r="E326" s="244"/>
      <c r="F326" s="244"/>
      <c r="G326" s="244"/>
      <c r="H326" s="244"/>
      <c r="I326" s="244"/>
      <c r="J326" s="244"/>
      <c r="K326" s="244"/>
      <c r="L326" s="244"/>
      <c r="M326" s="244"/>
      <c r="N326" s="244"/>
      <c r="O326" s="244"/>
      <c r="P326" s="244"/>
      <c r="Q326" s="244"/>
      <c r="R326" s="244"/>
      <c r="S326" s="244"/>
      <c r="T326" s="244"/>
      <c r="U326" s="244"/>
      <c r="V326" s="244"/>
      <c r="W326" s="244"/>
      <c r="X326" s="244"/>
      <c r="Y326" s="244"/>
      <c r="Z326" s="244"/>
      <c r="AA326" s="244"/>
      <c r="AB326" s="244"/>
      <c r="AC326" s="244"/>
      <c r="AD326" s="244"/>
      <c r="AE326" s="244"/>
      <c r="AF326" s="244"/>
      <c r="AG326" s="244"/>
    </row>
    <row r="327" spans="1:33" ht="15.75" customHeight="1" x14ac:dyDescent="0.25">
      <c r="A327" s="244"/>
      <c r="B327" s="244"/>
      <c r="C327" s="244"/>
      <c r="D327" s="244"/>
      <c r="E327" s="244"/>
      <c r="F327" s="244"/>
      <c r="G327" s="244"/>
      <c r="H327" s="244"/>
      <c r="I327" s="244"/>
      <c r="J327" s="244"/>
      <c r="K327" s="244"/>
      <c r="L327" s="244"/>
      <c r="M327" s="244"/>
      <c r="N327" s="244"/>
      <c r="O327" s="244"/>
      <c r="P327" s="244"/>
      <c r="Q327" s="244"/>
      <c r="R327" s="244"/>
      <c r="S327" s="244"/>
      <c r="T327" s="244"/>
      <c r="U327" s="244"/>
      <c r="V327" s="244"/>
      <c r="W327" s="244"/>
      <c r="X327" s="244"/>
      <c r="Y327" s="244"/>
      <c r="Z327" s="244"/>
      <c r="AA327" s="244"/>
      <c r="AB327" s="244"/>
      <c r="AC327" s="244"/>
      <c r="AD327" s="244"/>
      <c r="AE327" s="244"/>
      <c r="AF327" s="244"/>
      <c r="AG327" s="244"/>
    </row>
    <row r="328" spans="1:33" ht="15.75" customHeight="1" x14ac:dyDescent="0.25">
      <c r="A328" s="244"/>
      <c r="B328" s="244"/>
      <c r="C328" s="244"/>
      <c r="D328" s="244"/>
      <c r="E328" s="244"/>
      <c r="F328" s="244"/>
      <c r="G328" s="244"/>
      <c r="H328" s="244"/>
      <c r="I328" s="244"/>
      <c r="J328" s="244"/>
      <c r="K328" s="244"/>
      <c r="L328" s="244"/>
      <c r="M328" s="244"/>
      <c r="N328" s="244"/>
      <c r="O328" s="244"/>
      <c r="P328" s="244"/>
      <c r="Q328" s="244"/>
      <c r="R328" s="244"/>
      <c r="S328" s="244"/>
      <c r="T328" s="244"/>
      <c r="U328" s="244"/>
      <c r="V328" s="244"/>
      <c r="W328" s="244"/>
      <c r="X328" s="244"/>
      <c r="Y328" s="244"/>
      <c r="Z328" s="244"/>
      <c r="AA328" s="244"/>
      <c r="AB328" s="244"/>
      <c r="AC328" s="244"/>
      <c r="AD328" s="244"/>
      <c r="AE328" s="244"/>
      <c r="AF328" s="244"/>
      <c r="AG328" s="244"/>
    </row>
    <row r="329" spans="1:33" ht="15.75" customHeight="1" x14ac:dyDescent="0.25">
      <c r="A329" s="244"/>
      <c r="B329" s="244"/>
      <c r="C329" s="244"/>
      <c r="D329" s="244"/>
      <c r="E329" s="244"/>
      <c r="F329" s="244"/>
      <c r="G329" s="244"/>
      <c r="H329" s="244"/>
      <c r="I329" s="244"/>
      <c r="J329" s="244"/>
      <c r="K329" s="244"/>
      <c r="L329" s="244"/>
      <c r="M329" s="244"/>
      <c r="N329" s="244"/>
      <c r="O329" s="244"/>
      <c r="P329" s="244"/>
      <c r="Q329" s="244"/>
      <c r="R329" s="244"/>
      <c r="S329" s="244"/>
      <c r="T329" s="244"/>
      <c r="U329" s="244"/>
      <c r="V329" s="244"/>
      <c r="W329" s="244"/>
      <c r="X329" s="244"/>
      <c r="Y329" s="244"/>
      <c r="Z329" s="244"/>
      <c r="AA329" s="244"/>
      <c r="AB329" s="244"/>
      <c r="AC329" s="244"/>
      <c r="AD329" s="244"/>
      <c r="AE329" s="244"/>
      <c r="AF329" s="244"/>
      <c r="AG329" s="244"/>
    </row>
    <row r="330" spans="1:33" ht="15.75" customHeight="1" x14ac:dyDescent="0.25">
      <c r="A330" s="244"/>
      <c r="B330" s="244"/>
      <c r="C330" s="244"/>
      <c r="D330" s="244"/>
      <c r="E330" s="244"/>
      <c r="F330" s="244"/>
      <c r="G330" s="244"/>
      <c r="H330" s="244"/>
      <c r="I330" s="244"/>
      <c r="J330" s="244"/>
      <c r="K330" s="244"/>
      <c r="L330" s="244"/>
      <c r="M330" s="244"/>
      <c r="N330" s="244"/>
      <c r="O330" s="244"/>
      <c r="P330" s="244"/>
      <c r="Q330" s="244"/>
      <c r="R330" s="244"/>
      <c r="S330" s="244"/>
      <c r="T330" s="244"/>
      <c r="U330" s="244"/>
      <c r="V330" s="244"/>
      <c r="W330" s="244"/>
      <c r="X330" s="244"/>
      <c r="Y330" s="244"/>
      <c r="Z330" s="244"/>
      <c r="AA330" s="244"/>
      <c r="AB330" s="244"/>
      <c r="AC330" s="244"/>
      <c r="AD330" s="244"/>
      <c r="AE330" s="244"/>
      <c r="AF330" s="244"/>
      <c r="AG330" s="244"/>
    </row>
    <row r="331" spans="1:33" ht="15.75" customHeight="1" x14ac:dyDescent="0.25">
      <c r="A331" s="244"/>
      <c r="B331" s="244"/>
      <c r="C331" s="244"/>
      <c r="D331" s="244"/>
      <c r="E331" s="244"/>
      <c r="F331" s="244"/>
      <c r="G331" s="244"/>
      <c r="H331" s="244"/>
      <c r="I331" s="244"/>
      <c r="J331" s="244"/>
      <c r="K331" s="244"/>
      <c r="L331" s="244"/>
      <c r="M331" s="244"/>
      <c r="N331" s="244"/>
      <c r="O331" s="244"/>
      <c r="P331" s="244"/>
      <c r="Q331" s="244"/>
      <c r="R331" s="244"/>
      <c r="S331" s="244"/>
      <c r="T331" s="244"/>
      <c r="U331" s="244"/>
      <c r="V331" s="244"/>
      <c r="W331" s="244"/>
      <c r="X331" s="244"/>
      <c r="Y331" s="244"/>
      <c r="Z331" s="244"/>
      <c r="AA331" s="244"/>
      <c r="AB331" s="244"/>
      <c r="AC331" s="244"/>
      <c r="AD331" s="244"/>
      <c r="AE331" s="244"/>
      <c r="AF331" s="244"/>
      <c r="AG331" s="244"/>
    </row>
    <row r="332" spans="1:33" ht="15.75" customHeight="1" x14ac:dyDescent="0.25">
      <c r="A332" s="244"/>
      <c r="B332" s="244"/>
      <c r="C332" s="244"/>
      <c r="D332" s="244"/>
      <c r="E332" s="244"/>
      <c r="F332" s="244"/>
      <c r="G332" s="244"/>
      <c r="H332" s="244"/>
      <c r="I332" s="244"/>
      <c r="J332" s="244"/>
      <c r="K332" s="244"/>
      <c r="L332" s="244"/>
      <c r="M332" s="244"/>
      <c r="N332" s="244"/>
      <c r="O332" s="244"/>
      <c r="P332" s="244"/>
      <c r="Q332" s="244"/>
      <c r="R332" s="244"/>
      <c r="S332" s="244"/>
      <c r="T332" s="244"/>
      <c r="U332" s="244"/>
      <c r="V332" s="244"/>
      <c r="W332" s="244"/>
      <c r="X332" s="244"/>
      <c r="Y332" s="244"/>
      <c r="Z332" s="244"/>
      <c r="AA332" s="244"/>
      <c r="AB332" s="244"/>
      <c r="AC332" s="244"/>
      <c r="AD332" s="244"/>
      <c r="AE332" s="244"/>
      <c r="AF332" s="244"/>
      <c r="AG332" s="244"/>
    </row>
    <row r="333" spans="1:33" ht="15.75" customHeight="1" x14ac:dyDescent="0.25">
      <c r="A333" s="244"/>
      <c r="B333" s="244"/>
      <c r="C333" s="244"/>
      <c r="D333" s="244"/>
      <c r="E333" s="244"/>
      <c r="F333" s="244"/>
      <c r="G333" s="244"/>
      <c r="H333" s="244"/>
      <c r="I333" s="244"/>
      <c r="J333" s="244"/>
      <c r="K333" s="244"/>
      <c r="L333" s="244"/>
      <c r="M333" s="244"/>
      <c r="N333" s="244"/>
      <c r="O333" s="244"/>
      <c r="P333" s="244"/>
      <c r="Q333" s="244"/>
      <c r="R333" s="244"/>
      <c r="S333" s="244"/>
      <c r="T333" s="244"/>
      <c r="U333" s="244"/>
      <c r="V333" s="244"/>
      <c r="W333" s="244"/>
      <c r="X333" s="244"/>
      <c r="Y333" s="244"/>
      <c r="Z333" s="244"/>
      <c r="AA333" s="244"/>
      <c r="AB333" s="244"/>
      <c r="AC333" s="244"/>
      <c r="AD333" s="244"/>
      <c r="AE333" s="244"/>
      <c r="AF333" s="244"/>
      <c r="AG333" s="244"/>
    </row>
    <row r="334" spans="1:33" ht="15.75" customHeight="1" x14ac:dyDescent="0.25">
      <c r="A334" s="244"/>
      <c r="B334" s="244"/>
      <c r="C334" s="244"/>
      <c r="D334" s="244"/>
      <c r="E334" s="244"/>
      <c r="F334" s="244"/>
      <c r="G334" s="244"/>
      <c r="H334" s="244"/>
      <c r="I334" s="244"/>
      <c r="J334" s="244"/>
      <c r="K334" s="244"/>
      <c r="L334" s="244"/>
      <c r="M334" s="244"/>
      <c r="N334" s="244"/>
      <c r="O334" s="244"/>
      <c r="P334" s="244"/>
      <c r="Q334" s="244"/>
      <c r="R334" s="244"/>
      <c r="S334" s="244"/>
      <c r="T334" s="244"/>
      <c r="U334" s="244"/>
      <c r="V334" s="244"/>
      <c r="W334" s="244"/>
      <c r="X334" s="244"/>
      <c r="Y334" s="244"/>
      <c r="Z334" s="244"/>
      <c r="AA334" s="244"/>
      <c r="AB334" s="244"/>
      <c r="AC334" s="244"/>
      <c r="AD334" s="244"/>
      <c r="AE334" s="244"/>
      <c r="AF334" s="244"/>
      <c r="AG334" s="244"/>
    </row>
    <row r="335" spans="1:33" ht="15.75" customHeight="1" x14ac:dyDescent="0.25">
      <c r="A335" s="244"/>
      <c r="B335" s="244"/>
      <c r="C335" s="244"/>
      <c r="D335" s="244"/>
      <c r="E335" s="244"/>
      <c r="F335" s="244"/>
      <c r="G335" s="244"/>
      <c r="H335" s="244"/>
      <c r="I335" s="244"/>
      <c r="J335" s="244"/>
      <c r="K335" s="244"/>
      <c r="L335" s="244"/>
      <c r="M335" s="244"/>
      <c r="N335" s="244"/>
      <c r="O335" s="244"/>
      <c r="P335" s="244"/>
      <c r="Q335" s="244"/>
      <c r="R335" s="244"/>
      <c r="S335" s="244"/>
      <c r="T335" s="244"/>
      <c r="U335" s="244"/>
      <c r="V335" s="244"/>
      <c r="W335" s="244"/>
      <c r="X335" s="244"/>
      <c r="Y335" s="244"/>
      <c r="Z335" s="244"/>
      <c r="AA335" s="244"/>
      <c r="AB335" s="244"/>
      <c r="AC335" s="244"/>
      <c r="AD335" s="244"/>
      <c r="AE335" s="244"/>
      <c r="AF335" s="244"/>
      <c r="AG335" s="244"/>
    </row>
    <row r="336" spans="1:33" ht="15.75" customHeight="1" x14ac:dyDescent="0.25">
      <c r="A336" s="244"/>
      <c r="B336" s="244"/>
      <c r="C336" s="244"/>
      <c r="D336" s="244"/>
      <c r="E336" s="244"/>
      <c r="F336" s="244"/>
      <c r="G336" s="244"/>
      <c r="H336" s="244"/>
      <c r="I336" s="244"/>
      <c r="J336" s="244"/>
      <c r="K336" s="244"/>
      <c r="L336" s="244"/>
      <c r="M336" s="244"/>
      <c r="N336" s="244"/>
      <c r="O336" s="244"/>
      <c r="P336" s="244"/>
      <c r="Q336" s="244"/>
      <c r="R336" s="244"/>
      <c r="S336" s="244"/>
      <c r="T336" s="244"/>
      <c r="U336" s="244"/>
      <c r="V336" s="244"/>
      <c r="W336" s="244"/>
      <c r="X336" s="244"/>
      <c r="Y336" s="244"/>
      <c r="Z336" s="244"/>
      <c r="AA336" s="244"/>
      <c r="AB336" s="244"/>
      <c r="AC336" s="244"/>
      <c r="AD336" s="244"/>
      <c r="AE336" s="244"/>
      <c r="AF336" s="244"/>
      <c r="AG336" s="244"/>
    </row>
    <row r="337" spans="1:33" ht="15.75" customHeight="1" x14ac:dyDescent="0.25">
      <c r="A337" s="244"/>
      <c r="B337" s="244"/>
      <c r="C337" s="244"/>
      <c r="D337" s="244"/>
      <c r="E337" s="244"/>
      <c r="F337" s="244"/>
      <c r="G337" s="244"/>
      <c r="H337" s="244"/>
      <c r="I337" s="244"/>
      <c r="J337" s="244"/>
      <c r="K337" s="244"/>
      <c r="L337" s="244"/>
      <c r="M337" s="244"/>
      <c r="N337" s="244"/>
      <c r="O337" s="244"/>
      <c r="P337" s="244"/>
      <c r="Q337" s="244"/>
      <c r="R337" s="244"/>
      <c r="S337" s="244"/>
      <c r="T337" s="244"/>
      <c r="U337" s="244"/>
      <c r="V337" s="244"/>
      <c r="W337" s="244"/>
      <c r="X337" s="244"/>
      <c r="Y337" s="244"/>
      <c r="Z337" s="244"/>
      <c r="AA337" s="244"/>
      <c r="AB337" s="244"/>
      <c r="AC337" s="244"/>
      <c r="AD337" s="244"/>
      <c r="AE337" s="244"/>
      <c r="AF337" s="244"/>
      <c r="AG337" s="244"/>
    </row>
    <row r="338" spans="1:33" ht="15.75" customHeight="1" x14ac:dyDescent="0.25">
      <c r="A338" s="244"/>
      <c r="B338" s="244"/>
      <c r="C338" s="244"/>
      <c r="D338" s="244"/>
      <c r="E338" s="244"/>
      <c r="F338" s="244"/>
      <c r="G338" s="244"/>
      <c r="H338" s="244"/>
      <c r="I338" s="244"/>
      <c r="J338" s="244"/>
      <c r="K338" s="244"/>
      <c r="L338" s="244"/>
      <c r="M338" s="244"/>
      <c r="N338" s="244"/>
      <c r="O338" s="244"/>
      <c r="P338" s="244"/>
      <c r="Q338" s="244"/>
      <c r="R338" s="244"/>
      <c r="S338" s="244"/>
      <c r="T338" s="244"/>
      <c r="U338" s="244"/>
      <c r="V338" s="244"/>
      <c r="W338" s="244"/>
      <c r="X338" s="244"/>
      <c r="Y338" s="244"/>
      <c r="Z338" s="244"/>
      <c r="AA338" s="244"/>
      <c r="AB338" s="244"/>
      <c r="AC338" s="244"/>
      <c r="AD338" s="244"/>
      <c r="AE338" s="244"/>
      <c r="AF338" s="244"/>
      <c r="AG338" s="244"/>
    </row>
    <row r="339" spans="1:33" ht="15.75" customHeight="1" x14ac:dyDescent="0.25">
      <c r="A339" s="244"/>
      <c r="B339" s="244"/>
      <c r="C339" s="244"/>
      <c r="D339" s="244"/>
      <c r="E339" s="244"/>
      <c r="F339" s="244"/>
      <c r="G339" s="244"/>
      <c r="H339" s="244"/>
      <c r="I339" s="244"/>
      <c r="J339" s="244"/>
      <c r="K339" s="244"/>
      <c r="L339" s="244"/>
      <c r="M339" s="244"/>
      <c r="N339" s="244"/>
      <c r="O339" s="244"/>
      <c r="P339" s="244"/>
      <c r="Q339" s="244"/>
      <c r="R339" s="244"/>
      <c r="S339" s="244"/>
      <c r="T339" s="244"/>
      <c r="U339" s="244"/>
      <c r="V339" s="244"/>
      <c r="W339" s="244"/>
      <c r="X339" s="244"/>
      <c r="Y339" s="244"/>
      <c r="Z339" s="244"/>
      <c r="AA339" s="244"/>
      <c r="AB339" s="244"/>
      <c r="AC339" s="244"/>
      <c r="AD339" s="244"/>
      <c r="AE339" s="244"/>
      <c r="AF339" s="244"/>
      <c r="AG339" s="244"/>
    </row>
    <row r="340" spans="1:33" ht="15.75" customHeight="1" x14ac:dyDescent="0.25">
      <c r="A340" s="244"/>
      <c r="B340" s="244"/>
      <c r="C340" s="244"/>
      <c r="D340" s="244"/>
      <c r="E340" s="244"/>
      <c r="F340" s="244"/>
      <c r="G340" s="244"/>
      <c r="H340" s="244"/>
      <c r="I340" s="244"/>
      <c r="J340" s="244"/>
      <c r="K340" s="244"/>
      <c r="L340" s="244"/>
      <c r="M340" s="244"/>
      <c r="N340" s="244"/>
      <c r="O340" s="244"/>
      <c r="P340" s="244"/>
      <c r="Q340" s="244"/>
      <c r="R340" s="244"/>
      <c r="S340" s="244"/>
      <c r="T340" s="244"/>
      <c r="U340" s="244"/>
      <c r="V340" s="244"/>
      <c r="W340" s="244"/>
      <c r="X340" s="244"/>
      <c r="Y340" s="244"/>
      <c r="Z340" s="244"/>
      <c r="AA340" s="244"/>
      <c r="AB340" s="244"/>
      <c r="AC340" s="244"/>
      <c r="AD340" s="244"/>
      <c r="AE340" s="244"/>
      <c r="AF340" s="244"/>
      <c r="AG340" s="244"/>
    </row>
    <row r="341" spans="1:33" ht="15.75" customHeight="1" x14ac:dyDescent="0.2"/>
    <row r="342" spans="1:33" ht="15.75" customHeight="1" x14ac:dyDescent="0.2"/>
    <row r="343" spans="1:33" ht="15.75" customHeight="1" x14ac:dyDescent="0.2"/>
    <row r="344" spans="1:33" ht="15.75" customHeight="1" x14ac:dyDescent="0.2"/>
    <row r="345" spans="1:33" ht="15.75" customHeight="1" x14ac:dyDescent="0.2"/>
    <row r="346" spans="1:33" ht="15.75" customHeight="1" x14ac:dyDescent="0.2"/>
    <row r="347" spans="1:33" ht="15.75" customHeight="1" x14ac:dyDescent="0.2"/>
    <row r="348" spans="1:33" ht="15.75" customHeight="1" x14ac:dyDescent="0.2"/>
    <row r="349" spans="1:33" ht="15.75" customHeight="1" x14ac:dyDescent="0.2"/>
    <row r="350" spans="1:33" ht="15.75" customHeight="1" x14ac:dyDescent="0.2"/>
    <row r="351" spans="1:33" ht="15.75" customHeight="1" x14ac:dyDescent="0.2"/>
    <row r="352" spans="1:33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5">
    <mergeCell ref="B4:B5"/>
    <mergeCell ref="C4:C5"/>
    <mergeCell ref="D4:I4"/>
    <mergeCell ref="J4:M4"/>
    <mergeCell ref="B71:C71"/>
  </mergeCells>
  <pageMargins left="0.7" right="0.7" top="0.75" bottom="0.75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P986"/>
  <sheetViews>
    <sheetView topLeftCell="A129" workbookViewId="0">
      <pane xSplit="3" topLeftCell="D1" activePane="topRight" state="frozen"/>
      <selection pane="topRight" activeCell="E2" sqref="E2"/>
    </sheetView>
  </sheetViews>
  <sheetFormatPr defaultColWidth="12.5703125" defaultRowHeight="15" customHeight="1" x14ac:dyDescent="0.2"/>
  <cols>
    <col min="1" max="1" width="5.5703125" customWidth="1"/>
    <col min="2" max="2" width="9.7109375" customWidth="1"/>
    <col min="3" max="3" width="44.28515625" customWidth="1"/>
    <col min="4" max="4" width="12.5703125" customWidth="1"/>
    <col min="5" max="6" width="12.5703125" hidden="1" customWidth="1"/>
    <col min="7" max="7" width="12.5703125" hidden="1"/>
    <col min="8" max="8" width="11.28515625" hidden="1" customWidth="1"/>
    <col min="9" max="9" width="12.5703125" hidden="1"/>
    <col min="10" max="10" width="12.5703125" customWidth="1"/>
    <col min="11" max="12" width="12.5703125" hidden="1" customWidth="1"/>
    <col min="13" max="13" width="12.5703125" hidden="1"/>
    <col min="14" max="14" width="11.28515625" hidden="1" customWidth="1"/>
    <col min="15" max="15" width="12.5703125" hidden="1"/>
    <col min="16" max="16" width="12.5703125" customWidth="1"/>
  </cols>
  <sheetData>
    <row r="1" spans="1:16" ht="15.75" customHeight="1" x14ac:dyDescent="0.25">
      <c r="A1" s="244"/>
      <c r="B1" s="245" t="s">
        <v>0</v>
      </c>
      <c r="C1" s="244"/>
      <c r="D1" s="244"/>
      <c r="E1" s="244"/>
      <c r="F1" s="303"/>
      <c r="G1" s="510"/>
      <c r="H1" s="244"/>
      <c r="I1" s="244"/>
      <c r="J1" s="244"/>
      <c r="K1" s="244"/>
      <c r="L1" s="303"/>
      <c r="M1" s="510"/>
      <c r="N1" s="244"/>
      <c r="O1" s="244"/>
      <c r="P1" s="244"/>
    </row>
    <row r="2" spans="1:16" ht="15.75" customHeight="1" x14ac:dyDescent="0.25">
      <c r="A2" s="244"/>
      <c r="B2" s="304" t="s">
        <v>304</v>
      </c>
      <c r="C2" s="511"/>
      <c r="D2" s="246"/>
      <c r="E2" s="246"/>
      <c r="F2" s="303"/>
      <c r="G2" s="244"/>
      <c r="H2" s="244"/>
      <c r="I2" s="244"/>
      <c r="J2" s="246"/>
      <c r="K2" s="246"/>
      <c r="L2" s="303"/>
      <c r="M2" s="244"/>
      <c r="N2" s="244"/>
      <c r="O2" s="244"/>
      <c r="P2" s="244"/>
    </row>
    <row r="3" spans="1:16" ht="15.75" customHeight="1" x14ac:dyDescent="0.25">
      <c r="A3" s="244"/>
      <c r="B3" s="244"/>
      <c r="C3" s="244"/>
      <c r="D3" s="244"/>
      <c r="E3" s="244"/>
      <c r="F3" s="303"/>
      <c r="G3" s="244"/>
      <c r="H3" s="244"/>
      <c r="I3" s="244"/>
      <c r="J3" s="244"/>
      <c r="K3" s="244"/>
      <c r="L3" s="303"/>
      <c r="M3" s="244"/>
      <c r="N3" s="244"/>
      <c r="O3" s="244"/>
      <c r="P3" s="244"/>
    </row>
    <row r="4" spans="1:16" ht="15.75" customHeight="1" x14ac:dyDescent="0.25">
      <c r="A4" s="244"/>
      <c r="B4" s="512" t="s">
        <v>167</v>
      </c>
      <c r="C4" s="513" t="s">
        <v>46</v>
      </c>
      <c r="D4" s="965" t="s">
        <v>168</v>
      </c>
      <c r="E4" s="930"/>
      <c r="F4" s="930"/>
      <c r="G4" s="930"/>
      <c r="H4" s="930"/>
      <c r="I4" s="931"/>
      <c r="J4" s="965" t="s">
        <v>169</v>
      </c>
      <c r="K4" s="930"/>
      <c r="L4" s="930"/>
      <c r="M4" s="930"/>
      <c r="N4" s="930"/>
      <c r="O4" s="931"/>
      <c r="P4" s="305"/>
    </row>
    <row r="5" spans="1:16" ht="15.75" customHeight="1" x14ac:dyDescent="0.2">
      <c r="A5" s="306"/>
      <c r="B5" s="514"/>
      <c r="C5" s="514"/>
      <c r="D5" s="515" t="s">
        <v>170</v>
      </c>
      <c r="E5" s="516" t="s">
        <v>18</v>
      </c>
      <c r="F5" s="517" t="s">
        <v>171</v>
      </c>
      <c r="G5" s="516" t="s">
        <v>18</v>
      </c>
      <c r="H5" s="516" t="s">
        <v>172</v>
      </c>
      <c r="I5" s="518" t="s">
        <v>260</v>
      </c>
      <c r="J5" s="515" t="s">
        <v>170</v>
      </c>
      <c r="K5" s="516" t="s">
        <v>18</v>
      </c>
      <c r="L5" s="517" t="s">
        <v>171</v>
      </c>
      <c r="M5" s="516" t="s">
        <v>18</v>
      </c>
      <c r="N5" s="516" t="s">
        <v>172</v>
      </c>
      <c r="O5" s="518" t="s">
        <v>260</v>
      </c>
      <c r="P5" s="311"/>
    </row>
    <row r="6" spans="1:16" ht="15.75" hidden="1" customHeight="1" x14ac:dyDescent="0.25">
      <c r="A6" s="244"/>
      <c r="B6" s="259"/>
      <c r="C6" s="282" t="s">
        <v>78</v>
      </c>
      <c r="D6" s="466">
        <v>4432</v>
      </c>
      <c r="E6" s="372"/>
      <c r="F6" s="327"/>
      <c r="G6" s="372"/>
      <c r="H6" s="412"/>
      <c r="I6" s="373"/>
      <c r="J6" s="466">
        <v>4432</v>
      </c>
      <c r="K6" s="372"/>
      <c r="L6" s="327"/>
      <c r="M6" s="372"/>
      <c r="N6" s="412"/>
      <c r="O6" s="373"/>
      <c r="P6" s="244"/>
    </row>
    <row r="7" spans="1:16" ht="15.75" hidden="1" customHeight="1" x14ac:dyDescent="0.25">
      <c r="A7" s="244"/>
      <c r="B7" s="267"/>
      <c r="C7" s="263" t="s">
        <v>85</v>
      </c>
      <c r="D7" s="467">
        <v>2983</v>
      </c>
      <c r="E7" s="313"/>
      <c r="F7" s="296"/>
      <c r="G7" s="313"/>
      <c r="H7" s="415"/>
      <c r="I7" s="271"/>
      <c r="J7" s="467">
        <v>2983</v>
      </c>
      <c r="K7" s="313"/>
      <c r="L7" s="296"/>
      <c r="M7" s="313"/>
      <c r="N7" s="415"/>
      <c r="O7" s="271"/>
      <c r="P7" s="244"/>
    </row>
    <row r="8" spans="1:16" ht="15.75" hidden="1" customHeight="1" x14ac:dyDescent="0.25">
      <c r="A8" s="244"/>
      <c r="B8" s="267"/>
      <c r="C8" s="263" t="s">
        <v>92</v>
      </c>
      <c r="D8" s="467">
        <f>D24+D25+D28+D16</f>
        <v>4144195.05</v>
      </c>
      <c r="E8" s="332"/>
      <c r="F8" s="296"/>
      <c r="G8" s="313"/>
      <c r="H8" s="415"/>
      <c r="I8" s="271"/>
      <c r="J8" s="467">
        <f>J24+J25+J28+J16</f>
        <v>3999727</v>
      </c>
      <c r="K8" s="332"/>
      <c r="L8" s="296"/>
      <c r="M8" s="313"/>
      <c r="N8" s="415"/>
      <c r="O8" s="271"/>
      <c r="P8" s="244"/>
    </row>
    <row r="9" spans="1:16" ht="15.75" hidden="1" customHeight="1" x14ac:dyDescent="0.25">
      <c r="A9" s="244"/>
      <c r="B9" s="267"/>
      <c r="C9" s="263" t="s">
        <v>99</v>
      </c>
      <c r="D9" s="467">
        <f>D17+D21+D19+D20</f>
        <v>5688107.9000000004</v>
      </c>
      <c r="E9" s="332"/>
      <c r="F9" s="296"/>
      <c r="G9" s="313"/>
      <c r="H9" s="415"/>
      <c r="I9" s="271"/>
      <c r="J9" s="467">
        <f>J17+J21+J19+J20</f>
        <v>5297630</v>
      </c>
      <c r="K9" s="332"/>
      <c r="L9" s="296"/>
      <c r="M9" s="313"/>
      <c r="N9" s="415"/>
      <c r="O9" s="271"/>
      <c r="P9" s="244"/>
    </row>
    <row r="10" spans="1:16" ht="15.75" hidden="1" customHeight="1" x14ac:dyDescent="0.25">
      <c r="A10" s="244"/>
      <c r="B10" s="519"/>
      <c r="C10" s="299" t="s">
        <v>106</v>
      </c>
      <c r="D10" s="520">
        <f>SUM(D8:D9)-D29</f>
        <v>0</v>
      </c>
      <c r="E10" s="521"/>
      <c r="F10" s="522"/>
      <c r="G10" s="521"/>
      <c r="H10" s="523"/>
      <c r="I10" s="524"/>
      <c r="J10" s="520">
        <f>SUM(J8:J9)-J29</f>
        <v>-16000</v>
      </c>
      <c r="K10" s="521"/>
      <c r="L10" s="522"/>
      <c r="M10" s="521"/>
      <c r="N10" s="523"/>
      <c r="O10" s="524"/>
      <c r="P10" s="244"/>
    </row>
    <row r="11" spans="1:16" ht="15.75" hidden="1" customHeight="1" x14ac:dyDescent="0.25">
      <c r="A11" s="244"/>
      <c r="B11" s="259"/>
      <c r="C11" s="282" t="s">
        <v>113</v>
      </c>
      <c r="D11" s="466">
        <f t="shared" ref="D11:D12" si="0">D8/D6</f>
        <v>935.06206001805049</v>
      </c>
      <c r="E11" s="326"/>
      <c r="F11" s="327"/>
      <c r="G11" s="372"/>
      <c r="H11" s="412"/>
      <c r="I11" s="373"/>
      <c r="J11" s="466">
        <f t="shared" ref="J11:J12" si="1">J8/J6</f>
        <v>902.46547833935017</v>
      </c>
      <c r="K11" s="326"/>
      <c r="L11" s="327"/>
      <c r="M11" s="372"/>
      <c r="N11" s="412"/>
      <c r="O11" s="373"/>
      <c r="P11" s="244"/>
    </row>
    <row r="12" spans="1:16" ht="15.75" hidden="1" customHeight="1" x14ac:dyDescent="0.25">
      <c r="A12" s="244"/>
      <c r="B12" s="267"/>
      <c r="C12" s="263" t="s">
        <v>120</v>
      </c>
      <c r="D12" s="467">
        <f t="shared" si="0"/>
        <v>1906.8414012738854</v>
      </c>
      <c r="E12" s="332"/>
      <c r="F12" s="296"/>
      <c r="G12" s="313"/>
      <c r="H12" s="415"/>
      <c r="I12" s="271"/>
      <c r="J12" s="467">
        <f t="shared" si="1"/>
        <v>1775.9403285283272</v>
      </c>
      <c r="K12" s="332"/>
      <c r="L12" s="296"/>
      <c r="M12" s="313"/>
      <c r="N12" s="415"/>
      <c r="O12" s="271"/>
      <c r="P12" s="244"/>
    </row>
    <row r="13" spans="1:16" ht="15.75" hidden="1" customHeight="1" x14ac:dyDescent="0.25">
      <c r="A13" s="244"/>
      <c r="B13" s="267"/>
      <c r="C13" s="263"/>
      <c r="D13" s="467"/>
      <c r="E13" s="313"/>
      <c r="F13" s="296"/>
      <c r="G13" s="313"/>
      <c r="H13" s="415"/>
      <c r="I13" s="271"/>
      <c r="J13" s="467"/>
      <c r="K13" s="313"/>
      <c r="L13" s="296"/>
      <c r="M13" s="313"/>
      <c r="N13" s="415"/>
      <c r="O13" s="271"/>
      <c r="P13" s="244"/>
    </row>
    <row r="14" spans="1:16" ht="15.75" customHeight="1" x14ac:dyDescent="0.25">
      <c r="A14" s="244"/>
      <c r="B14" s="255" t="s">
        <v>173</v>
      </c>
      <c r="C14" s="263"/>
      <c r="D14" s="467"/>
      <c r="E14" s="313"/>
      <c r="F14" s="296"/>
      <c r="G14" s="313"/>
      <c r="H14" s="415"/>
      <c r="I14" s="271"/>
      <c r="J14" s="467"/>
      <c r="K14" s="313"/>
      <c r="L14" s="296"/>
      <c r="M14" s="313"/>
      <c r="N14" s="415"/>
      <c r="O14" s="271"/>
      <c r="P14" s="244"/>
    </row>
    <row r="15" spans="1:16" ht="15.75" customHeight="1" x14ac:dyDescent="0.25">
      <c r="A15" s="244"/>
      <c r="B15" s="250"/>
      <c r="C15" s="525" t="s">
        <v>294</v>
      </c>
      <c r="D15" s="526">
        <f>SUM(D16:D21)</f>
        <v>8201572.1500000004</v>
      </c>
      <c r="E15" s="527"/>
      <c r="F15" s="528">
        <f>SUM(F16:F21)</f>
        <v>0</v>
      </c>
      <c r="G15" s="527"/>
      <c r="H15" s="415"/>
      <c r="I15" s="271"/>
      <c r="J15" s="526">
        <f>SUM(J16:J21)</f>
        <v>8181016</v>
      </c>
      <c r="K15" s="527"/>
      <c r="L15" s="528">
        <f>SUM(L16:L21)</f>
        <v>0</v>
      </c>
      <c r="M15" s="527"/>
      <c r="N15" s="415"/>
      <c r="O15" s="271"/>
      <c r="P15" s="244"/>
    </row>
    <row r="16" spans="1:16" ht="15.75" customHeight="1" x14ac:dyDescent="0.25">
      <c r="A16" s="244"/>
      <c r="B16" s="267" t="s">
        <v>23</v>
      </c>
      <c r="C16" s="263" t="s">
        <v>175</v>
      </c>
      <c r="D16" s="467">
        <v>2513464.25</v>
      </c>
      <c r="E16" s="332" t="e">
        <f t="shared" ref="E16:E22" si="2">D16/#REF!</f>
        <v>#REF!</v>
      </c>
      <c r="F16" s="296"/>
      <c r="G16" s="332" t="e">
        <f t="shared" ref="G16:G21" si="3">F16/#REF!</f>
        <v>#REF!</v>
      </c>
      <c r="H16" s="415">
        <f>D16-F16</f>
        <v>2513464.25</v>
      </c>
      <c r="I16" s="336" t="e">
        <f t="shared" ref="I16:I17" si="4">H16/F16</f>
        <v>#DIV/0!</v>
      </c>
      <c r="J16" s="467">
        <v>2883386</v>
      </c>
      <c r="K16" s="332" t="e">
        <f t="shared" ref="K16:K22" si="5">J16/#REF!</f>
        <v>#REF!</v>
      </c>
      <c r="L16" s="296"/>
      <c r="M16" s="332" t="e">
        <f t="shared" ref="M16:M21" si="6">L16/#REF!</f>
        <v>#REF!</v>
      </c>
      <c r="N16" s="415">
        <f>J16-L16</f>
        <v>2883386</v>
      </c>
      <c r="O16" s="336" t="e">
        <f t="shared" ref="O16:O17" si="7">N16/L16</f>
        <v>#DIV/0!</v>
      </c>
      <c r="P16" s="244"/>
    </row>
    <row r="17" spans="1:16" ht="15.75" customHeight="1" x14ac:dyDescent="0.25">
      <c r="A17" s="244"/>
      <c r="B17" s="263"/>
      <c r="C17" s="263" t="s">
        <v>176</v>
      </c>
      <c r="D17" s="467">
        <f>2337756.21+1573983+927993+456373+115958</f>
        <v>5412063.21</v>
      </c>
      <c r="E17" s="332" t="e">
        <f t="shared" si="2"/>
        <v>#REF!</v>
      </c>
      <c r="F17" s="296"/>
      <c r="G17" s="332" t="e">
        <f t="shared" si="3"/>
        <v>#REF!</v>
      </c>
      <c r="H17" s="415">
        <f>D17-SUM(F17:F18)</f>
        <v>5412063.21</v>
      </c>
      <c r="I17" s="336" t="e">
        <f t="shared" si="4"/>
        <v>#DIV/0!</v>
      </c>
      <c r="J17" s="467">
        <f>4334250+963380</f>
        <v>5297630</v>
      </c>
      <c r="K17" s="332" t="e">
        <f t="shared" si="5"/>
        <v>#REF!</v>
      </c>
      <c r="L17" s="296"/>
      <c r="M17" s="332" t="e">
        <f t="shared" si="6"/>
        <v>#REF!</v>
      </c>
      <c r="N17" s="415">
        <f>J17-SUM(L17:L18)</f>
        <v>5297630</v>
      </c>
      <c r="O17" s="336" t="e">
        <f t="shared" si="7"/>
        <v>#DIV/0!</v>
      </c>
      <c r="P17" s="244"/>
    </row>
    <row r="18" spans="1:16" ht="15.75" customHeight="1" x14ac:dyDescent="0.25">
      <c r="A18" s="244"/>
      <c r="B18" s="263"/>
      <c r="C18" s="263" t="s">
        <v>261</v>
      </c>
      <c r="D18" s="467"/>
      <c r="E18" s="332" t="e">
        <f t="shared" si="2"/>
        <v>#REF!</v>
      </c>
      <c r="F18" s="296"/>
      <c r="G18" s="332" t="e">
        <f t="shared" si="3"/>
        <v>#REF!</v>
      </c>
      <c r="H18" s="415"/>
      <c r="I18" s="336"/>
      <c r="J18" s="467"/>
      <c r="K18" s="332" t="e">
        <f t="shared" si="5"/>
        <v>#REF!</v>
      </c>
      <c r="L18" s="296"/>
      <c r="M18" s="332" t="e">
        <f t="shared" si="6"/>
        <v>#REF!</v>
      </c>
      <c r="N18" s="415"/>
      <c r="O18" s="336"/>
      <c r="P18" s="244"/>
    </row>
    <row r="19" spans="1:16" ht="15.75" customHeight="1" x14ac:dyDescent="0.25">
      <c r="A19" s="244"/>
      <c r="B19" s="263"/>
      <c r="C19" s="263" t="s">
        <v>177</v>
      </c>
      <c r="D19" s="467"/>
      <c r="E19" s="332" t="e">
        <f t="shared" si="2"/>
        <v>#REF!</v>
      </c>
      <c r="F19" s="296"/>
      <c r="G19" s="332" t="e">
        <f t="shared" si="3"/>
        <v>#REF!</v>
      </c>
      <c r="H19" s="415"/>
      <c r="I19" s="336"/>
      <c r="J19" s="467"/>
      <c r="K19" s="332" t="e">
        <f t="shared" si="5"/>
        <v>#REF!</v>
      </c>
      <c r="L19" s="296"/>
      <c r="M19" s="332" t="e">
        <f t="shared" si="6"/>
        <v>#REF!</v>
      </c>
      <c r="N19" s="415"/>
      <c r="O19" s="336"/>
      <c r="P19" s="244"/>
    </row>
    <row r="20" spans="1:16" ht="15.75" customHeight="1" x14ac:dyDescent="0.25">
      <c r="A20" s="244"/>
      <c r="B20" s="263"/>
      <c r="C20" s="263" t="s">
        <v>178</v>
      </c>
      <c r="D20" s="467">
        <v>46298.159999999996</v>
      </c>
      <c r="E20" s="332" t="e">
        <f t="shared" si="2"/>
        <v>#REF!</v>
      </c>
      <c r="F20" s="296"/>
      <c r="G20" s="332" t="e">
        <f t="shared" si="3"/>
        <v>#REF!</v>
      </c>
      <c r="H20" s="415">
        <f>D20-SUM(F20:F23)</f>
        <v>46298.159999999996</v>
      </c>
      <c r="I20" s="336" t="e">
        <f t="shared" ref="I20:I21" si="8">H20/F20</f>
        <v>#DIV/0!</v>
      </c>
      <c r="J20" s="467"/>
      <c r="K20" s="332" t="e">
        <f t="shared" si="5"/>
        <v>#REF!</v>
      </c>
      <c r="L20" s="296"/>
      <c r="M20" s="332" t="e">
        <f t="shared" si="6"/>
        <v>#REF!</v>
      </c>
      <c r="N20" s="415">
        <f>J20-SUM(L20:L23)</f>
        <v>0</v>
      </c>
      <c r="O20" s="336" t="e">
        <f t="shared" ref="O20:O21" si="9">N20/L20</f>
        <v>#DIV/0!</v>
      </c>
      <c r="P20" s="244"/>
    </row>
    <row r="21" spans="1:16" ht="15.75" customHeight="1" x14ac:dyDescent="0.25">
      <c r="A21" s="244"/>
      <c r="B21" s="263"/>
      <c r="C21" s="263" t="s">
        <v>179</v>
      </c>
      <c r="D21" s="467">
        <v>229746.52999999997</v>
      </c>
      <c r="E21" s="332" t="e">
        <f t="shared" si="2"/>
        <v>#REF!</v>
      </c>
      <c r="F21" s="296"/>
      <c r="G21" s="332" t="e">
        <f t="shared" si="3"/>
        <v>#REF!</v>
      </c>
      <c r="H21" s="415">
        <f>D21-SUM(F21:F23)</f>
        <v>229746.52999999997</v>
      </c>
      <c r="I21" s="336" t="e">
        <f t="shared" si="8"/>
        <v>#DIV/0!</v>
      </c>
      <c r="J21" s="467"/>
      <c r="K21" s="332" t="e">
        <f t="shared" si="5"/>
        <v>#REF!</v>
      </c>
      <c r="L21" s="296"/>
      <c r="M21" s="332" t="e">
        <f t="shared" si="6"/>
        <v>#REF!</v>
      </c>
      <c r="N21" s="415">
        <f>J21-SUM(L21:L23)</f>
        <v>0</v>
      </c>
      <c r="O21" s="336" t="e">
        <f t="shared" si="9"/>
        <v>#DIV/0!</v>
      </c>
      <c r="P21" s="244"/>
    </row>
    <row r="22" spans="1:16" ht="15.75" customHeight="1" x14ac:dyDescent="0.25">
      <c r="A22" s="244"/>
      <c r="B22" s="263"/>
      <c r="C22" s="263" t="s">
        <v>263</v>
      </c>
      <c r="D22" s="467"/>
      <c r="E22" s="332" t="e">
        <f t="shared" si="2"/>
        <v>#REF!</v>
      </c>
      <c r="F22" s="296"/>
      <c r="G22" s="332"/>
      <c r="H22" s="415"/>
      <c r="I22" s="343" t="str">
        <f>IFERROR(H22/F22,"")</f>
        <v/>
      </c>
      <c r="J22" s="467">
        <v>8000</v>
      </c>
      <c r="K22" s="332" t="e">
        <f t="shared" si="5"/>
        <v>#REF!</v>
      </c>
      <c r="L22" s="296"/>
      <c r="M22" s="332"/>
      <c r="N22" s="415"/>
      <c r="O22" s="343" t="str">
        <f>IFERROR(N22/L22,"")</f>
        <v/>
      </c>
      <c r="P22" s="244"/>
    </row>
    <row r="23" spans="1:16" ht="15.75" customHeight="1" x14ac:dyDescent="0.25">
      <c r="A23" s="244"/>
      <c r="B23" s="263"/>
      <c r="C23" s="263"/>
      <c r="D23" s="467"/>
      <c r="E23" s="313"/>
      <c r="F23" s="296"/>
      <c r="G23" s="332"/>
      <c r="H23" s="415"/>
      <c r="I23" s="336"/>
      <c r="J23" s="467"/>
      <c r="K23" s="313"/>
      <c r="L23" s="296"/>
      <c r="M23" s="332"/>
      <c r="N23" s="415"/>
      <c r="O23" s="336"/>
      <c r="P23" s="244"/>
    </row>
    <row r="24" spans="1:16" ht="15.75" customHeight="1" x14ac:dyDescent="0.25">
      <c r="A24" s="244"/>
      <c r="B24" s="267" t="s">
        <v>21</v>
      </c>
      <c r="C24" s="263" t="s">
        <v>21</v>
      </c>
      <c r="D24" s="467">
        <v>1273758.75</v>
      </c>
      <c r="E24" s="332">
        <f t="shared" ref="E24:E26" si="10">D24/$D$29</f>
        <v>0.12954836282785609</v>
      </c>
      <c r="F24" s="296"/>
      <c r="G24" s="332" t="e">
        <f t="shared" ref="G24:G26" si="11">F24/$F$29</f>
        <v>#DIV/0!</v>
      </c>
      <c r="H24" s="415">
        <f>D24-F24</f>
        <v>1273758.75</v>
      </c>
      <c r="I24" s="336" t="e">
        <f t="shared" ref="I24:I26" si="12">H24/F24</f>
        <v>#DIV/0!</v>
      </c>
      <c r="J24" s="467">
        <v>1116341</v>
      </c>
      <c r="K24" s="332">
        <f t="shared" ref="K24:K26" si="13">J24/$D$29</f>
        <v>0.11353810045082062</v>
      </c>
      <c r="L24" s="296"/>
      <c r="M24" s="332" t="e">
        <f t="shared" ref="M24:M26" si="14">L24/$F$29</f>
        <v>#DIV/0!</v>
      </c>
      <c r="N24" s="415">
        <f>J24-L24</f>
        <v>1116341</v>
      </c>
      <c r="O24" s="336" t="e">
        <f t="shared" ref="O24:O26" si="15">N24/L24</f>
        <v>#DIV/0!</v>
      </c>
      <c r="P24" s="244"/>
    </row>
    <row r="25" spans="1:16" ht="15.75" customHeight="1" x14ac:dyDescent="0.25">
      <c r="A25" s="244"/>
      <c r="B25" s="267" t="s">
        <v>22</v>
      </c>
      <c r="C25" s="263" t="s">
        <v>22</v>
      </c>
      <c r="D25" s="496">
        <v>0</v>
      </c>
      <c r="E25" s="529">
        <f t="shared" si="10"/>
        <v>0</v>
      </c>
      <c r="F25" s="529"/>
      <c r="G25" s="529" t="e">
        <f t="shared" si="11"/>
        <v>#DIV/0!</v>
      </c>
      <c r="H25" s="529">
        <v>0</v>
      </c>
      <c r="I25" s="530" t="e">
        <f t="shared" si="12"/>
        <v>#DIV/0!</v>
      </c>
      <c r="J25" s="496">
        <v>0</v>
      </c>
      <c r="K25" s="332">
        <f t="shared" si="13"/>
        <v>0</v>
      </c>
      <c r="L25" s="296"/>
      <c r="M25" s="332" t="e">
        <f t="shared" si="14"/>
        <v>#DIV/0!</v>
      </c>
      <c r="N25" s="415">
        <v>0</v>
      </c>
      <c r="O25" s="336" t="e">
        <f t="shared" si="15"/>
        <v>#DIV/0!</v>
      </c>
      <c r="P25" s="244"/>
    </row>
    <row r="26" spans="1:16" ht="15.75" customHeight="1" x14ac:dyDescent="0.25">
      <c r="A26" s="244"/>
      <c r="B26" s="267" t="s">
        <v>23</v>
      </c>
      <c r="C26" s="263" t="s">
        <v>180</v>
      </c>
      <c r="D26" s="268">
        <f>SUM(D16:D22)</f>
        <v>8201572.1500000004</v>
      </c>
      <c r="E26" s="332">
        <f t="shared" si="10"/>
        <v>0.83414559047939008</v>
      </c>
      <c r="F26" s="296"/>
      <c r="G26" s="332" t="e">
        <f t="shared" si="11"/>
        <v>#DIV/0!</v>
      </c>
      <c r="H26" s="415">
        <f>D26-SUM(F26:F28)</f>
        <v>8201572.1500000004</v>
      </c>
      <c r="I26" s="336" t="e">
        <f t="shared" si="12"/>
        <v>#DIV/0!</v>
      </c>
      <c r="J26" s="268">
        <f>SUM(J16:J22)</f>
        <v>8189016</v>
      </c>
      <c r="K26" s="332">
        <f t="shared" si="13"/>
        <v>0.83286856005591237</v>
      </c>
      <c r="L26" s="296"/>
      <c r="M26" s="332" t="e">
        <f t="shared" si="14"/>
        <v>#DIV/0!</v>
      </c>
      <c r="N26" s="415">
        <f>J26-SUM(L26:L28)</f>
        <v>8189016</v>
      </c>
      <c r="O26" s="336" t="e">
        <f t="shared" si="15"/>
        <v>#DIV/0!</v>
      </c>
      <c r="P26" s="244"/>
    </row>
    <row r="27" spans="1:16" ht="15.75" customHeight="1" x14ac:dyDescent="0.25">
      <c r="A27" s="244"/>
      <c r="B27" s="263"/>
      <c r="C27" s="263"/>
      <c r="D27" s="467"/>
      <c r="E27" s="332"/>
      <c r="F27" s="296"/>
      <c r="G27" s="332"/>
      <c r="H27" s="313"/>
      <c r="I27" s="336"/>
      <c r="J27" s="467"/>
      <c r="K27" s="332"/>
      <c r="L27" s="296"/>
      <c r="M27" s="332"/>
      <c r="N27" s="313"/>
      <c r="O27" s="336"/>
      <c r="P27" s="244"/>
    </row>
    <row r="28" spans="1:16" ht="15.75" customHeight="1" x14ac:dyDescent="0.25">
      <c r="A28" s="244"/>
      <c r="B28" s="274"/>
      <c r="C28" s="274" t="s">
        <v>181</v>
      </c>
      <c r="D28" s="468">
        <v>356972.05</v>
      </c>
      <c r="E28" s="337">
        <f>D28/$D$29</f>
        <v>3.6306046692753703E-2</v>
      </c>
      <c r="F28" s="317"/>
      <c r="G28" s="337">
        <v>5.9499999999999997E-2</v>
      </c>
      <c r="H28" s="469">
        <f t="shared" ref="H28:H29" si="16">D28-F28</f>
        <v>356972.05</v>
      </c>
      <c r="I28" s="338" t="e">
        <f>H28/F28</f>
        <v>#DIV/0!</v>
      </c>
      <c r="J28" s="468"/>
      <c r="K28" s="337">
        <f>J28/$D$29</f>
        <v>0</v>
      </c>
      <c r="L28" s="317"/>
      <c r="M28" s="337">
        <v>5.9499999999999997E-2</v>
      </c>
      <c r="N28" s="469">
        <f t="shared" ref="N28:N29" si="17">J28-L28</f>
        <v>0</v>
      </c>
      <c r="O28" s="338" t="e">
        <f>N28/L28</f>
        <v>#DIV/0!</v>
      </c>
      <c r="P28" s="244"/>
    </row>
    <row r="29" spans="1:16" ht="15.75" customHeight="1" x14ac:dyDescent="0.25">
      <c r="A29" s="244"/>
      <c r="B29" s="278"/>
      <c r="C29" s="278" t="s">
        <v>182</v>
      </c>
      <c r="D29" s="257">
        <f>D24+D25+D26+D28</f>
        <v>9832302.9500000011</v>
      </c>
      <c r="E29" s="348"/>
      <c r="F29" s="257">
        <f>F24+F25+F26+F28+F22</f>
        <v>0</v>
      </c>
      <c r="G29" s="348"/>
      <c r="H29" s="411">
        <f t="shared" si="16"/>
        <v>9832302.9500000011</v>
      </c>
      <c r="I29" s="349"/>
      <c r="J29" s="257">
        <f>J22+J24+J25+J26+J28</f>
        <v>9313357</v>
      </c>
      <c r="K29" s="348"/>
      <c r="L29" s="257">
        <f>L24+L25+L26+L28+L22</f>
        <v>0</v>
      </c>
      <c r="M29" s="348"/>
      <c r="N29" s="411">
        <f t="shared" si="17"/>
        <v>9313357</v>
      </c>
      <c r="O29" s="349"/>
      <c r="P29" s="246"/>
    </row>
    <row r="30" spans="1:16" ht="15.75" customHeight="1" x14ac:dyDescent="0.25">
      <c r="A30" s="244"/>
      <c r="B30" s="259"/>
      <c r="C30" s="282"/>
      <c r="D30" s="466"/>
      <c r="E30" s="372"/>
      <c r="F30" s="327"/>
      <c r="G30" s="372"/>
      <c r="H30" s="372"/>
      <c r="I30" s="373"/>
      <c r="J30" s="466"/>
      <c r="K30" s="372"/>
      <c r="L30" s="327"/>
      <c r="M30" s="372"/>
      <c r="N30" s="372"/>
      <c r="O30" s="373"/>
      <c r="P30" s="244"/>
    </row>
    <row r="31" spans="1:16" ht="15.75" hidden="1" customHeight="1" x14ac:dyDescent="0.25">
      <c r="A31" s="244"/>
      <c r="B31" s="263"/>
      <c r="C31" s="263"/>
      <c r="D31" s="467"/>
      <c r="E31" s="332"/>
      <c r="F31" s="296"/>
      <c r="G31" s="415"/>
      <c r="H31" s="415"/>
      <c r="I31" s="486"/>
      <c r="J31" s="467"/>
      <c r="K31" s="332"/>
      <c r="L31" s="296"/>
      <c r="M31" s="415"/>
      <c r="N31" s="415"/>
      <c r="O31" s="486"/>
      <c r="P31" s="244"/>
    </row>
    <row r="32" spans="1:16" ht="15.75" hidden="1" customHeight="1" x14ac:dyDescent="0.25">
      <c r="A32" s="244"/>
      <c r="B32" s="263" t="s">
        <v>220</v>
      </c>
      <c r="C32" s="263">
        <v>1669</v>
      </c>
      <c r="D32" s="467"/>
      <c r="E32" s="332"/>
      <c r="F32" s="296"/>
      <c r="G32" s="415"/>
      <c r="H32" s="415"/>
      <c r="I32" s="486"/>
      <c r="J32" s="467"/>
      <c r="K32" s="332"/>
      <c r="L32" s="296"/>
      <c r="M32" s="415"/>
      <c r="N32" s="415"/>
      <c r="O32" s="486"/>
      <c r="P32" s="244"/>
    </row>
    <row r="33" spans="1:16" ht="15.75" hidden="1" customHeight="1" x14ac:dyDescent="0.25">
      <c r="A33" s="244"/>
      <c r="B33" s="531">
        <v>7.0000000000000007E-2</v>
      </c>
      <c r="C33" s="263"/>
      <c r="D33" s="467">
        <f>B33*$D$29</f>
        <v>688261.20650000009</v>
      </c>
      <c r="E33" s="415">
        <f t="shared" ref="E33:E38" si="18">D33/$C$32</f>
        <v>412.37939275014986</v>
      </c>
      <c r="F33" s="296"/>
      <c r="G33" s="415"/>
      <c r="H33" s="415"/>
      <c r="I33" s="486"/>
      <c r="J33" s="467">
        <f>H33*$D$29</f>
        <v>0</v>
      </c>
      <c r="K33" s="415">
        <f t="shared" ref="K33:K38" si="19">J33/$C$32</f>
        <v>0</v>
      </c>
      <c r="L33" s="296"/>
      <c r="M33" s="415"/>
      <c r="N33" s="415"/>
      <c r="O33" s="486"/>
      <c r="P33" s="244"/>
    </row>
    <row r="34" spans="1:16" ht="15.75" hidden="1" customHeight="1" x14ac:dyDescent="0.25">
      <c r="A34" s="244"/>
      <c r="B34" s="531">
        <f>B33*1.18</f>
        <v>8.2600000000000007E-2</v>
      </c>
      <c r="C34" s="263"/>
      <c r="D34" s="467">
        <f>$B$34*$D$29</f>
        <v>812148.22367000021</v>
      </c>
      <c r="E34" s="415">
        <f t="shared" si="18"/>
        <v>486.60768344517686</v>
      </c>
      <c r="F34" s="296"/>
      <c r="G34" s="415"/>
      <c r="H34" s="415"/>
      <c r="I34" s="486"/>
      <c r="J34" s="467">
        <f>$B$34*$D$29</f>
        <v>812148.22367000021</v>
      </c>
      <c r="K34" s="415">
        <f t="shared" si="19"/>
        <v>486.60768344517686</v>
      </c>
      <c r="L34" s="296"/>
      <c r="M34" s="415"/>
      <c r="N34" s="415"/>
      <c r="O34" s="486"/>
      <c r="P34" s="244"/>
    </row>
    <row r="35" spans="1:16" ht="15.75" hidden="1" customHeight="1" x14ac:dyDescent="0.25">
      <c r="A35" s="244"/>
      <c r="B35" s="531">
        <v>0.08</v>
      </c>
      <c r="C35" s="263"/>
      <c r="D35" s="467">
        <f>$B$35*$D$29</f>
        <v>786584.23600000015</v>
      </c>
      <c r="E35" s="415">
        <f t="shared" si="18"/>
        <v>471.29073457159984</v>
      </c>
      <c r="F35" s="296"/>
      <c r="G35" s="415"/>
      <c r="H35" s="415"/>
      <c r="I35" s="486"/>
      <c r="J35" s="467">
        <f>$B$35*$D$29</f>
        <v>786584.23600000015</v>
      </c>
      <c r="K35" s="415">
        <f t="shared" si="19"/>
        <v>471.29073457159984</v>
      </c>
      <c r="L35" s="296"/>
      <c r="M35" s="415"/>
      <c r="N35" s="415"/>
      <c r="O35" s="486"/>
      <c r="P35" s="244"/>
    </row>
    <row r="36" spans="1:16" ht="15.75" hidden="1" customHeight="1" x14ac:dyDescent="0.25">
      <c r="A36" s="244"/>
      <c r="B36" s="531">
        <f>B35*1.18</f>
        <v>9.4399999999999998E-2</v>
      </c>
      <c r="C36" s="263"/>
      <c r="D36" s="467">
        <f>$B$36*$D$29</f>
        <v>928169.39848000009</v>
      </c>
      <c r="E36" s="415">
        <f t="shared" si="18"/>
        <v>556.12306679448773</v>
      </c>
      <c r="F36" s="296"/>
      <c r="G36" s="415"/>
      <c r="H36" s="415"/>
      <c r="I36" s="486"/>
      <c r="J36" s="467">
        <f>$B$36*$D$29</f>
        <v>928169.39848000009</v>
      </c>
      <c r="K36" s="415">
        <f t="shared" si="19"/>
        <v>556.12306679448773</v>
      </c>
      <c r="L36" s="296"/>
      <c r="M36" s="415"/>
      <c r="N36" s="415"/>
      <c r="O36" s="486"/>
      <c r="P36" s="244"/>
    </row>
    <row r="37" spans="1:16" ht="15.75" hidden="1" customHeight="1" x14ac:dyDescent="0.25">
      <c r="A37" s="244"/>
      <c r="B37" s="531">
        <v>0.09</v>
      </c>
      <c r="C37" s="263"/>
      <c r="D37" s="467">
        <f>$B$37*$D$29</f>
        <v>884907.2655000001</v>
      </c>
      <c r="E37" s="415">
        <f t="shared" si="18"/>
        <v>530.20207639304977</v>
      </c>
      <c r="F37" s="296"/>
      <c r="G37" s="415"/>
      <c r="H37" s="415"/>
      <c r="I37" s="486"/>
      <c r="J37" s="467">
        <f>$B$37*$D$29</f>
        <v>884907.2655000001</v>
      </c>
      <c r="K37" s="415">
        <f t="shared" si="19"/>
        <v>530.20207639304977</v>
      </c>
      <c r="L37" s="296"/>
      <c r="M37" s="415"/>
      <c r="N37" s="415"/>
      <c r="O37" s="486"/>
      <c r="P37" s="244"/>
    </row>
    <row r="38" spans="1:16" ht="15.75" hidden="1" customHeight="1" x14ac:dyDescent="0.25">
      <c r="A38" s="244"/>
      <c r="B38" s="532">
        <f>B37*1.18</f>
        <v>0.10619999999999999</v>
      </c>
      <c r="C38" s="263"/>
      <c r="D38" s="467">
        <f>$B$38*$D$29</f>
        <v>1044190.57329</v>
      </c>
      <c r="E38" s="415">
        <f t="shared" si="18"/>
        <v>625.63845014379865</v>
      </c>
      <c r="F38" s="296"/>
      <c r="G38" s="415"/>
      <c r="H38" s="415"/>
      <c r="I38" s="486"/>
      <c r="J38" s="467">
        <f>$B$38*$D$29</f>
        <v>1044190.57329</v>
      </c>
      <c r="K38" s="415">
        <f t="shared" si="19"/>
        <v>625.63845014379865</v>
      </c>
      <c r="L38" s="296"/>
      <c r="M38" s="415"/>
      <c r="N38" s="415"/>
      <c r="O38" s="486"/>
      <c r="P38" s="244"/>
    </row>
    <row r="39" spans="1:16" ht="15.75" hidden="1" customHeight="1" x14ac:dyDescent="0.25">
      <c r="A39" s="244"/>
      <c r="B39" s="263"/>
      <c r="C39" s="263"/>
      <c r="D39" s="467"/>
      <c r="E39" s="332"/>
      <c r="F39" s="296"/>
      <c r="G39" s="415"/>
      <c r="H39" s="415"/>
      <c r="I39" s="486"/>
      <c r="J39" s="467"/>
      <c r="K39" s="332"/>
      <c r="L39" s="296"/>
      <c r="M39" s="415"/>
      <c r="N39" s="415"/>
      <c r="O39" s="486"/>
      <c r="P39" s="246"/>
    </row>
    <row r="40" spans="1:16" ht="15.75" hidden="1" customHeight="1" x14ac:dyDescent="0.25">
      <c r="A40" s="244"/>
      <c r="B40" s="267"/>
      <c r="C40" s="267"/>
      <c r="D40" s="467"/>
      <c r="E40" s="313"/>
      <c r="F40" s="296"/>
      <c r="G40" s="313"/>
      <c r="H40" s="313"/>
      <c r="I40" s="271"/>
      <c r="J40" s="467"/>
      <c r="K40" s="313"/>
      <c r="L40" s="296"/>
      <c r="M40" s="313"/>
      <c r="N40" s="313"/>
      <c r="O40" s="271"/>
      <c r="P40" s="244"/>
    </row>
    <row r="41" spans="1:16" ht="15.75" customHeight="1" x14ac:dyDescent="0.25">
      <c r="A41" s="244"/>
      <c r="B41" s="272" t="s">
        <v>186</v>
      </c>
      <c r="C41" s="263"/>
      <c r="D41" s="467"/>
      <c r="E41" s="313"/>
      <c r="F41" s="296"/>
      <c r="G41" s="313"/>
      <c r="H41" s="313"/>
      <c r="I41" s="271"/>
      <c r="J41" s="467"/>
      <c r="K41" s="313"/>
      <c r="L41" s="296"/>
      <c r="M41" s="313"/>
      <c r="N41" s="313"/>
      <c r="O41" s="271"/>
      <c r="P41" s="244"/>
    </row>
    <row r="42" spans="1:16" ht="15.75" customHeight="1" x14ac:dyDescent="0.25">
      <c r="A42" s="244"/>
      <c r="B42" s="533" t="s">
        <v>28</v>
      </c>
      <c r="C42" s="263"/>
      <c r="D42" s="467"/>
      <c r="E42" s="313"/>
      <c r="F42" s="296"/>
      <c r="G42" s="313"/>
      <c r="H42" s="313"/>
      <c r="I42" s="271"/>
      <c r="J42" s="467"/>
      <c r="K42" s="313"/>
      <c r="L42" s="296"/>
      <c r="M42" s="313"/>
      <c r="N42" s="313"/>
      <c r="O42" s="271"/>
      <c r="P42" s="244"/>
    </row>
    <row r="43" spans="1:16" ht="15.75" customHeight="1" x14ac:dyDescent="0.25">
      <c r="A43" s="244"/>
      <c r="B43" s="263"/>
      <c r="C43" s="534" t="s">
        <v>187</v>
      </c>
      <c r="D43" s="467"/>
      <c r="E43" s="313"/>
      <c r="F43" s="296"/>
      <c r="G43" s="313"/>
      <c r="H43" s="313"/>
      <c r="I43" s="271"/>
      <c r="J43" s="467"/>
      <c r="K43" s="313"/>
      <c r="L43" s="296"/>
      <c r="M43" s="313"/>
      <c r="N43" s="313"/>
      <c r="O43" s="271"/>
      <c r="P43" s="244"/>
    </row>
    <row r="44" spans="1:16" ht="15.75" customHeight="1" x14ac:dyDescent="0.25">
      <c r="A44" s="244"/>
      <c r="B44" s="263"/>
      <c r="C44" s="263" t="s">
        <v>188</v>
      </c>
      <c r="D44" s="467">
        <f>'MSBC CK Allocation'!C33</f>
        <v>733534.75999261474</v>
      </c>
      <c r="E44" s="332">
        <f>D44/D26</f>
        <v>8.9438310920987835E-2</v>
      </c>
      <c r="F44" s="296"/>
      <c r="G44" s="332">
        <v>0.02</v>
      </c>
      <c r="H44" s="296">
        <f t="shared" ref="H44:H46" si="20">D44-F44</f>
        <v>733534.75999261474</v>
      </c>
      <c r="I44" s="336" t="e">
        <f t="shared" ref="I44:I46" si="21">H44/F44</f>
        <v>#DIV/0!</v>
      </c>
      <c r="J44" s="467">
        <f>'MSBC CK Allocation'!D33</f>
        <v>729627.04752572451</v>
      </c>
      <c r="K44" s="332">
        <f>J44/J26</f>
        <v>8.9098256435904452E-2</v>
      </c>
      <c r="L44" s="296"/>
      <c r="M44" s="332">
        <v>0.02</v>
      </c>
      <c r="N44" s="296">
        <f t="shared" ref="N44:N46" si="22">J44-L44</f>
        <v>729627.04752572451</v>
      </c>
      <c r="O44" s="336" t="e">
        <f t="shared" ref="O44:O46" si="23">N44/L44</f>
        <v>#DIV/0!</v>
      </c>
      <c r="P44" s="244"/>
    </row>
    <row r="45" spans="1:16" ht="15.75" customHeight="1" x14ac:dyDescent="0.25">
      <c r="A45" s="244"/>
      <c r="B45" s="263"/>
      <c r="C45" s="263" t="s">
        <v>189</v>
      </c>
      <c r="D45" s="467">
        <v>2202700.4951088182</v>
      </c>
      <c r="E45" s="332">
        <v>0.25569999999999998</v>
      </c>
      <c r="F45" s="296"/>
      <c r="G45" s="332">
        <v>0.23050000000000001</v>
      </c>
      <c r="H45" s="296">
        <f t="shared" si="20"/>
        <v>2202700.4951088182</v>
      </c>
      <c r="I45" s="336" t="e">
        <f t="shared" si="21"/>
        <v>#DIV/0!</v>
      </c>
      <c r="J45" s="467">
        <f>(2148797.89)+311898.62</f>
        <v>2460696.5100000002</v>
      </c>
      <c r="K45" s="332">
        <v>0.25569999999999998</v>
      </c>
      <c r="L45" s="296"/>
      <c r="M45" s="332">
        <v>0.23050000000000001</v>
      </c>
      <c r="N45" s="296">
        <f t="shared" si="22"/>
        <v>2460696.5100000002</v>
      </c>
      <c r="O45" s="336" t="e">
        <f t="shared" si="23"/>
        <v>#DIV/0!</v>
      </c>
      <c r="P45" s="244"/>
    </row>
    <row r="46" spans="1:16" ht="15.75" customHeight="1" x14ac:dyDescent="0.25">
      <c r="A46" s="244"/>
      <c r="B46" s="263"/>
      <c r="C46" s="263" t="s">
        <v>21</v>
      </c>
      <c r="D46" s="467">
        <v>273527.35536036384</v>
      </c>
      <c r="E46" s="332">
        <v>0.17960000000000001</v>
      </c>
      <c r="F46" s="296"/>
      <c r="G46" s="332">
        <v>0.1363</v>
      </c>
      <c r="H46" s="296">
        <f t="shared" si="20"/>
        <v>273527.35536036384</v>
      </c>
      <c r="I46" s="336" t="e">
        <f t="shared" si="21"/>
        <v>#DIV/0!</v>
      </c>
      <c r="J46" s="467">
        <f>(150432.01)+174121.8</f>
        <v>324553.81</v>
      </c>
      <c r="K46" s="332">
        <v>0.17960000000000001</v>
      </c>
      <c r="L46" s="296"/>
      <c r="M46" s="332">
        <v>0.1363</v>
      </c>
      <c r="N46" s="296">
        <f t="shared" si="22"/>
        <v>324553.81</v>
      </c>
      <c r="O46" s="336" t="e">
        <f t="shared" si="23"/>
        <v>#DIV/0!</v>
      </c>
      <c r="P46" s="244"/>
    </row>
    <row r="47" spans="1:16" ht="15.75" hidden="1" customHeight="1" x14ac:dyDescent="0.25">
      <c r="A47" s="244"/>
      <c r="B47" s="263"/>
      <c r="C47" s="263" t="s">
        <v>22</v>
      </c>
      <c r="D47" s="467"/>
      <c r="E47" s="313"/>
      <c r="F47" s="296"/>
      <c r="G47" s="332"/>
      <c r="H47" s="296"/>
      <c r="I47" s="336"/>
      <c r="J47" s="467"/>
      <c r="K47" s="313"/>
      <c r="L47" s="296"/>
      <c r="M47" s="332"/>
      <c r="N47" s="296"/>
      <c r="O47" s="336"/>
      <c r="P47" s="244"/>
    </row>
    <row r="48" spans="1:16" ht="15.75" customHeight="1" x14ac:dyDescent="0.25">
      <c r="A48" s="535"/>
      <c r="B48" s="274"/>
      <c r="C48" s="274" t="s">
        <v>190</v>
      </c>
      <c r="D48" s="468">
        <f>'Calculation Sheet for GST on Pu'!C24</f>
        <v>104094.54622060107</v>
      </c>
      <c r="E48" s="337">
        <f>D48/SUM(D44:D47)</f>
        <v>3.2430605890080053E-2</v>
      </c>
      <c r="F48" s="317"/>
      <c r="G48" s="337" t="e">
        <f>F48/SUM(F44:F46)</f>
        <v>#DIV/0!</v>
      </c>
      <c r="H48" s="317">
        <f>D48-F48</f>
        <v>104094.54622060107</v>
      </c>
      <c r="I48" s="338" t="e">
        <f>H48/F48</f>
        <v>#DIV/0!</v>
      </c>
      <c r="J48" s="468">
        <f>'Calculation Sheet for GST on Pu'!D24</f>
        <v>114555.56648103501</v>
      </c>
      <c r="K48" s="332">
        <f>J48/SUM(J44:J47)</f>
        <v>3.2591625397638171E-2</v>
      </c>
      <c r="L48" s="296"/>
      <c r="M48" s="332" t="e">
        <f>L48/SUM(L44:L46)</f>
        <v>#DIV/0!</v>
      </c>
      <c r="N48" s="296">
        <f>J48-L48</f>
        <v>114555.56648103501</v>
      </c>
      <c r="O48" s="336" t="e">
        <f>N48/L48</f>
        <v>#DIV/0!</v>
      </c>
      <c r="P48" s="244"/>
    </row>
    <row r="49" spans="1:16" ht="15.75" customHeight="1" x14ac:dyDescent="0.25">
      <c r="A49" s="244"/>
      <c r="B49" s="279"/>
      <c r="C49" s="279" t="s">
        <v>191</v>
      </c>
      <c r="D49" s="489">
        <f>SUM(D44:D48)</f>
        <v>3313857.1566823977</v>
      </c>
      <c r="E49" s="490">
        <f t="shared" ref="E49:E52" si="24">D49/D$29</f>
        <v>0.33703773912727103</v>
      </c>
      <c r="F49" s="536"/>
      <c r="G49" s="537" t="e">
        <f>F49/F$29</f>
        <v>#DIV/0!</v>
      </c>
      <c r="H49" s="536">
        <f>SUM(H44:H48)</f>
        <v>3313857.1566823977</v>
      </c>
      <c r="I49" s="504"/>
      <c r="J49" s="489">
        <f>SUM(J44:J48)</f>
        <v>3629432.9340067599</v>
      </c>
      <c r="K49" s="505">
        <f t="shared" ref="K49:K52" si="25">J49/J$29</f>
        <v>0.3897019016888067</v>
      </c>
      <c r="L49" s="296"/>
      <c r="M49" s="332" t="e">
        <f>L49/L$29</f>
        <v>#DIV/0!</v>
      </c>
      <c r="N49" s="296">
        <f>SUM(N44:N48)</f>
        <v>3629432.9340067599</v>
      </c>
      <c r="O49" s="271"/>
      <c r="P49" s="246"/>
    </row>
    <row r="50" spans="1:16" ht="15.75" customHeight="1" x14ac:dyDescent="0.25">
      <c r="A50" s="244"/>
      <c r="B50" s="300"/>
      <c r="C50" s="300" t="s">
        <v>192</v>
      </c>
      <c r="D50" s="252">
        <v>213063</v>
      </c>
      <c r="E50" s="356">
        <f t="shared" si="24"/>
        <v>2.1669694382230154E-2</v>
      </c>
      <c r="F50" s="357"/>
      <c r="G50" s="356">
        <v>1.0200000000000001E-2</v>
      </c>
      <c r="H50" s="357">
        <f>D50-F50</f>
        <v>213063</v>
      </c>
      <c r="I50" s="358" t="e">
        <f>H50/F50</f>
        <v>#DIV/0!</v>
      </c>
      <c r="J50" s="252">
        <v>229061</v>
      </c>
      <c r="K50" s="337">
        <f t="shared" si="25"/>
        <v>2.4594890972181139E-2</v>
      </c>
      <c r="L50" s="317"/>
      <c r="M50" s="337">
        <v>1.0200000000000001E-2</v>
      </c>
      <c r="N50" s="317">
        <f>J50-L50</f>
        <v>229061</v>
      </c>
      <c r="O50" s="338" t="e">
        <f>N50/L50</f>
        <v>#DIV/0!</v>
      </c>
      <c r="P50" s="244"/>
    </row>
    <row r="51" spans="1:16" ht="15.75" customHeight="1" x14ac:dyDescent="0.25">
      <c r="A51" s="244"/>
      <c r="B51" s="278"/>
      <c r="C51" s="278" t="s">
        <v>193</v>
      </c>
      <c r="D51" s="485">
        <f>D49+D50</f>
        <v>3526920.1566823977</v>
      </c>
      <c r="E51" s="321">
        <f t="shared" si="24"/>
        <v>0.35870743350950118</v>
      </c>
      <c r="F51" s="322">
        <f>F49+F50</f>
        <v>0</v>
      </c>
      <c r="G51" s="321" t="e">
        <f t="shared" ref="G51:G52" si="26">F51/F$29</f>
        <v>#DIV/0!</v>
      </c>
      <c r="H51" s="411">
        <f>H49+H50</f>
        <v>3526920.1566823977</v>
      </c>
      <c r="I51" s="349"/>
      <c r="J51" s="485">
        <f>J49+J50</f>
        <v>3858493.9340067599</v>
      </c>
      <c r="K51" s="321">
        <f t="shared" si="25"/>
        <v>0.41429679266098784</v>
      </c>
      <c r="L51" s="322">
        <f>L49+L50</f>
        <v>0</v>
      </c>
      <c r="M51" s="321" t="e">
        <f t="shared" ref="M51:M52" si="27">L51/L$29</f>
        <v>#DIV/0!</v>
      </c>
      <c r="N51" s="411">
        <f>N49+N50</f>
        <v>3858493.9340067599</v>
      </c>
      <c r="O51" s="349"/>
      <c r="P51" s="246"/>
    </row>
    <row r="52" spans="1:16" ht="15.75" customHeight="1" x14ac:dyDescent="0.25">
      <c r="A52" s="244"/>
      <c r="B52" s="538" t="s">
        <v>32</v>
      </c>
      <c r="C52" s="539" t="s">
        <v>32</v>
      </c>
      <c r="D52" s="485">
        <f>D29-D51</f>
        <v>6305382.7933176029</v>
      </c>
      <c r="E52" s="321">
        <f t="shared" si="24"/>
        <v>0.64129256649049882</v>
      </c>
      <c r="F52" s="322" t="e">
        <f>F29-F51-#REF!</f>
        <v>#REF!</v>
      </c>
      <c r="G52" s="321" t="e">
        <f t="shared" si="26"/>
        <v>#REF!</v>
      </c>
      <c r="H52" s="411" t="e">
        <f>H29-H51-#REF!</f>
        <v>#REF!</v>
      </c>
      <c r="I52" s="323" t="e">
        <f>H52/H$29</f>
        <v>#REF!</v>
      </c>
      <c r="J52" s="485">
        <f>J29-J51</f>
        <v>5454863.0659932401</v>
      </c>
      <c r="K52" s="321">
        <f t="shared" si="25"/>
        <v>0.58570320733901216</v>
      </c>
      <c r="L52" s="322" t="e">
        <f>L29-L51-#REF!</f>
        <v>#REF!</v>
      </c>
      <c r="M52" s="321" t="e">
        <f t="shared" si="27"/>
        <v>#REF!</v>
      </c>
      <c r="N52" s="411" t="e">
        <f>N29-N51-#REF!</f>
        <v>#REF!</v>
      </c>
      <c r="O52" s="323" t="e">
        <f>N52/N$29</f>
        <v>#REF!</v>
      </c>
      <c r="P52" s="244"/>
    </row>
    <row r="53" spans="1:16" ht="15.75" customHeight="1" x14ac:dyDescent="0.25">
      <c r="A53" s="244"/>
      <c r="B53" s="282"/>
      <c r="C53" s="282"/>
      <c r="D53" s="466"/>
      <c r="E53" s="372"/>
      <c r="F53" s="327"/>
      <c r="G53" s="372"/>
      <c r="H53" s="372"/>
      <c r="I53" s="373"/>
      <c r="J53" s="466"/>
      <c r="K53" s="372"/>
      <c r="L53" s="327"/>
      <c r="M53" s="372"/>
      <c r="N53" s="372"/>
      <c r="O53" s="373"/>
      <c r="P53" s="244"/>
    </row>
    <row r="54" spans="1:16" ht="15.75" customHeight="1" x14ac:dyDescent="0.25">
      <c r="A54" s="244"/>
      <c r="B54" s="263"/>
      <c r="C54" s="540" t="s">
        <v>194</v>
      </c>
      <c r="D54" s="467"/>
      <c r="E54" s="313"/>
      <c r="F54" s="296"/>
      <c r="G54" s="313"/>
      <c r="H54" s="313"/>
      <c r="I54" s="271"/>
      <c r="J54" s="467"/>
      <c r="K54" s="313"/>
      <c r="L54" s="296"/>
      <c r="M54" s="313"/>
      <c r="N54" s="313"/>
      <c r="O54" s="271"/>
      <c r="P54" s="244"/>
    </row>
    <row r="55" spans="1:16" ht="15.75" customHeight="1" x14ac:dyDescent="0.25">
      <c r="A55" s="244"/>
      <c r="B55" s="263"/>
      <c r="C55" s="263" t="s">
        <v>195</v>
      </c>
      <c r="D55" s="265">
        <v>69749.66</v>
      </c>
      <c r="E55" s="332">
        <f t="shared" ref="E55:E61" si="28">D55/D$29</f>
        <v>7.0939290982688849E-3</v>
      </c>
      <c r="F55" s="296">
        <f t="shared" ref="F55:F59" si="29">G55*F$29</f>
        <v>0</v>
      </c>
      <c r="G55" s="332"/>
      <c r="H55" s="415">
        <f t="shared" ref="H55:H60" si="30">D55-F55</f>
        <v>69749.66</v>
      </c>
      <c r="I55" s="336" t="e">
        <f t="shared" ref="I55:I59" si="31">H55/F55</f>
        <v>#DIV/0!</v>
      </c>
      <c r="J55" s="265">
        <v>64314</v>
      </c>
      <c r="K55" s="332">
        <f t="shared" ref="K55:K61" si="32">J55/J$29</f>
        <v>6.9055658448398359E-3</v>
      </c>
      <c r="L55" s="296">
        <f t="shared" ref="L55:L59" si="33">M55*L$29</f>
        <v>0</v>
      </c>
      <c r="M55" s="332"/>
      <c r="N55" s="415">
        <f t="shared" ref="N55:N60" si="34">J55-L55</f>
        <v>64314</v>
      </c>
      <c r="O55" s="336" t="e">
        <f t="shared" ref="O55:O59" si="35">N55/L55</f>
        <v>#DIV/0!</v>
      </c>
      <c r="P55" s="244"/>
    </row>
    <row r="56" spans="1:16" ht="15.75" customHeight="1" x14ac:dyDescent="0.25">
      <c r="A56" s="244"/>
      <c r="B56" s="263"/>
      <c r="C56" s="263" t="s">
        <v>196</v>
      </c>
      <c r="D56" s="265">
        <v>87886.930000000008</v>
      </c>
      <c r="E56" s="332">
        <f t="shared" si="28"/>
        <v>8.9385905262408544E-3</v>
      </c>
      <c r="F56" s="296">
        <f t="shared" si="29"/>
        <v>0</v>
      </c>
      <c r="G56" s="332"/>
      <c r="H56" s="415">
        <f t="shared" si="30"/>
        <v>87886.930000000008</v>
      </c>
      <c r="I56" s="336" t="e">
        <f t="shared" si="31"/>
        <v>#DIV/0!</v>
      </c>
      <c r="J56" s="265">
        <v>133261</v>
      </c>
      <c r="K56" s="332">
        <f t="shared" si="32"/>
        <v>1.4308589265932788E-2</v>
      </c>
      <c r="L56" s="296">
        <f t="shared" si="33"/>
        <v>0</v>
      </c>
      <c r="M56" s="332"/>
      <c r="N56" s="415">
        <f t="shared" si="34"/>
        <v>133261</v>
      </c>
      <c r="O56" s="336" t="e">
        <f t="shared" si="35"/>
        <v>#DIV/0!</v>
      </c>
      <c r="P56" s="244"/>
    </row>
    <row r="57" spans="1:16" ht="15.75" customHeight="1" x14ac:dyDescent="0.25">
      <c r="A57" s="244"/>
      <c r="B57" s="263"/>
      <c r="C57" s="263" t="s">
        <v>266</v>
      </c>
      <c r="D57" s="265">
        <v>0</v>
      </c>
      <c r="E57" s="332">
        <f t="shared" si="28"/>
        <v>0</v>
      </c>
      <c r="F57" s="296">
        <f t="shared" si="29"/>
        <v>0</v>
      </c>
      <c r="G57" s="332"/>
      <c r="H57" s="529">
        <f t="shared" si="30"/>
        <v>0</v>
      </c>
      <c r="I57" s="336" t="e">
        <f t="shared" si="31"/>
        <v>#DIV/0!</v>
      </c>
      <c r="J57" s="265">
        <v>0</v>
      </c>
      <c r="K57" s="332">
        <f t="shared" si="32"/>
        <v>0</v>
      </c>
      <c r="L57" s="296">
        <f t="shared" si="33"/>
        <v>0</v>
      </c>
      <c r="M57" s="332"/>
      <c r="N57" s="529">
        <f t="shared" si="34"/>
        <v>0</v>
      </c>
      <c r="O57" s="336" t="e">
        <f t="shared" si="35"/>
        <v>#DIV/0!</v>
      </c>
      <c r="P57" s="244"/>
    </row>
    <row r="58" spans="1:16" ht="15.75" customHeight="1" x14ac:dyDescent="0.25">
      <c r="A58" s="244"/>
      <c r="B58" s="263"/>
      <c r="C58" s="263" t="s">
        <v>197</v>
      </c>
      <c r="D58" s="265">
        <v>37665</v>
      </c>
      <c r="E58" s="332">
        <f t="shared" si="28"/>
        <v>3.8307403862082989E-3</v>
      </c>
      <c r="F58" s="296">
        <f t="shared" si="29"/>
        <v>0</v>
      </c>
      <c r="G58" s="332"/>
      <c r="H58" s="415">
        <f t="shared" si="30"/>
        <v>37665</v>
      </c>
      <c r="I58" s="336" t="e">
        <f t="shared" si="31"/>
        <v>#DIV/0!</v>
      </c>
      <c r="J58" s="265">
        <v>16391</v>
      </c>
      <c r="K58" s="332">
        <f t="shared" si="32"/>
        <v>1.7599454203248088E-3</v>
      </c>
      <c r="L58" s="296">
        <f t="shared" si="33"/>
        <v>0</v>
      </c>
      <c r="M58" s="332"/>
      <c r="N58" s="415">
        <f t="shared" si="34"/>
        <v>16391</v>
      </c>
      <c r="O58" s="336" t="e">
        <f t="shared" si="35"/>
        <v>#DIV/0!</v>
      </c>
      <c r="P58" s="244"/>
    </row>
    <row r="59" spans="1:16" ht="15.75" customHeight="1" x14ac:dyDescent="0.25">
      <c r="A59" s="244"/>
      <c r="B59" s="263"/>
      <c r="C59" s="263" t="s">
        <v>198</v>
      </c>
      <c r="D59" s="265">
        <v>32569.9</v>
      </c>
      <c r="E59" s="332">
        <f t="shared" si="28"/>
        <v>3.3125403240346655E-3</v>
      </c>
      <c r="F59" s="296">
        <f t="shared" si="29"/>
        <v>0</v>
      </c>
      <c r="G59" s="332"/>
      <c r="H59" s="415">
        <f t="shared" si="30"/>
        <v>32569.9</v>
      </c>
      <c r="I59" s="336" t="e">
        <f t="shared" si="31"/>
        <v>#DIV/0!</v>
      </c>
      <c r="J59" s="265">
        <v>33076</v>
      </c>
      <c r="K59" s="332">
        <f t="shared" si="32"/>
        <v>3.551458405384868E-3</v>
      </c>
      <c r="L59" s="296">
        <f t="shared" si="33"/>
        <v>0</v>
      </c>
      <c r="M59" s="332"/>
      <c r="N59" s="415">
        <f t="shared" si="34"/>
        <v>33076</v>
      </c>
      <c r="O59" s="336" t="e">
        <f t="shared" si="35"/>
        <v>#DIV/0!</v>
      </c>
      <c r="P59" s="244"/>
    </row>
    <row r="60" spans="1:16" ht="15.75" customHeight="1" x14ac:dyDescent="0.25">
      <c r="A60" s="244"/>
      <c r="B60" s="274"/>
      <c r="C60" s="274" t="s">
        <v>199</v>
      </c>
      <c r="D60" s="276">
        <v>1616.3333333333333</v>
      </c>
      <c r="E60" s="337">
        <f t="shared" si="28"/>
        <v>1.6439010693149289E-4</v>
      </c>
      <c r="F60" s="317"/>
      <c r="G60" s="337"/>
      <c r="H60" s="469">
        <f t="shared" si="30"/>
        <v>1616.3333333333333</v>
      </c>
      <c r="I60" s="338"/>
      <c r="J60" s="276">
        <v>6675</v>
      </c>
      <c r="K60" s="337">
        <f t="shared" si="32"/>
        <v>7.1671256669319128E-4</v>
      </c>
      <c r="L60" s="317"/>
      <c r="M60" s="337"/>
      <c r="N60" s="469">
        <f t="shared" si="34"/>
        <v>6675</v>
      </c>
      <c r="O60" s="338"/>
      <c r="P60" s="244"/>
    </row>
    <row r="61" spans="1:16" ht="15.75" customHeight="1" x14ac:dyDescent="0.25">
      <c r="A61" s="244"/>
      <c r="B61" s="279"/>
      <c r="C61" s="278" t="s">
        <v>200</v>
      </c>
      <c r="D61" s="257">
        <f>SUM(D55:D60)</f>
        <v>229487.82333333336</v>
      </c>
      <c r="E61" s="321">
        <f t="shared" si="28"/>
        <v>2.3340190441684196E-2</v>
      </c>
      <c r="F61" s="322">
        <f>SUM(F55:F60)</f>
        <v>0</v>
      </c>
      <c r="G61" s="321" t="e">
        <f>F61/F$29</f>
        <v>#DIV/0!</v>
      </c>
      <c r="H61" s="411">
        <f>SUM(H55:H60)</f>
        <v>229487.82333333336</v>
      </c>
      <c r="I61" s="349"/>
      <c r="J61" s="257">
        <f>SUM(J55:J60)</f>
        <v>253717</v>
      </c>
      <c r="K61" s="321">
        <f t="shared" si="32"/>
        <v>2.7242271503175493E-2</v>
      </c>
      <c r="L61" s="322">
        <f>SUM(L55:L60)</f>
        <v>0</v>
      </c>
      <c r="M61" s="321" t="e">
        <f>L61/L$29</f>
        <v>#DIV/0!</v>
      </c>
      <c r="N61" s="411">
        <f>SUM(N55:N60)</f>
        <v>253717</v>
      </c>
      <c r="O61" s="349"/>
      <c r="P61" s="246"/>
    </row>
    <row r="62" spans="1:16" ht="15.75" hidden="1" customHeight="1" x14ac:dyDescent="0.25">
      <c r="A62" s="244"/>
      <c r="B62" s="282"/>
      <c r="C62" s="282"/>
      <c r="D62" s="261"/>
      <c r="E62" s="372"/>
      <c r="F62" s="327"/>
      <c r="G62" s="372"/>
      <c r="H62" s="372"/>
      <c r="I62" s="373"/>
      <c r="J62" s="261"/>
      <c r="K62" s="372"/>
      <c r="L62" s="327"/>
      <c r="M62" s="372"/>
      <c r="N62" s="372"/>
      <c r="O62" s="373"/>
      <c r="P62" s="244"/>
    </row>
    <row r="63" spans="1:16" ht="15.75" hidden="1" customHeight="1" x14ac:dyDescent="0.25">
      <c r="A63" s="244"/>
      <c r="B63" s="263"/>
      <c r="C63" s="263"/>
      <c r="D63" s="265"/>
      <c r="E63" s="332"/>
      <c r="F63" s="296"/>
      <c r="G63" s="415"/>
      <c r="H63" s="415"/>
      <c r="I63" s="486"/>
      <c r="J63" s="265"/>
      <c r="K63" s="332"/>
      <c r="L63" s="296"/>
      <c r="M63" s="415"/>
      <c r="N63" s="415"/>
      <c r="O63" s="486"/>
      <c r="P63" s="244"/>
    </row>
    <row r="64" spans="1:16" ht="15.75" hidden="1" customHeight="1" x14ac:dyDescent="0.25">
      <c r="A64" s="244"/>
      <c r="B64" s="263"/>
      <c r="C64" s="263"/>
      <c r="D64" s="265"/>
      <c r="E64" s="332"/>
      <c r="F64" s="296"/>
      <c r="G64" s="415"/>
      <c r="H64" s="415"/>
      <c r="I64" s="486"/>
      <c r="J64" s="265"/>
      <c r="K64" s="332"/>
      <c r="L64" s="296"/>
      <c r="M64" s="415"/>
      <c r="N64" s="415"/>
      <c r="O64" s="486"/>
      <c r="P64" s="244"/>
    </row>
    <row r="65" spans="1:16" ht="15.75" hidden="1" customHeight="1" x14ac:dyDescent="0.25">
      <c r="A65" s="244"/>
      <c r="B65" s="263"/>
      <c r="C65" s="263"/>
      <c r="D65" s="265"/>
      <c r="E65" s="332"/>
      <c r="F65" s="296"/>
      <c r="G65" s="415"/>
      <c r="H65" s="415"/>
      <c r="I65" s="486"/>
      <c r="J65" s="265"/>
      <c r="K65" s="332"/>
      <c r="L65" s="296"/>
      <c r="M65" s="415"/>
      <c r="N65" s="415"/>
      <c r="O65" s="486"/>
      <c r="P65" s="244"/>
    </row>
    <row r="66" spans="1:16" ht="15.75" hidden="1" customHeight="1" x14ac:dyDescent="0.25">
      <c r="A66" s="244"/>
      <c r="B66" s="263"/>
      <c r="C66" s="263"/>
      <c r="D66" s="265"/>
      <c r="E66" s="332"/>
      <c r="F66" s="296"/>
      <c r="G66" s="415"/>
      <c r="H66" s="415"/>
      <c r="I66" s="486"/>
      <c r="J66" s="265"/>
      <c r="K66" s="332"/>
      <c r="L66" s="296"/>
      <c r="M66" s="415"/>
      <c r="N66" s="415"/>
      <c r="O66" s="486"/>
      <c r="P66" s="244"/>
    </row>
    <row r="67" spans="1:16" ht="15.75" hidden="1" customHeight="1" x14ac:dyDescent="0.25">
      <c r="A67" s="244"/>
      <c r="B67" s="263"/>
      <c r="C67" s="263"/>
      <c r="D67" s="265"/>
      <c r="E67" s="332"/>
      <c r="F67" s="296"/>
      <c r="G67" s="415"/>
      <c r="H67" s="415"/>
      <c r="I67" s="486"/>
      <c r="J67" s="265"/>
      <c r="K67" s="332"/>
      <c r="L67" s="296"/>
      <c r="M67" s="415"/>
      <c r="N67" s="415"/>
      <c r="O67" s="486"/>
      <c r="P67" s="244"/>
    </row>
    <row r="68" spans="1:16" ht="15.75" hidden="1" customHeight="1" x14ac:dyDescent="0.25">
      <c r="A68" s="244"/>
      <c r="B68" s="263"/>
      <c r="C68" s="263"/>
      <c r="D68" s="265"/>
      <c r="E68" s="332"/>
      <c r="F68" s="296"/>
      <c r="G68" s="415"/>
      <c r="H68" s="415"/>
      <c r="I68" s="486"/>
      <c r="J68" s="265"/>
      <c r="K68" s="332"/>
      <c r="L68" s="296"/>
      <c r="M68" s="415"/>
      <c r="N68" s="415"/>
      <c r="O68" s="486"/>
      <c r="P68" s="244"/>
    </row>
    <row r="69" spans="1:16" ht="15.75" customHeight="1" x14ac:dyDescent="0.25">
      <c r="A69" s="244"/>
      <c r="B69" s="263"/>
      <c r="C69" s="263"/>
      <c r="D69" s="265"/>
      <c r="E69" s="313"/>
      <c r="F69" s="296"/>
      <c r="G69" s="313"/>
      <c r="H69" s="313"/>
      <c r="I69" s="271"/>
      <c r="J69" s="265"/>
      <c r="K69" s="313"/>
      <c r="L69" s="296"/>
      <c r="M69" s="313"/>
      <c r="N69" s="313"/>
      <c r="O69" s="271"/>
      <c r="P69" s="244"/>
    </row>
    <row r="70" spans="1:16" ht="15.75" customHeight="1" x14ac:dyDescent="0.25">
      <c r="A70" s="244"/>
      <c r="B70" s="263"/>
      <c r="C70" s="263"/>
      <c r="D70" s="265"/>
      <c r="E70" s="332"/>
      <c r="F70" s="296"/>
      <c r="G70" s="332"/>
      <c r="H70" s="313"/>
      <c r="I70" s="336"/>
      <c r="J70" s="265"/>
      <c r="K70" s="332"/>
      <c r="L70" s="296"/>
      <c r="M70" s="332"/>
      <c r="N70" s="313"/>
      <c r="O70" s="336"/>
      <c r="P70" s="244"/>
    </row>
    <row r="71" spans="1:16" ht="15.75" customHeight="1" x14ac:dyDescent="0.25">
      <c r="A71" s="244"/>
      <c r="B71" s="274"/>
      <c r="C71" s="274"/>
      <c r="D71" s="276"/>
      <c r="E71" s="316"/>
      <c r="F71" s="317"/>
      <c r="G71" s="316"/>
      <c r="H71" s="316"/>
      <c r="I71" s="318"/>
      <c r="J71" s="276"/>
      <c r="K71" s="316"/>
      <c r="L71" s="317"/>
      <c r="M71" s="316"/>
      <c r="N71" s="316"/>
      <c r="O71" s="318"/>
      <c r="P71" s="244"/>
    </row>
    <row r="72" spans="1:16" ht="15.75" customHeight="1" x14ac:dyDescent="0.25">
      <c r="A72" s="244"/>
      <c r="B72" s="278"/>
      <c r="C72" s="501" t="s">
        <v>205</v>
      </c>
      <c r="D72" s="257">
        <f>SUM(D73:D83)</f>
        <v>98796.500000000015</v>
      </c>
      <c r="E72" s="321">
        <f t="shared" ref="E72:E82" si="36">D72/D$29</f>
        <v>1.0048154588239168E-2</v>
      </c>
      <c r="F72" s="322">
        <f>SUM(F73:F83)</f>
        <v>0</v>
      </c>
      <c r="G72" s="321" t="e">
        <f t="shared" ref="G72:G77" si="37">F72/F$29</f>
        <v>#DIV/0!</v>
      </c>
      <c r="H72" s="322">
        <f>SUM(H73:H83)</f>
        <v>98796.500000000015</v>
      </c>
      <c r="I72" s="349"/>
      <c r="J72" s="257">
        <f>SUM(J73:J83)</f>
        <v>116275</v>
      </c>
      <c r="K72" s="321">
        <f t="shared" ref="K72:K82" si="38">J72/J$29</f>
        <v>1.2484757107453306E-2</v>
      </c>
      <c r="L72" s="322">
        <f>SUM(L73:L83)</f>
        <v>0</v>
      </c>
      <c r="M72" s="321" t="e">
        <f t="shared" ref="M72:M77" si="39">L72/L$29</f>
        <v>#DIV/0!</v>
      </c>
      <c r="N72" s="322">
        <f>SUM(N73:N83)</f>
        <v>116275</v>
      </c>
      <c r="O72" s="349"/>
      <c r="P72" s="246"/>
    </row>
    <row r="73" spans="1:16" ht="15.75" customHeight="1" x14ac:dyDescent="0.25">
      <c r="A73" s="244"/>
      <c r="B73" s="282"/>
      <c r="C73" s="282" t="s">
        <v>268</v>
      </c>
      <c r="D73" s="261">
        <v>0</v>
      </c>
      <c r="E73" s="326">
        <f t="shared" si="36"/>
        <v>0</v>
      </c>
      <c r="F73" s="327"/>
      <c r="G73" s="326" t="e">
        <f t="shared" si="37"/>
        <v>#DIV/0!</v>
      </c>
      <c r="H73" s="327">
        <f t="shared" ref="H73:H77" si="40">D73-F73</f>
        <v>0</v>
      </c>
      <c r="I73" s="330"/>
      <c r="J73" s="261">
        <v>0</v>
      </c>
      <c r="K73" s="326">
        <f t="shared" si="38"/>
        <v>0</v>
      </c>
      <c r="L73" s="327"/>
      <c r="M73" s="326" t="e">
        <f t="shared" si="39"/>
        <v>#DIV/0!</v>
      </c>
      <c r="N73" s="327">
        <f t="shared" ref="N73:N77" si="41">J73-L73</f>
        <v>0</v>
      </c>
      <c r="O73" s="330"/>
      <c r="P73" s="244"/>
    </row>
    <row r="74" spans="1:16" ht="15.75" customHeight="1" x14ac:dyDescent="0.25">
      <c r="A74" s="244"/>
      <c r="B74" s="263"/>
      <c r="C74" s="263" t="s">
        <v>212</v>
      </c>
      <c r="D74" s="261">
        <v>0</v>
      </c>
      <c r="E74" s="332">
        <f t="shared" si="36"/>
        <v>0</v>
      </c>
      <c r="F74" s="296"/>
      <c r="G74" s="332" t="e">
        <f t="shared" si="37"/>
        <v>#DIV/0!</v>
      </c>
      <c r="H74" s="296">
        <f t="shared" si="40"/>
        <v>0</v>
      </c>
      <c r="I74" s="336" t="e">
        <f t="shared" ref="I74:I77" si="42">H74/F74</f>
        <v>#DIV/0!</v>
      </c>
      <c r="J74" s="261">
        <v>0</v>
      </c>
      <c r="K74" s="332">
        <f t="shared" si="38"/>
        <v>0</v>
      </c>
      <c r="L74" s="296"/>
      <c r="M74" s="332" t="e">
        <f t="shared" si="39"/>
        <v>#DIV/0!</v>
      </c>
      <c r="N74" s="296">
        <f t="shared" si="41"/>
        <v>0</v>
      </c>
      <c r="O74" s="336" t="e">
        <f t="shared" ref="O74:O77" si="43">N74/L74</f>
        <v>#DIV/0!</v>
      </c>
      <c r="P74" s="244"/>
    </row>
    <row r="75" spans="1:16" ht="15.75" customHeight="1" x14ac:dyDescent="0.25">
      <c r="A75" s="244"/>
      <c r="B75" s="263"/>
      <c r="C75" s="263" t="s">
        <v>213</v>
      </c>
      <c r="D75" s="261">
        <v>0</v>
      </c>
      <c r="E75" s="332">
        <f t="shared" si="36"/>
        <v>0</v>
      </c>
      <c r="F75" s="296"/>
      <c r="G75" s="332" t="e">
        <f t="shared" si="37"/>
        <v>#DIV/0!</v>
      </c>
      <c r="H75" s="296">
        <f t="shared" si="40"/>
        <v>0</v>
      </c>
      <c r="I75" s="336" t="e">
        <f t="shared" si="42"/>
        <v>#DIV/0!</v>
      </c>
      <c r="J75" s="261">
        <v>0</v>
      </c>
      <c r="K75" s="332">
        <f t="shared" si="38"/>
        <v>0</v>
      </c>
      <c r="L75" s="296"/>
      <c r="M75" s="332" t="e">
        <f t="shared" si="39"/>
        <v>#DIV/0!</v>
      </c>
      <c r="N75" s="296">
        <f t="shared" si="41"/>
        <v>0</v>
      </c>
      <c r="O75" s="336" t="e">
        <f t="shared" si="43"/>
        <v>#DIV/0!</v>
      </c>
      <c r="P75" s="244"/>
    </row>
    <row r="76" spans="1:16" ht="15.75" customHeight="1" x14ac:dyDescent="0.25">
      <c r="A76" s="244"/>
      <c r="B76" s="263"/>
      <c r="C76" s="263" t="s">
        <v>269</v>
      </c>
      <c r="D76" s="261">
        <v>0</v>
      </c>
      <c r="E76" s="332">
        <f t="shared" si="36"/>
        <v>0</v>
      </c>
      <c r="F76" s="296"/>
      <c r="G76" s="332" t="e">
        <f t="shared" si="37"/>
        <v>#DIV/0!</v>
      </c>
      <c r="H76" s="296">
        <f t="shared" si="40"/>
        <v>0</v>
      </c>
      <c r="I76" s="336" t="e">
        <f t="shared" si="42"/>
        <v>#DIV/0!</v>
      </c>
      <c r="J76" s="261">
        <v>0</v>
      </c>
      <c r="K76" s="332">
        <f t="shared" si="38"/>
        <v>0</v>
      </c>
      <c r="L76" s="296"/>
      <c r="M76" s="332" t="e">
        <f t="shared" si="39"/>
        <v>#DIV/0!</v>
      </c>
      <c r="N76" s="296">
        <f t="shared" si="41"/>
        <v>0</v>
      </c>
      <c r="O76" s="336" t="e">
        <f t="shared" si="43"/>
        <v>#DIV/0!</v>
      </c>
      <c r="P76" s="244"/>
    </row>
    <row r="77" spans="1:16" ht="15.75" customHeight="1" x14ac:dyDescent="0.25">
      <c r="A77" s="244"/>
      <c r="B77" s="263"/>
      <c r="C77" s="263" t="s">
        <v>305</v>
      </c>
      <c r="D77" s="261">
        <v>0</v>
      </c>
      <c r="E77" s="332">
        <f t="shared" si="36"/>
        <v>0</v>
      </c>
      <c r="F77" s="296"/>
      <c r="G77" s="332" t="e">
        <f t="shared" si="37"/>
        <v>#DIV/0!</v>
      </c>
      <c r="H77" s="296">
        <f t="shared" si="40"/>
        <v>0</v>
      </c>
      <c r="I77" s="336" t="e">
        <f t="shared" si="42"/>
        <v>#DIV/0!</v>
      </c>
      <c r="J77" s="261">
        <v>0</v>
      </c>
      <c r="K77" s="332">
        <f t="shared" si="38"/>
        <v>0</v>
      </c>
      <c r="L77" s="296"/>
      <c r="M77" s="332" t="e">
        <f t="shared" si="39"/>
        <v>#DIV/0!</v>
      </c>
      <c r="N77" s="296">
        <f t="shared" si="41"/>
        <v>0</v>
      </c>
      <c r="O77" s="336" t="e">
        <f t="shared" si="43"/>
        <v>#DIV/0!</v>
      </c>
      <c r="P77" s="244"/>
    </row>
    <row r="78" spans="1:16" ht="15.75" customHeight="1" x14ac:dyDescent="0.25">
      <c r="A78" s="244"/>
      <c r="B78" s="263"/>
      <c r="C78" s="263" t="s">
        <v>306</v>
      </c>
      <c r="D78" s="261">
        <v>0</v>
      </c>
      <c r="E78" s="332">
        <f t="shared" si="36"/>
        <v>0</v>
      </c>
      <c r="F78" s="296"/>
      <c r="G78" s="332"/>
      <c r="H78" s="296"/>
      <c r="I78" s="336"/>
      <c r="J78" s="261">
        <v>0</v>
      </c>
      <c r="K78" s="332">
        <f t="shared" si="38"/>
        <v>0</v>
      </c>
      <c r="L78" s="296"/>
      <c r="M78" s="332"/>
      <c r="N78" s="296"/>
      <c r="O78" s="336"/>
      <c r="P78" s="244"/>
    </row>
    <row r="79" spans="1:16" ht="15.75" customHeight="1" x14ac:dyDescent="0.25">
      <c r="A79" s="244"/>
      <c r="B79" s="263"/>
      <c r="C79" s="263" t="s">
        <v>307</v>
      </c>
      <c r="D79" s="261">
        <v>0</v>
      </c>
      <c r="E79" s="332">
        <f t="shared" si="36"/>
        <v>0</v>
      </c>
      <c r="F79" s="296"/>
      <c r="G79" s="332" t="e">
        <f t="shared" ref="G79:G81" si="44">F79/F$29</f>
        <v>#DIV/0!</v>
      </c>
      <c r="H79" s="296">
        <f t="shared" ref="H79:H81" si="45">D79-F79</f>
        <v>0</v>
      </c>
      <c r="I79" s="336" t="e">
        <f t="shared" ref="I79:I81" si="46">H79/F79</f>
        <v>#DIV/0!</v>
      </c>
      <c r="J79" s="261">
        <v>0</v>
      </c>
      <c r="K79" s="332">
        <f t="shared" si="38"/>
        <v>0</v>
      </c>
      <c r="L79" s="296"/>
      <c r="M79" s="332" t="e">
        <f t="shared" ref="M79:M81" si="47">L79/L$29</f>
        <v>#DIV/0!</v>
      </c>
      <c r="N79" s="296">
        <f t="shared" ref="N79:N81" si="48">J79-L79</f>
        <v>0</v>
      </c>
      <c r="O79" s="336" t="e">
        <f t="shared" ref="O79:O81" si="49">N79/L79</f>
        <v>#DIV/0!</v>
      </c>
      <c r="P79" s="244"/>
    </row>
    <row r="80" spans="1:16" ht="15.75" customHeight="1" x14ac:dyDescent="0.25">
      <c r="A80" s="244"/>
      <c r="B80" s="263"/>
      <c r="C80" s="263" t="s">
        <v>299</v>
      </c>
      <c r="D80" s="261">
        <v>0</v>
      </c>
      <c r="E80" s="332">
        <f t="shared" si="36"/>
        <v>0</v>
      </c>
      <c r="F80" s="296"/>
      <c r="G80" s="332" t="e">
        <f t="shared" si="44"/>
        <v>#DIV/0!</v>
      </c>
      <c r="H80" s="296">
        <f t="shared" si="45"/>
        <v>0</v>
      </c>
      <c r="I80" s="336" t="e">
        <f t="shared" si="46"/>
        <v>#DIV/0!</v>
      </c>
      <c r="J80" s="261">
        <v>0</v>
      </c>
      <c r="K80" s="332">
        <f t="shared" si="38"/>
        <v>0</v>
      </c>
      <c r="L80" s="296"/>
      <c r="M80" s="332" t="e">
        <f t="shared" si="47"/>
        <v>#DIV/0!</v>
      </c>
      <c r="N80" s="296">
        <f t="shared" si="48"/>
        <v>0</v>
      </c>
      <c r="O80" s="336" t="e">
        <f t="shared" si="49"/>
        <v>#DIV/0!</v>
      </c>
      <c r="P80" s="244"/>
    </row>
    <row r="81" spans="1:16" ht="15.75" customHeight="1" x14ac:dyDescent="0.25">
      <c r="A81" s="244"/>
      <c r="B81" s="263"/>
      <c r="C81" s="263" t="s">
        <v>214</v>
      </c>
      <c r="D81" s="261">
        <v>0</v>
      </c>
      <c r="E81" s="332">
        <f t="shared" si="36"/>
        <v>0</v>
      </c>
      <c r="F81" s="296"/>
      <c r="G81" s="332" t="e">
        <f t="shared" si="44"/>
        <v>#DIV/0!</v>
      </c>
      <c r="H81" s="296">
        <f t="shared" si="45"/>
        <v>0</v>
      </c>
      <c r="I81" s="336" t="e">
        <f t="shared" si="46"/>
        <v>#DIV/0!</v>
      </c>
      <c r="J81" s="261">
        <v>0</v>
      </c>
      <c r="K81" s="332">
        <f t="shared" si="38"/>
        <v>0</v>
      </c>
      <c r="L81" s="296"/>
      <c r="M81" s="332" t="e">
        <f t="shared" si="47"/>
        <v>#DIV/0!</v>
      </c>
      <c r="N81" s="296">
        <f t="shared" si="48"/>
        <v>0</v>
      </c>
      <c r="O81" s="336" t="e">
        <f t="shared" si="49"/>
        <v>#DIV/0!</v>
      </c>
      <c r="P81" s="244"/>
    </row>
    <row r="82" spans="1:16" ht="15.75" customHeight="1" x14ac:dyDescent="0.25">
      <c r="A82" s="244"/>
      <c r="B82" s="263"/>
      <c r="C82" s="263" t="s">
        <v>270</v>
      </c>
      <c r="D82" s="261">
        <v>0</v>
      </c>
      <c r="E82" s="332">
        <f t="shared" si="36"/>
        <v>0</v>
      </c>
      <c r="F82" s="296"/>
      <c r="G82" s="332"/>
      <c r="H82" s="296"/>
      <c r="I82" s="336"/>
      <c r="J82" s="261">
        <v>0</v>
      </c>
      <c r="K82" s="332">
        <f t="shared" si="38"/>
        <v>0</v>
      </c>
      <c r="L82" s="296"/>
      <c r="M82" s="332"/>
      <c r="N82" s="296"/>
      <c r="O82" s="336"/>
      <c r="P82" s="244"/>
    </row>
    <row r="83" spans="1:16" ht="15.75" customHeight="1" x14ac:dyDescent="0.25">
      <c r="A83" s="244"/>
      <c r="B83" s="263"/>
      <c r="C83" s="263" t="s">
        <v>271</v>
      </c>
      <c r="D83" s="265">
        <v>98796.500000000015</v>
      </c>
      <c r="E83" s="332">
        <f>D83/D$28</f>
        <v>0.27676256446408065</v>
      </c>
      <c r="F83" s="296"/>
      <c r="G83" s="332" t="e">
        <f>F83/F$29</f>
        <v>#DIV/0!</v>
      </c>
      <c r="H83" s="296">
        <f>D83-F83</f>
        <v>98796.500000000015</v>
      </c>
      <c r="I83" s="336" t="e">
        <f>H83/F83</f>
        <v>#DIV/0!</v>
      </c>
      <c r="J83" s="265">
        <v>116275</v>
      </c>
      <c r="K83" s="332" t="e">
        <f>J83/J$28</f>
        <v>#DIV/0!</v>
      </c>
      <c r="L83" s="296"/>
      <c r="M83" s="332" t="e">
        <f>L83/L$29</f>
        <v>#DIV/0!</v>
      </c>
      <c r="N83" s="296">
        <f>J83-L83</f>
        <v>116275</v>
      </c>
      <c r="O83" s="336" t="e">
        <f>N83/L83</f>
        <v>#DIV/0!</v>
      </c>
      <c r="P83" s="244"/>
    </row>
    <row r="84" spans="1:16" ht="15.75" customHeight="1" x14ac:dyDescent="0.25">
      <c r="A84" s="244"/>
      <c r="B84" s="274"/>
      <c r="C84" s="541"/>
      <c r="D84" s="276"/>
      <c r="E84" s="316"/>
      <c r="F84" s="317"/>
      <c r="G84" s="316"/>
      <c r="H84" s="316"/>
      <c r="I84" s="318"/>
      <c r="J84" s="276"/>
      <c r="K84" s="316"/>
      <c r="L84" s="317"/>
      <c r="M84" s="316"/>
      <c r="N84" s="316"/>
      <c r="O84" s="318"/>
      <c r="P84" s="244"/>
    </row>
    <row r="85" spans="1:16" ht="15.75" customHeight="1" x14ac:dyDescent="0.25">
      <c r="A85" s="244"/>
      <c r="B85" s="278"/>
      <c r="C85" s="501" t="s">
        <v>35</v>
      </c>
      <c r="D85" s="257">
        <f>SUM(D86:D89)</f>
        <v>674779.24</v>
      </c>
      <c r="E85" s="321">
        <f t="shared" ref="E85:E89" si="50">D85/D$29</f>
        <v>6.8628808879409059E-2</v>
      </c>
      <c r="F85" s="322">
        <f>SUM(F86:F89)</f>
        <v>0</v>
      </c>
      <c r="G85" s="321" t="e">
        <f t="shared" ref="G85:G89" si="51">F85/F$29</f>
        <v>#DIV/0!</v>
      </c>
      <c r="H85" s="322">
        <f>SUM(H86:H89)</f>
        <v>674779.24</v>
      </c>
      <c r="I85" s="323"/>
      <c r="J85" s="257">
        <f>SUM(J86:J89)</f>
        <v>721776</v>
      </c>
      <c r="K85" s="321">
        <f t="shared" ref="K85:K89" si="52">J85/J$29</f>
        <v>7.7499015661055409E-2</v>
      </c>
      <c r="L85" s="322">
        <f>SUM(L86:L89)</f>
        <v>0</v>
      </c>
      <c r="M85" s="321" t="e">
        <f t="shared" ref="M85:M89" si="53">L85/L$29</f>
        <v>#DIV/0!</v>
      </c>
      <c r="N85" s="322">
        <f>SUM(N86:N89)</f>
        <v>721776</v>
      </c>
      <c r="O85" s="323"/>
      <c r="P85" s="246"/>
    </row>
    <row r="86" spans="1:16" ht="15.75" customHeight="1" x14ac:dyDescent="0.25">
      <c r="A86" s="244"/>
      <c r="B86" s="282"/>
      <c r="C86" s="282" t="s">
        <v>215</v>
      </c>
      <c r="D86" s="261">
        <v>4125</v>
      </c>
      <c r="E86" s="326">
        <f t="shared" si="50"/>
        <v>4.1953548634300364E-4</v>
      </c>
      <c r="F86" s="327">
        <v>0</v>
      </c>
      <c r="G86" s="326" t="e">
        <f t="shared" si="51"/>
        <v>#DIV/0!</v>
      </c>
      <c r="H86" s="296">
        <f t="shared" ref="H86:H89" si="54">D86-F86</f>
        <v>4125</v>
      </c>
      <c r="I86" s="330"/>
      <c r="J86" s="261">
        <v>1682</v>
      </c>
      <c r="K86" s="326">
        <f t="shared" si="52"/>
        <v>1.8060082953976744E-4</v>
      </c>
      <c r="L86" s="327">
        <v>0</v>
      </c>
      <c r="M86" s="326" t="e">
        <f t="shared" si="53"/>
        <v>#DIV/0!</v>
      </c>
      <c r="N86" s="296">
        <f t="shared" ref="N86:N89" si="55">J86-L86</f>
        <v>1682</v>
      </c>
      <c r="O86" s="330"/>
      <c r="P86" s="244"/>
    </row>
    <row r="87" spans="1:16" ht="15.75" customHeight="1" x14ac:dyDescent="0.25">
      <c r="A87" s="244"/>
      <c r="B87" s="263"/>
      <c r="C87" s="263" t="s">
        <v>216</v>
      </c>
      <c r="D87" s="265"/>
      <c r="E87" s="332">
        <f t="shared" si="50"/>
        <v>0</v>
      </c>
      <c r="F87" s="296">
        <v>0</v>
      </c>
      <c r="G87" s="332" t="e">
        <f t="shared" si="51"/>
        <v>#DIV/0!</v>
      </c>
      <c r="H87" s="296">
        <f t="shared" si="54"/>
        <v>0</v>
      </c>
      <c r="I87" s="336" t="e">
        <f t="shared" ref="I87:I89" si="56">H87/F87</f>
        <v>#DIV/0!</v>
      </c>
      <c r="J87" s="265"/>
      <c r="K87" s="332">
        <f t="shared" si="52"/>
        <v>0</v>
      </c>
      <c r="L87" s="296">
        <v>0</v>
      </c>
      <c r="M87" s="332" t="e">
        <f t="shared" si="53"/>
        <v>#DIV/0!</v>
      </c>
      <c r="N87" s="296">
        <f t="shared" si="55"/>
        <v>0</v>
      </c>
      <c r="O87" s="336" t="e">
        <f t="shared" ref="O87:O89" si="57">N87/L87</f>
        <v>#DIV/0!</v>
      </c>
      <c r="P87" s="244"/>
    </row>
    <row r="88" spans="1:16" ht="15.75" customHeight="1" x14ac:dyDescent="0.25">
      <c r="A88" s="244"/>
      <c r="B88" s="263"/>
      <c r="C88" s="263" t="s">
        <v>272</v>
      </c>
      <c r="D88" s="265">
        <v>420514.54000000004</v>
      </c>
      <c r="E88" s="332">
        <f t="shared" si="50"/>
        <v>4.2768672012898058E-2</v>
      </c>
      <c r="F88" s="296">
        <v>0</v>
      </c>
      <c r="G88" s="332" t="e">
        <f t="shared" si="51"/>
        <v>#DIV/0!</v>
      </c>
      <c r="H88" s="296">
        <f t="shared" si="54"/>
        <v>420514.54000000004</v>
      </c>
      <c r="I88" s="336" t="e">
        <f t="shared" si="56"/>
        <v>#DIV/0!</v>
      </c>
      <c r="J88" s="265">
        <v>428912</v>
      </c>
      <c r="K88" s="332">
        <f t="shared" si="52"/>
        <v>4.6053426277979037E-2</v>
      </c>
      <c r="L88" s="296">
        <v>0</v>
      </c>
      <c r="M88" s="332" t="e">
        <f t="shared" si="53"/>
        <v>#DIV/0!</v>
      </c>
      <c r="N88" s="296">
        <f t="shared" si="55"/>
        <v>428912</v>
      </c>
      <c r="O88" s="336" t="e">
        <f t="shared" si="57"/>
        <v>#DIV/0!</v>
      </c>
      <c r="P88" s="244"/>
    </row>
    <row r="89" spans="1:16" ht="15.75" customHeight="1" x14ac:dyDescent="0.25">
      <c r="A89" s="244"/>
      <c r="B89" s="263"/>
      <c r="C89" s="263" t="s">
        <v>308</v>
      </c>
      <c r="D89" s="265">
        <v>250139.69999999998</v>
      </c>
      <c r="E89" s="332">
        <f t="shared" si="50"/>
        <v>2.5440601380168005E-2</v>
      </c>
      <c r="F89" s="296">
        <v>0</v>
      </c>
      <c r="G89" s="332" t="e">
        <f t="shared" si="51"/>
        <v>#DIV/0!</v>
      </c>
      <c r="H89" s="296">
        <f t="shared" si="54"/>
        <v>250139.69999999998</v>
      </c>
      <c r="I89" s="336" t="e">
        <f t="shared" si="56"/>
        <v>#DIV/0!</v>
      </c>
      <c r="J89" s="265">
        <v>291182</v>
      </c>
      <c r="K89" s="332">
        <f t="shared" si="52"/>
        <v>3.1264988553536606E-2</v>
      </c>
      <c r="L89" s="296">
        <v>0</v>
      </c>
      <c r="M89" s="332" t="e">
        <f t="shared" si="53"/>
        <v>#DIV/0!</v>
      </c>
      <c r="N89" s="296">
        <f t="shared" si="55"/>
        <v>291182</v>
      </c>
      <c r="O89" s="336" t="e">
        <f t="shared" si="57"/>
        <v>#DIV/0!</v>
      </c>
      <c r="P89" s="244"/>
    </row>
    <row r="90" spans="1:16" ht="15.75" customHeight="1" x14ac:dyDescent="0.25">
      <c r="A90" s="244"/>
      <c r="B90" s="263"/>
      <c r="C90" s="263"/>
      <c r="D90" s="265"/>
      <c r="E90" s="313"/>
      <c r="F90" s="296"/>
      <c r="G90" s="313"/>
      <c r="H90" s="296"/>
      <c r="I90" s="271"/>
      <c r="J90" s="265"/>
      <c r="K90" s="313"/>
      <c r="L90" s="296"/>
      <c r="M90" s="313"/>
      <c r="N90" s="296"/>
      <c r="O90" s="271"/>
      <c r="P90" s="244"/>
    </row>
    <row r="91" spans="1:16" ht="15.75" customHeight="1" x14ac:dyDescent="0.25">
      <c r="A91" s="244"/>
      <c r="B91" s="274"/>
      <c r="C91" s="274"/>
      <c r="D91" s="276"/>
      <c r="E91" s="316"/>
      <c r="F91" s="317"/>
      <c r="G91" s="316"/>
      <c r="H91" s="316"/>
      <c r="I91" s="318"/>
      <c r="J91" s="276"/>
      <c r="K91" s="316"/>
      <c r="L91" s="317"/>
      <c r="M91" s="316"/>
      <c r="N91" s="316"/>
      <c r="O91" s="318"/>
      <c r="P91" s="244"/>
    </row>
    <row r="92" spans="1:16" ht="15.75" customHeight="1" x14ac:dyDescent="0.25">
      <c r="A92" s="244"/>
      <c r="B92" s="278"/>
      <c r="C92" s="501" t="s">
        <v>219</v>
      </c>
      <c r="D92" s="257">
        <f>SUM(D93:D97)</f>
        <v>1093486</v>
      </c>
      <c r="E92" s="321">
        <f t="shared" ref="E92:E97" si="58">D92/D$29</f>
        <v>0.11121361959254926</v>
      </c>
      <c r="F92" s="322">
        <f>SUM(F93:F97)</f>
        <v>0</v>
      </c>
      <c r="G92" s="321" t="e">
        <f t="shared" ref="G92:G93" si="59">F92/F$29</f>
        <v>#DIV/0!</v>
      </c>
      <c r="H92" s="322">
        <f>SUM(H93:H97)</f>
        <v>1093486</v>
      </c>
      <c r="I92" s="349"/>
      <c r="J92" s="257">
        <f>SUM(J93:J97)</f>
        <v>1116762.04</v>
      </c>
      <c r="K92" s="321">
        <f t="shared" ref="K92:K97" si="60">J92/J$29</f>
        <v>0.11990972105976395</v>
      </c>
      <c r="L92" s="322">
        <f>SUM(L93:L97)</f>
        <v>0</v>
      </c>
      <c r="M92" s="321" t="e">
        <f t="shared" ref="M92:M93" si="61">L92/L$29</f>
        <v>#DIV/0!</v>
      </c>
      <c r="N92" s="322">
        <f>SUM(N93:N97)</f>
        <v>1116762.04</v>
      </c>
      <c r="O92" s="349"/>
      <c r="P92" s="246"/>
    </row>
    <row r="93" spans="1:16" ht="15.75" customHeight="1" x14ac:dyDescent="0.25">
      <c r="A93" s="244"/>
      <c r="B93" s="282"/>
      <c r="C93" s="282" t="s">
        <v>309</v>
      </c>
      <c r="D93" s="261">
        <v>837506</v>
      </c>
      <c r="E93" s="326">
        <f t="shared" si="58"/>
        <v>8.5179027157620268E-2</v>
      </c>
      <c r="F93" s="327"/>
      <c r="G93" s="326" t="e">
        <f t="shared" si="59"/>
        <v>#DIV/0!</v>
      </c>
      <c r="H93" s="327">
        <f t="shared" ref="H93:H97" si="62">D93-F93</f>
        <v>837506</v>
      </c>
      <c r="I93" s="330" t="e">
        <f>H93/F93</f>
        <v>#DIV/0!</v>
      </c>
      <c r="J93" s="261">
        <f>897954-60449</f>
        <v>837505</v>
      </c>
      <c r="K93" s="326">
        <f t="shared" si="60"/>
        <v>8.9925147291143245E-2</v>
      </c>
      <c r="L93" s="327"/>
      <c r="M93" s="326" t="e">
        <f t="shared" si="61"/>
        <v>#DIV/0!</v>
      </c>
      <c r="N93" s="327">
        <f t="shared" ref="N93:N97" si="63">J93-L93</f>
        <v>837505</v>
      </c>
      <c r="O93" s="330" t="e">
        <f>N93/L93</f>
        <v>#DIV/0!</v>
      </c>
      <c r="P93" s="244"/>
    </row>
    <row r="94" spans="1:16" ht="15.75" customHeight="1" x14ac:dyDescent="0.25">
      <c r="A94" s="244"/>
      <c r="B94" s="263"/>
      <c r="C94" s="263" t="s">
        <v>310</v>
      </c>
      <c r="D94" s="265">
        <v>43330</v>
      </c>
      <c r="E94" s="332">
        <f t="shared" si="58"/>
        <v>4.4069024541193574E-3</v>
      </c>
      <c r="F94" s="296"/>
      <c r="G94" s="332"/>
      <c r="H94" s="296">
        <f t="shared" si="62"/>
        <v>43330</v>
      </c>
      <c r="I94" s="336"/>
      <c r="J94" s="261">
        <v>43330</v>
      </c>
      <c r="K94" s="332">
        <f t="shared" si="60"/>
        <v>4.6524577550286113E-3</v>
      </c>
      <c r="L94" s="296"/>
      <c r="M94" s="332"/>
      <c r="N94" s="296">
        <f t="shared" si="63"/>
        <v>43330</v>
      </c>
      <c r="O94" s="336"/>
      <c r="P94" s="244"/>
    </row>
    <row r="95" spans="1:16" ht="15.75" customHeight="1" x14ac:dyDescent="0.25">
      <c r="A95" s="244"/>
      <c r="B95" s="263"/>
      <c r="C95" s="263" t="s">
        <v>221</v>
      </c>
      <c r="D95" s="265">
        <v>173968</v>
      </c>
      <c r="E95" s="332">
        <f t="shared" si="58"/>
        <v>1.7693515027422949E-2</v>
      </c>
      <c r="F95" s="296"/>
      <c r="G95" s="332" t="e">
        <f t="shared" ref="G95:G97" si="64">F95/F$29</f>
        <v>#DIV/0!</v>
      </c>
      <c r="H95" s="296">
        <f t="shared" si="62"/>
        <v>173968</v>
      </c>
      <c r="I95" s="336" t="e">
        <f t="shared" ref="I95:I97" si="65">H95/F95</f>
        <v>#DIV/0!</v>
      </c>
      <c r="J95" s="265">
        <v>173000</v>
      </c>
      <c r="K95" s="332">
        <f t="shared" si="60"/>
        <v>1.8575471765980837E-2</v>
      </c>
      <c r="L95" s="296"/>
      <c r="M95" s="332" t="e">
        <f t="shared" ref="M95:M97" si="66">L95/L$29</f>
        <v>#DIV/0!</v>
      </c>
      <c r="N95" s="296">
        <f t="shared" si="63"/>
        <v>173000</v>
      </c>
      <c r="O95" s="336" t="e">
        <f t="shared" ref="O95:O97" si="67">N95/L95</f>
        <v>#DIV/0!</v>
      </c>
      <c r="P95" s="244"/>
    </row>
    <row r="96" spans="1:16" ht="15.75" customHeight="1" x14ac:dyDescent="0.25">
      <c r="A96" s="244"/>
      <c r="B96" s="263"/>
      <c r="C96" s="263" t="s">
        <v>222</v>
      </c>
      <c r="D96" s="265">
        <v>36204</v>
      </c>
      <c r="E96" s="332">
        <f t="shared" si="58"/>
        <v>3.6821485448635402E-3</v>
      </c>
      <c r="F96" s="296"/>
      <c r="G96" s="332" t="e">
        <f t="shared" si="64"/>
        <v>#DIV/0!</v>
      </c>
      <c r="H96" s="296">
        <f t="shared" si="62"/>
        <v>36204</v>
      </c>
      <c r="I96" s="336" t="e">
        <f t="shared" si="65"/>
        <v>#DIV/0!</v>
      </c>
      <c r="J96" s="265">
        <v>60449.04</v>
      </c>
      <c r="K96" s="332">
        <f t="shared" si="60"/>
        <v>6.4905747734141407E-3</v>
      </c>
      <c r="L96" s="296"/>
      <c r="M96" s="332" t="e">
        <f t="shared" si="66"/>
        <v>#DIV/0!</v>
      </c>
      <c r="N96" s="296">
        <f t="shared" si="63"/>
        <v>60449.04</v>
      </c>
      <c r="O96" s="336" t="e">
        <f t="shared" si="67"/>
        <v>#DIV/0!</v>
      </c>
      <c r="P96" s="244"/>
    </row>
    <row r="97" spans="1:16" ht="15.75" customHeight="1" x14ac:dyDescent="0.25">
      <c r="A97" s="244"/>
      <c r="B97" s="263"/>
      <c r="C97" s="263" t="s">
        <v>223</v>
      </c>
      <c r="D97" s="265">
        <v>2478</v>
      </c>
      <c r="E97" s="332">
        <f t="shared" si="58"/>
        <v>2.5202640852314254E-4</v>
      </c>
      <c r="F97" s="296"/>
      <c r="G97" s="332" t="e">
        <f t="shared" si="64"/>
        <v>#DIV/0!</v>
      </c>
      <c r="H97" s="296">
        <f t="shared" si="62"/>
        <v>2478</v>
      </c>
      <c r="I97" s="336" t="e">
        <f t="shared" si="65"/>
        <v>#DIV/0!</v>
      </c>
      <c r="J97" s="265">
        <v>2478</v>
      </c>
      <c r="K97" s="332">
        <f t="shared" si="60"/>
        <v>2.660694741971128E-4</v>
      </c>
      <c r="L97" s="296"/>
      <c r="M97" s="332" t="e">
        <f t="shared" si="66"/>
        <v>#DIV/0!</v>
      </c>
      <c r="N97" s="296">
        <f t="shared" si="63"/>
        <v>2478</v>
      </c>
      <c r="O97" s="336" t="e">
        <f t="shared" si="67"/>
        <v>#DIV/0!</v>
      </c>
      <c r="P97" s="244"/>
    </row>
    <row r="98" spans="1:16" ht="15.75" customHeight="1" x14ac:dyDescent="0.25">
      <c r="A98" s="244"/>
      <c r="B98" s="274"/>
      <c r="C98" s="541"/>
      <c r="D98" s="276"/>
      <c r="E98" s="316"/>
      <c r="F98" s="317"/>
      <c r="G98" s="316"/>
      <c r="H98" s="316"/>
      <c r="I98" s="318"/>
      <c r="J98" s="276"/>
      <c r="K98" s="316"/>
      <c r="L98" s="317"/>
      <c r="M98" s="316"/>
      <c r="N98" s="316"/>
      <c r="O98" s="318"/>
      <c r="P98" s="244"/>
    </row>
    <row r="99" spans="1:16" ht="15.75" customHeight="1" x14ac:dyDescent="0.25">
      <c r="A99" s="244"/>
      <c r="B99" s="279"/>
      <c r="C99" s="501" t="s">
        <v>37</v>
      </c>
      <c r="D99" s="257">
        <f>SUM(D100:D107)</f>
        <v>1746002.6866666668</v>
      </c>
      <c r="E99" s="321">
        <f t="shared" ref="E99:E110" si="68">D99/D$29</f>
        <v>0.17757820274106451</v>
      </c>
      <c r="F99" s="322">
        <f>SUM(F100:F106)</f>
        <v>0</v>
      </c>
      <c r="G99" s="321" t="e">
        <f t="shared" ref="G99:G107" si="69">F99/F$29</f>
        <v>#DIV/0!</v>
      </c>
      <c r="H99" s="322">
        <f>SUM(H100:H106)</f>
        <v>1746002.6866666668</v>
      </c>
      <c r="I99" s="349"/>
      <c r="J99" s="257">
        <f>SUM(J100:J107)</f>
        <v>1791147.0466666666</v>
      </c>
      <c r="K99" s="321">
        <f t="shared" ref="K99:K110" si="70">J99/J$29</f>
        <v>0.19232023927211925</v>
      </c>
      <c r="L99" s="322">
        <f>SUM(L100:L106)</f>
        <v>0</v>
      </c>
      <c r="M99" s="321" t="e">
        <f t="shared" ref="M99:M107" si="71">L99/L$29</f>
        <v>#DIV/0!</v>
      </c>
      <c r="N99" s="322">
        <f>SUM(N100:N106)</f>
        <v>1791147.0466666666</v>
      </c>
      <c r="O99" s="349"/>
      <c r="P99" s="246"/>
    </row>
    <row r="100" spans="1:16" ht="15.75" customHeight="1" x14ac:dyDescent="0.25">
      <c r="A100" s="244"/>
      <c r="B100" s="282"/>
      <c r="C100" s="282" t="s">
        <v>224</v>
      </c>
      <c r="D100" s="261"/>
      <c r="E100" s="326">
        <f t="shared" si="68"/>
        <v>0</v>
      </c>
      <c r="F100" s="327"/>
      <c r="G100" s="326" t="e">
        <f t="shared" si="69"/>
        <v>#DIV/0!</v>
      </c>
      <c r="H100" s="327">
        <f t="shared" ref="H100:H107" si="72">D100-F100</f>
        <v>0</v>
      </c>
      <c r="I100" s="330" t="e">
        <f t="shared" ref="I100:I107" si="73">H100/F100</f>
        <v>#DIV/0!</v>
      </c>
      <c r="J100" s="261"/>
      <c r="K100" s="326">
        <f t="shared" si="70"/>
        <v>0</v>
      </c>
      <c r="L100" s="327"/>
      <c r="M100" s="326" t="e">
        <f t="shared" si="71"/>
        <v>#DIV/0!</v>
      </c>
      <c r="N100" s="327">
        <f t="shared" ref="N100:N107" si="74">J100-L100</f>
        <v>0</v>
      </c>
      <c r="O100" s="330" t="e">
        <f t="shared" ref="O100:O107" si="75">N100/L100</f>
        <v>#DIV/0!</v>
      </c>
      <c r="P100" s="244"/>
    </row>
    <row r="101" spans="1:16" ht="15.75" customHeight="1" x14ac:dyDescent="0.25">
      <c r="A101" s="244"/>
      <c r="B101" s="263"/>
      <c r="C101" s="263" t="s">
        <v>225</v>
      </c>
      <c r="D101" s="265">
        <v>1700708.6666666667</v>
      </c>
      <c r="E101" s="332">
        <f t="shared" si="68"/>
        <v>0.17297154850854821</v>
      </c>
      <c r="F101" s="296"/>
      <c r="G101" s="332" t="e">
        <f t="shared" si="69"/>
        <v>#DIV/0!</v>
      </c>
      <c r="H101" s="296">
        <f t="shared" si="72"/>
        <v>1700708.6666666667</v>
      </c>
      <c r="I101" s="336" t="e">
        <f t="shared" si="73"/>
        <v>#DIV/0!</v>
      </c>
      <c r="J101" s="265">
        <v>1742868.6666666667</v>
      </c>
      <c r="K101" s="332">
        <f t="shared" si="70"/>
        <v>0.18713646074843548</v>
      </c>
      <c r="L101" s="296"/>
      <c r="M101" s="332" t="e">
        <f t="shared" si="71"/>
        <v>#DIV/0!</v>
      </c>
      <c r="N101" s="296">
        <f t="shared" si="74"/>
        <v>1742868.6666666667</v>
      </c>
      <c r="O101" s="336" t="e">
        <f t="shared" si="75"/>
        <v>#DIV/0!</v>
      </c>
      <c r="P101" s="244"/>
    </row>
    <row r="102" spans="1:16" ht="15.75" customHeight="1" x14ac:dyDescent="0.25">
      <c r="A102" s="244"/>
      <c r="B102" s="263"/>
      <c r="C102" s="263" t="s">
        <v>226</v>
      </c>
      <c r="D102" s="265">
        <v>1350</v>
      </c>
      <c r="E102" s="332">
        <f t="shared" si="68"/>
        <v>1.3730252280316484E-4</v>
      </c>
      <c r="F102" s="296"/>
      <c r="G102" s="332" t="e">
        <f t="shared" si="69"/>
        <v>#DIV/0!</v>
      </c>
      <c r="H102" s="296">
        <f t="shared" si="72"/>
        <v>1350</v>
      </c>
      <c r="I102" s="336" t="e">
        <f t="shared" si="73"/>
        <v>#DIV/0!</v>
      </c>
      <c r="J102" s="265">
        <v>543</v>
      </c>
      <c r="K102" s="332">
        <f t="shared" si="70"/>
        <v>5.8303359357962977E-5</v>
      </c>
      <c r="L102" s="296"/>
      <c r="M102" s="332" t="e">
        <f t="shared" si="71"/>
        <v>#DIV/0!</v>
      </c>
      <c r="N102" s="296">
        <f t="shared" si="74"/>
        <v>543</v>
      </c>
      <c r="O102" s="336" t="e">
        <f t="shared" si="75"/>
        <v>#DIV/0!</v>
      </c>
      <c r="P102" s="244"/>
    </row>
    <row r="103" spans="1:16" ht="15.75" customHeight="1" x14ac:dyDescent="0.25">
      <c r="A103" s="244"/>
      <c r="B103" s="263"/>
      <c r="C103" s="263" t="s">
        <v>228</v>
      </c>
      <c r="D103" s="265">
        <v>36387.019999999997</v>
      </c>
      <c r="E103" s="332">
        <f t="shared" si="68"/>
        <v>3.7007626987327516E-3</v>
      </c>
      <c r="F103" s="296"/>
      <c r="G103" s="332" t="e">
        <f t="shared" si="69"/>
        <v>#DIV/0!</v>
      </c>
      <c r="H103" s="296">
        <f t="shared" si="72"/>
        <v>36387.019999999997</v>
      </c>
      <c r="I103" s="336" t="e">
        <f t="shared" si="73"/>
        <v>#DIV/0!</v>
      </c>
      <c r="J103" s="265">
        <v>45118.38</v>
      </c>
      <c r="K103" s="332">
        <f t="shared" si="70"/>
        <v>4.8444808891144192E-3</v>
      </c>
      <c r="L103" s="296"/>
      <c r="M103" s="332" t="e">
        <f t="shared" si="71"/>
        <v>#DIV/0!</v>
      </c>
      <c r="N103" s="296">
        <f t="shared" si="74"/>
        <v>45118.38</v>
      </c>
      <c r="O103" s="336" t="e">
        <f t="shared" si="75"/>
        <v>#DIV/0!</v>
      </c>
      <c r="P103" s="244"/>
    </row>
    <row r="104" spans="1:16" ht="15.75" customHeight="1" x14ac:dyDescent="0.25">
      <c r="A104" s="244"/>
      <c r="B104" s="263"/>
      <c r="C104" s="263" t="s">
        <v>229</v>
      </c>
      <c r="D104" s="265"/>
      <c r="E104" s="332">
        <f t="shared" si="68"/>
        <v>0</v>
      </c>
      <c r="F104" s="296"/>
      <c r="G104" s="332" t="e">
        <f t="shared" si="69"/>
        <v>#DIV/0!</v>
      </c>
      <c r="H104" s="296">
        <f t="shared" si="72"/>
        <v>0</v>
      </c>
      <c r="I104" s="336" t="e">
        <f t="shared" si="73"/>
        <v>#DIV/0!</v>
      </c>
      <c r="J104" s="265"/>
      <c r="K104" s="332">
        <f t="shared" si="70"/>
        <v>0</v>
      </c>
      <c r="L104" s="296"/>
      <c r="M104" s="332" t="e">
        <f t="shared" si="71"/>
        <v>#DIV/0!</v>
      </c>
      <c r="N104" s="296">
        <f t="shared" si="74"/>
        <v>0</v>
      </c>
      <c r="O104" s="336" t="e">
        <f t="shared" si="75"/>
        <v>#DIV/0!</v>
      </c>
      <c r="P104" s="244"/>
    </row>
    <row r="105" spans="1:16" ht="15.75" customHeight="1" x14ac:dyDescent="0.25">
      <c r="A105" s="244"/>
      <c r="B105" s="263"/>
      <c r="C105" s="263" t="s">
        <v>230</v>
      </c>
      <c r="D105" s="265">
        <v>7557</v>
      </c>
      <c r="E105" s="332">
        <f t="shared" si="68"/>
        <v>7.685890109803827E-4</v>
      </c>
      <c r="F105" s="296"/>
      <c r="G105" s="332" t="e">
        <f t="shared" si="69"/>
        <v>#DIV/0!</v>
      </c>
      <c r="H105" s="296">
        <f t="shared" si="72"/>
        <v>7557</v>
      </c>
      <c r="I105" s="336" t="e">
        <f t="shared" si="73"/>
        <v>#DIV/0!</v>
      </c>
      <c r="J105" s="265">
        <v>2617</v>
      </c>
      <c r="K105" s="332">
        <f t="shared" si="70"/>
        <v>2.8099427521139801E-4</v>
      </c>
      <c r="L105" s="296"/>
      <c r="M105" s="332" t="e">
        <f t="shared" si="71"/>
        <v>#DIV/0!</v>
      </c>
      <c r="N105" s="296">
        <f t="shared" si="74"/>
        <v>2617</v>
      </c>
      <c r="O105" s="336" t="e">
        <f t="shared" si="75"/>
        <v>#DIV/0!</v>
      </c>
      <c r="P105" s="244"/>
    </row>
    <row r="106" spans="1:16" ht="15.75" customHeight="1" x14ac:dyDescent="0.25">
      <c r="A106" s="244"/>
      <c r="B106" s="263"/>
      <c r="C106" s="263" t="s">
        <v>231</v>
      </c>
      <c r="D106" s="265"/>
      <c r="E106" s="332">
        <f t="shared" si="68"/>
        <v>0</v>
      </c>
      <c r="F106" s="296"/>
      <c r="G106" s="332" t="e">
        <f t="shared" si="69"/>
        <v>#DIV/0!</v>
      </c>
      <c r="H106" s="296">
        <f t="shared" si="72"/>
        <v>0</v>
      </c>
      <c r="I106" s="336" t="e">
        <f t="shared" si="73"/>
        <v>#DIV/0!</v>
      </c>
      <c r="J106" s="265"/>
      <c r="K106" s="332">
        <f t="shared" si="70"/>
        <v>0</v>
      </c>
      <c r="L106" s="296"/>
      <c r="M106" s="332" t="e">
        <f t="shared" si="71"/>
        <v>#DIV/0!</v>
      </c>
      <c r="N106" s="296">
        <f t="shared" si="74"/>
        <v>0</v>
      </c>
      <c r="O106" s="336" t="e">
        <f t="shared" si="75"/>
        <v>#DIV/0!</v>
      </c>
      <c r="P106" s="244"/>
    </row>
    <row r="107" spans="1:16" ht="15.75" customHeight="1" x14ac:dyDescent="0.25">
      <c r="A107" s="244"/>
      <c r="B107" s="263"/>
      <c r="C107" s="534" t="s">
        <v>232</v>
      </c>
      <c r="D107" s="265"/>
      <c r="E107" s="332">
        <f t="shared" si="68"/>
        <v>0</v>
      </c>
      <c r="F107" s="296"/>
      <c r="G107" s="332" t="e">
        <f t="shared" si="69"/>
        <v>#DIV/0!</v>
      </c>
      <c r="H107" s="296">
        <f t="shared" si="72"/>
        <v>0</v>
      </c>
      <c r="I107" s="336" t="e">
        <f t="shared" si="73"/>
        <v>#DIV/0!</v>
      </c>
      <c r="J107" s="265"/>
      <c r="K107" s="332">
        <f t="shared" si="70"/>
        <v>0</v>
      </c>
      <c r="L107" s="296"/>
      <c r="M107" s="332" t="e">
        <f t="shared" si="71"/>
        <v>#DIV/0!</v>
      </c>
      <c r="N107" s="296">
        <f t="shared" si="74"/>
        <v>0</v>
      </c>
      <c r="O107" s="336" t="e">
        <f t="shared" si="75"/>
        <v>#DIV/0!</v>
      </c>
      <c r="P107" s="244"/>
    </row>
    <row r="108" spans="1:16" ht="15.75" customHeight="1" x14ac:dyDescent="0.25">
      <c r="A108" s="244"/>
      <c r="B108" s="274"/>
      <c r="C108" s="541"/>
      <c r="D108" s="276"/>
      <c r="E108" s="337">
        <f t="shared" si="68"/>
        <v>0</v>
      </c>
      <c r="F108" s="317"/>
      <c r="G108" s="316"/>
      <c r="H108" s="316"/>
      <c r="I108" s="318"/>
      <c r="J108" s="276"/>
      <c r="K108" s="332">
        <f t="shared" si="70"/>
        <v>0</v>
      </c>
      <c r="L108" s="296"/>
      <c r="M108" s="313"/>
      <c r="N108" s="313"/>
      <c r="O108" s="271"/>
      <c r="P108" s="244"/>
    </row>
    <row r="109" spans="1:16" ht="15.75" customHeight="1" x14ac:dyDescent="0.25">
      <c r="A109" s="244"/>
      <c r="B109" s="279"/>
      <c r="C109" s="501" t="s">
        <v>38</v>
      </c>
      <c r="D109" s="367">
        <f>SUM(D110)</f>
        <v>25508</v>
      </c>
      <c r="E109" s="490">
        <f t="shared" si="68"/>
        <v>2.5943057419726876E-3</v>
      </c>
      <c r="F109" s="367">
        <f>SUM(F110)</f>
        <v>0</v>
      </c>
      <c r="G109" s="490" t="e">
        <f>F109/F$29</f>
        <v>#DIV/0!</v>
      </c>
      <c r="H109" s="367">
        <f>SUM(H110)</f>
        <v>25508</v>
      </c>
      <c r="I109" s="255"/>
      <c r="J109" s="367">
        <f>SUM(J110)</f>
        <v>29639.82</v>
      </c>
      <c r="K109" s="505">
        <f t="shared" si="70"/>
        <v>3.1825065870448219E-3</v>
      </c>
      <c r="L109" s="445">
        <f>SUM(L110)</f>
        <v>0</v>
      </c>
      <c r="M109" s="446" t="e">
        <f>L109/L$29</f>
        <v>#DIV/0!</v>
      </c>
      <c r="N109" s="447">
        <f>SUM(N110)</f>
        <v>29639.82</v>
      </c>
      <c r="O109" s="449"/>
      <c r="P109" s="246"/>
    </row>
    <row r="110" spans="1:16" ht="15.75" customHeight="1" x14ac:dyDescent="0.25">
      <c r="A110" s="244"/>
      <c r="B110" s="282"/>
      <c r="C110" s="282" t="s">
        <v>276</v>
      </c>
      <c r="D110" s="261">
        <v>25508</v>
      </c>
      <c r="E110" s="326">
        <f t="shared" si="68"/>
        <v>2.5943057419726876E-3</v>
      </c>
      <c r="F110" s="327"/>
      <c r="G110" s="326">
        <v>1.2E-2</v>
      </c>
      <c r="H110" s="327">
        <f>D110-F110</f>
        <v>25508</v>
      </c>
      <c r="I110" s="373"/>
      <c r="J110" s="261">
        <v>29639.82</v>
      </c>
      <c r="K110" s="332">
        <f t="shared" si="70"/>
        <v>3.1825065870448219E-3</v>
      </c>
      <c r="L110" s="296"/>
      <c r="M110" s="332">
        <v>1.2E-2</v>
      </c>
      <c r="N110" s="296">
        <f>J110-L110</f>
        <v>29639.82</v>
      </c>
      <c r="O110" s="271"/>
      <c r="P110" s="244"/>
    </row>
    <row r="111" spans="1:16" ht="15.75" customHeight="1" x14ac:dyDescent="0.25">
      <c r="A111" s="244"/>
      <c r="B111" s="274"/>
      <c r="C111" s="274"/>
      <c r="D111" s="276"/>
      <c r="E111" s="316"/>
      <c r="F111" s="317"/>
      <c r="G111" s="316"/>
      <c r="H111" s="316"/>
      <c r="I111" s="318"/>
      <c r="J111" s="276"/>
      <c r="K111" s="313"/>
      <c r="L111" s="296"/>
      <c r="M111" s="313"/>
      <c r="N111" s="313"/>
      <c r="O111" s="271"/>
      <c r="P111" s="244"/>
    </row>
    <row r="112" spans="1:16" ht="15.75" customHeight="1" x14ac:dyDescent="0.25">
      <c r="A112" s="244"/>
      <c r="B112" s="279"/>
      <c r="C112" s="501" t="s">
        <v>238</v>
      </c>
      <c r="D112" s="367">
        <f>SUM(D113:D114)</f>
        <v>49820.333333333336</v>
      </c>
      <c r="E112" s="490">
        <f t="shared" ref="E112:E113" si="76">D112/D$29</f>
        <v>5.0670055211564985E-3</v>
      </c>
      <c r="F112" s="367">
        <f>SUM(F113:F114)</f>
        <v>49820.333333333336</v>
      </c>
      <c r="G112" s="490" t="e">
        <f t="shared" ref="G112:G113" si="77">F112/F$29</f>
        <v>#DIV/0!</v>
      </c>
      <c r="H112" s="489">
        <f>SUM(H113:H114)</f>
        <v>49820.333333333336</v>
      </c>
      <c r="I112" s="255"/>
      <c r="J112" s="367">
        <f>SUM(J113:J114)</f>
        <v>49820.333333333336</v>
      </c>
      <c r="K112" s="505">
        <f t="shared" ref="K112:K114" si="78">J112/J$29</f>
        <v>5.3493421688155345E-3</v>
      </c>
      <c r="L112" s="447">
        <f>SUM(L113:L114)</f>
        <v>0</v>
      </c>
      <c r="M112" s="446" t="e">
        <f t="shared" ref="M112:M114" si="79">L112/L$29</f>
        <v>#DIV/0!</v>
      </c>
      <c r="N112" s="448">
        <f>SUM(N113:N114)</f>
        <v>49820.333333333336</v>
      </c>
      <c r="O112" s="449"/>
      <c r="P112" s="246"/>
    </row>
    <row r="113" spans="1:16" ht="15.75" customHeight="1" x14ac:dyDescent="0.25">
      <c r="A113" s="244"/>
      <c r="B113" s="282"/>
      <c r="C113" s="282" t="s">
        <v>239</v>
      </c>
      <c r="D113" s="261">
        <v>0</v>
      </c>
      <c r="E113" s="326">
        <f t="shared" si="76"/>
        <v>0</v>
      </c>
      <c r="F113" s="327"/>
      <c r="G113" s="326" t="e">
        <f t="shared" si="77"/>
        <v>#DIV/0!</v>
      </c>
      <c r="H113" s="412">
        <f>D113-F113</f>
        <v>0</v>
      </c>
      <c r="I113" s="330" t="e">
        <f>H113/F113</f>
        <v>#DIV/0!</v>
      </c>
      <c r="J113" s="261">
        <v>0</v>
      </c>
      <c r="K113" s="332">
        <f t="shared" si="78"/>
        <v>0</v>
      </c>
      <c r="L113" s="296"/>
      <c r="M113" s="332" t="e">
        <f t="shared" si="79"/>
        <v>#DIV/0!</v>
      </c>
      <c r="N113" s="415">
        <f t="shared" ref="N113:N114" si="80">J113-L113</f>
        <v>0</v>
      </c>
      <c r="O113" s="336" t="e">
        <f t="shared" ref="O113:O115" si="81">N113/L113</f>
        <v>#DIV/0!</v>
      </c>
      <c r="P113" s="244"/>
    </row>
    <row r="114" spans="1:16" ht="15.75" customHeight="1" x14ac:dyDescent="0.25">
      <c r="A114" s="244"/>
      <c r="B114" s="263"/>
      <c r="C114" s="263" t="s">
        <v>301</v>
      </c>
      <c r="D114" s="265">
        <v>49820.333333333336</v>
      </c>
      <c r="E114" s="265">
        <v>49820.333333333336</v>
      </c>
      <c r="F114" s="265">
        <v>49820.333333333336</v>
      </c>
      <c r="G114" s="265">
        <v>49820.333333333336</v>
      </c>
      <c r="H114" s="265">
        <v>49820.333333333336</v>
      </c>
      <c r="I114" s="265">
        <v>49820.333333333336</v>
      </c>
      <c r="J114" s="265">
        <v>49820.333333333336</v>
      </c>
      <c r="K114" s="332">
        <f t="shared" si="78"/>
        <v>5.3493421688155345E-3</v>
      </c>
      <c r="L114" s="296"/>
      <c r="M114" s="332" t="e">
        <f t="shared" si="79"/>
        <v>#DIV/0!</v>
      </c>
      <c r="N114" s="415">
        <f t="shared" si="80"/>
        <v>49820.333333333336</v>
      </c>
      <c r="O114" s="336" t="e">
        <f t="shared" si="81"/>
        <v>#DIV/0!</v>
      </c>
      <c r="P114" s="244"/>
    </row>
    <row r="115" spans="1:16" ht="15.75" customHeight="1" x14ac:dyDescent="0.25">
      <c r="A115" s="244"/>
      <c r="B115" s="274"/>
      <c r="C115" s="274"/>
      <c r="D115" s="276"/>
      <c r="E115" s="316"/>
      <c r="F115" s="317"/>
      <c r="G115" s="316"/>
      <c r="H115" s="469"/>
      <c r="I115" s="338" t="e">
        <f>H115/F115</f>
        <v>#DIV/0!</v>
      </c>
      <c r="J115" s="276"/>
      <c r="K115" s="313"/>
      <c r="L115" s="296"/>
      <c r="M115" s="313"/>
      <c r="N115" s="415"/>
      <c r="O115" s="336" t="e">
        <f t="shared" si="81"/>
        <v>#DIV/0!</v>
      </c>
      <c r="P115" s="244"/>
    </row>
    <row r="116" spans="1:16" ht="15.75" customHeight="1" x14ac:dyDescent="0.25">
      <c r="A116" s="244"/>
      <c r="B116" s="279"/>
      <c r="C116" s="501" t="s">
        <v>40</v>
      </c>
      <c r="D116" s="367">
        <f>SUM(D117:D129)</f>
        <v>327269.25</v>
      </c>
      <c r="E116" s="490">
        <f t="shared" ref="E116:E118" si="82">D116/D$29</f>
        <v>3.3285106415481221E-2</v>
      </c>
      <c r="F116" s="367">
        <f>SUM(F117:F128)</f>
        <v>15522.25</v>
      </c>
      <c r="G116" s="490" t="e">
        <f t="shared" ref="G116:G118" si="83">F116/F$29</f>
        <v>#DIV/0!</v>
      </c>
      <c r="H116" s="367">
        <f>SUM(H117:H129)</f>
        <v>327269.25</v>
      </c>
      <c r="I116" s="255"/>
      <c r="J116" s="367">
        <f>SUM(J117:J129)</f>
        <v>141618.25</v>
      </c>
      <c r="K116" s="505">
        <f t="shared" ref="K116:K129" si="84">J116/J$29</f>
        <v>1.5205929505333039E-2</v>
      </c>
      <c r="L116" s="447">
        <f>SUM(L117:L128)</f>
        <v>0</v>
      </c>
      <c r="M116" s="446" t="e">
        <f t="shared" ref="M116:M132" si="85">L116/L$29</f>
        <v>#DIV/0!</v>
      </c>
      <c r="N116" s="445">
        <f>SUM(N117:N129)</f>
        <v>141618.25</v>
      </c>
      <c r="O116" s="449"/>
      <c r="P116" s="246"/>
    </row>
    <row r="117" spans="1:16" ht="15.75" customHeight="1" x14ac:dyDescent="0.25">
      <c r="A117" s="244"/>
      <c r="B117" s="282"/>
      <c r="C117" s="282" t="s">
        <v>241</v>
      </c>
      <c r="D117" s="261">
        <v>0</v>
      </c>
      <c r="E117" s="326">
        <f t="shared" si="82"/>
        <v>0</v>
      </c>
      <c r="F117" s="327"/>
      <c r="G117" s="326" t="e">
        <f t="shared" si="83"/>
        <v>#DIV/0!</v>
      </c>
      <c r="H117" s="327">
        <f t="shared" ref="H117:H118" si="86">D117-F117</f>
        <v>0</v>
      </c>
      <c r="I117" s="330" t="e">
        <f t="shared" ref="I117:I118" si="87">H117/F117</f>
        <v>#DIV/0!</v>
      </c>
      <c r="J117" s="261">
        <v>0</v>
      </c>
      <c r="K117" s="332">
        <f t="shared" si="84"/>
        <v>0</v>
      </c>
      <c r="L117" s="296"/>
      <c r="M117" s="332" t="e">
        <f t="shared" si="85"/>
        <v>#DIV/0!</v>
      </c>
      <c r="N117" s="296">
        <f t="shared" ref="N117:N129" si="88">J117-L117</f>
        <v>0</v>
      </c>
      <c r="O117" s="336" t="e">
        <f t="shared" ref="O117:O129" si="89">N117/L117</f>
        <v>#DIV/0!</v>
      </c>
      <c r="P117" s="244"/>
    </row>
    <row r="118" spans="1:16" ht="15.75" customHeight="1" x14ac:dyDescent="0.25">
      <c r="A118" s="244"/>
      <c r="B118" s="263"/>
      <c r="C118" s="263" t="s">
        <v>242</v>
      </c>
      <c r="D118" s="265">
        <v>1072</v>
      </c>
      <c r="E118" s="332">
        <f t="shared" si="82"/>
        <v>1.0902837366295755E-4</v>
      </c>
      <c r="F118" s="296"/>
      <c r="G118" s="332" t="e">
        <f t="shared" si="83"/>
        <v>#DIV/0!</v>
      </c>
      <c r="H118" s="296">
        <f t="shared" si="86"/>
        <v>1072</v>
      </c>
      <c r="I118" s="336" t="e">
        <f t="shared" si="87"/>
        <v>#DIV/0!</v>
      </c>
      <c r="J118" s="265">
        <v>1339</v>
      </c>
      <c r="K118" s="332">
        <f t="shared" si="84"/>
        <v>1.4377200401530834E-4</v>
      </c>
      <c r="L118" s="296"/>
      <c r="M118" s="332" t="e">
        <f t="shared" si="85"/>
        <v>#DIV/0!</v>
      </c>
      <c r="N118" s="296">
        <f t="shared" si="88"/>
        <v>1339</v>
      </c>
      <c r="O118" s="336" t="e">
        <f t="shared" si="89"/>
        <v>#DIV/0!</v>
      </c>
      <c r="P118" s="244"/>
    </row>
    <row r="119" spans="1:16" ht="15.75" customHeight="1" x14ac:dyDescent="0.25">
      <c r="A119" s="244"/>
      <c r="B119" s="263"/>
      <c r="C119" s="263" t="s">
        <v>243</v>
      </c>
      <c r="D119" s="265">
        <v>1362.25</v>
      </c>
      <c r="E119" s="265">
        <v>1362.25</v>
      </c>
      <c r="F119" s="265">
        <v>1362.25</v>
      </c>
      <c r="G119" s="265">
        <v>1362.25</v>
      </c>
      <c r="H119" s="265">
        <v>1362.25</v>
      </c>
      <c r="I119" s="265">
        <v>1362.25</v>
      </c>
      <c r="J119" s="265">
        <v>1362.25</v>
      </c>
      <c r="K119" s="332">
        <f t="shared" si="84"/>
        <v>1.4626841857345315E-4</v>
      </c>
      <c r="L119" s="296"/>
      <c r="M119" s="332" t="e">
        <f t="shared" si="85"/>
        <v>#DIV/0!</v>
      </c>
      <c r="N119" s="296">
        <f t="shared" si="88"/>
        <v>1362.25</v>
      </c>
      <c r="O119" s="336" t="e">
        <f t="shared" si="89"/>
        <v>#DIV/0!</v>
      </c>
      <c r="P119" s="244"/>
    </row>
    <row r="120" spans="1:16" ht="15.75" customHeight="1" x14ac:dyDescent="0.25">
      <c r="A120" s="244"/>
      <c r="B120" s="263"/>
      <c r="C120" s="263" t="s">
        <v>244</v>
      </c>
      <c r="D120" s="265">
        <v>0</v>
      </c>
      <c r="E120" s="332">
        <f t="shared" ref="E120:E126" si="90">D120/D$29</f>
        <v>0</v>
      </c>
      <c r="F120" s="296"/>
      <c r="G120" s="332" t="e">
        <f t="shared" ref="G120:G126" si="91">F120/F$29</f>
        <v>#DIV/0!</v>
      </c>
      <c r="H120" s="296">
        <f t="shared" ref="H120:H126" si="92">D120-F120</f>
        <v>0</v>
      </c>
      <c r="I120" s="336" t="e">
        <f t="shared" ref="I120:I126" si="93">H120/F120</f>
        <v>#DIV/0!</v>
      </c>
      <c r="J120" s="265">
        <v>0</v>
      </c>
      <c r="K120" s="332">
        <f t="shared" si="84"/>
        <v>0</v>
      </c>
      <c r="L120" s="296"/>
      <c r="M120" s="332" t="e">
        <f t="shared" si="85"/>
        <v>#DIV/0!</v>
      </c>
      <c r="N120" s="296">
        <f t="shared" si="88"/>
        <v>0</v>
      </c>
      <c r="O120" s="336" t="e">
        <f t="shared" si="89"/>
        <v>#DIV/0!</v>
      </c>
      <c r="P120" s="244"/>
    </row>
    <row r="121" spans="1:16" ht="15.75" customHeight="1" x14ac:dyDescent="0.25">
      <c r="A121" s="244"/>
      <c r="B121" s="263"/>
      <c r="C121" s="263" t="s">
        <v>290</v>
      </c>
      <c r="D121" s="265">
        <v>0</v>
      </c>
      <c r="E121" s="332">
        <f t="shared" si="90"/>
        <v>0</v>
      </c>
      <c r="F121" s="296"/>
      <c r="G121" s="332" t="e">
        <f t="shared" si="91"/>
        <v>#DIV/0!</v>
      </c>
      <c r="H121" s="296">
        <f t="shared" si="92"/>
        <v>0</v>
      </c>
      <c r="I121" s="336" t="e">
        <f t="shared" si="93"/>
        <v>#DIV/0!</v>
      </c>
      <c r="J121" s="265">
        <v>0</v>
      </c>
      <c r="K121" s="332">
        <f t="shared" si="84"/>
        <v>0</v>
      </c>
      <c r="L121" s="296"/>
      <c r="M121" s="332" t="e">
        <f t="shared" si="85"/>
        <v>#DIV/0!</v>
      </c>
      <c r="N121" s="296">
        <f t="shared" si="88"/>
        <v>0</v>
      </c>
      <c r="O121" s="336" t="e">
        <f t="shared" si="89"/>
        <v>#DIV/0!</v>
      </c>
      <c r="P121" s="244"/>
    </row>
    <row r="122" spans="1:16" ht="15.75" customHeight="1" x14ac:dyDescent="0.25">
      <c r="A122" s="244"/>
      <c r="B122" s="263"/>
      <c r="C122" s="263" t="s">
        <v>247</v>
      </c>
      <c r="D122" s="265">
        <v>277890</v>
      </c>
      <c r="E122" s="332">
        <f t="shared" si="90"/>
        <v>2.8262961527238131E-2</v>
      </c>
      <c r="F122" s="296"/>
      <c r="G122" s="332" t="e">
        <f t="shared" si="91"/>
        <v>#DIV/0!</v>
      </c>
      <c r="H122" s="296">
        <f t="shared" si="92"/>
        <v>277890</v>
      </c>
      <c r="I122" s="336" t="e">
        <f t="shared" si="93"/>
        <v>#DIV/0!</v>
      </c>
      <c r="J122" s="265">
        <v>77101</v>
      </c>
      <c r="K122" s="332">
        <f t="shared" si="84"/>
        <v>8.2785401654849045E-3</v>
      </c>
      <c r="L122" s="296"/>
      <c r="M122" s="332" t="e">
        <f t="shared" si="85"/>
        <v>#DIV/0!</v>
      </c>
      <c r="N122" s="296">
        <f t="shared" si="88"/>
        <v>77101</v>
      </c>
      <c r="O122" s="336" t="e">
        <f t="shared" si="89"/>
        <v>#DIV/0!</v>
      </c>
      <c r="P122" s="244"/>
    </row>
    <row r="123" spans="1:16" ht="15.75" customHeight="1" x14ac:dyDescent="0.25">
      <c r="A123" s="244"/>
      <c r="B123" s="263"/>
      <c r="C123" s="263" t="s">
        <v>246</v>
      </c>
      <c r="D123" s="265">
        <v>6195</v>
      </c>
      <c r="E123" s="332">
        <f t="shared" si="90"/>
        <v>6.3006602130785639E-4</v>
      </c>
      <c r="F123" s="296"/>
      <c r="G123" s="332" t="e">
        <f t="shared" si="91"/>
        <v>#DIV/0!</v>
      </c>
      <c r="H123" s="296">
        <f t="shared" si="92"/>
        <v>6195</v>
      </c>
      <c r="I123" s="336" t="e">
        <f t="shared" si="93"/>
        <v>#DIV/0!</v>
      </c>
      <c r="J123" s="265">
        <v>8909</v>
      </c>
      <c r="K123" s="332">
        <f t="shared" si="84"/>
        <v>9.5658310961342944E-4</v>
      </c>
      <c r="L123" s="296"/>
      <c r="M123" s="332" t="e">
        <f t="shared" si="85"/>
        <v>#DIV/0!</v>
      </c>
      <c r="N123" s="296">
        <f t="shared" si="88"/>
        <v>8909</v>
      </c>
      <c r="O123" s="336" t="e">
        <f t="shared" si="89"/>
        <v>#DIV/0!</v>
      </c>
      <c r="P123" s="244"/>
    </row>
    <row r="124" spans="1:16" ht="15.75" customHeight="1" x14ac:dyDescent="0.25">
      <c r="A124" s="244"/>
      <c r="B124" s="263"/>
      <c r="C124" s="263" t="s">
        <v>249</v>
      </c>
      <c r="D124" s="265">
        <v>0</v>
      </c>
      <c r="E124" s="332">
        <f t="shared" si="90"/>
        <v>0</v>
      </c>
      <c r="F124" s="296"/>
      <c r="G124" s="332" t="e">
        <f t="shared" si="91"/>
        <v>#DIV/0!</v>
      </c>
      <c r="H124" s="296">
        <f t="shared" si="92"/>
        <v>0</v>
      </c>
      <c r="I124" s="336" t="e">
        <f t="shared" si="93"/>
        <v>#DIV/0!</v>
      </c>
      <c r="J124" s="265">
        <v>0</v>
      </c>
      <c r="K124" s="332">
        <f t="shared" si="84"/>
        <v>0</v>
      </c>
      <c r="L124" s="296"/>
      <c r="M124" s="332" t="e">
        <f t="shared" si="85"/>
        <v>#DIV/0!</v>
      </c>
      <c r="N124" s="296">
        <f t="shared" si="88"/>
        <v>0</v>
      </c>
      <c r="O124" s="336" t="e">
        <f t="shared" si="89"/>
        <v>#DIV/0!</v>
      </c>
      <c r="P124" s="244"/>
    </row>
    <row r="125" spans="1:16" ht="15.75" customHeight="1" x14ac:dyDescent="0.25">
      <c r="A125" s="244"/>
      <c r="B125" s="263"/>
      <c r="C125" s="263" t="s">
        <v>250</v>
      </c>
      <c r="D125" s="265">
        <v>16230</v>
      </c>
      <c r="E125" s="332">
        <f t="shared" si="90"/>
        <v>1.6506814408113817E-3</v>
      </c>
      <c r="F125" s="296"/>
      <c r="G125" s="332" t="e">
        <f t="shared" si="91"/>
        <v>#DIV/0!</v>
      </c>
      <c r="H125" s="296">
        <f t="shared" si="92"/>
        <v>16230</v>
      </c>
      <c r="I125" s="336" t="e">
        <f t="shared" si="93"/>
        <v>#DIV/0!</v>
      </c>
      <c r="J125" s="265">
        <v>19335</v>
      </c>
      <c r="K125" s="332">
        <f t="shared" si="84"/>
        <v>2.0760505583539857E-3</v>
      </c>
      <c r="L125" s="296"/>
      <c r="M125" s="332" t="e">
        <f t="shared" si="85"/>
        <v>#DIV/0!</v>
      </c>
      <c r="N125" s="296">
        <f t="shared" si="88"/>
        <v>19335</v>
      </c>
      <c r="O125" s="336" t="e">
        <f t="shared" si="89"/>
        <v>#DIV/0!</v>
      </c>
      <c r="P125" s="244"/>
    </row>
    <row r="126" spans="1:16" ht="15.75" customHeight="1" x14ac:dyDescent="0.25">
      <c r="A126" s="244"/>
      <c r="B126" s="263"/>
      <c r="C126" s="263" t="s">
        <v>251</v>
      </c>
      <c r="D126" s="265">
        <v>10360</v>
      </c>
      <c r="E126" s="332">
        <f t="shared" si="90"/>
        <v>1.0536697305487317E-3</v>
      </c>
      <c r="F126" s="296"/>
      <c r="G126" s="332" t="e">
        <f t="shared" si="91"/>
        <v>#DIV/0!</v>
      </c>
      <c r="H126" s="296">
        <f t="shared" si="92"/>
        <v>10360</v>
      </c>
      <c r="I126" s="336" t="e">
        <f t="shared" si="93"/>
        <v>#DIV/0!</v>
      </c>
      <c r="J126" s="265">
        <v>19412</v>
      </c>
      <c r="K126" s="332">
        <f t="shared" si="84"/>
        <v>2.0843182538798845E-3</v>
      </c>
      <c r="L126" s="296"/>
      <c r="M126" s="332" t="e">
        <f t="shared" si="85"/>
        <v>#DIV/0!</v>
      </c>
      <c r="N126" s="296">
        <f t="shared" si="88"/>
        <v>19412</v>
      </c>
      <c r="O126" s="336" t="e">
        <f t="shared" si="89"/>
        <v>#DIV/0!</v>
      </c>
      <c r="P126" s="244"/>
    </row>
    <row r="127" spans="1:16" ht="15.75" customHeight="1" x14ac:dyDescent="0.25">
      <c r="A127" s="244"/>
      <c r="B127" s="263"/>
      <c r="C127" s="263" t="s">
        <v>311</v>
      </c>
      <c r="D127" s="265">
        <v>14160</v>
      </c>
      <c r="E127" s="265">
        <v>14160</v>
      </c>
      <c r="F127" s="265">
        <v>14160</v>
      </c>
      <c r="G127" s="265">
        <v>14160</v>
      </c>
      <c r="H127" s="265">
        <v>14160</v>
      </c>
      <c r="I127" s="265">
        <v>14160</v>
      </c>
      <c r="J127" s="265">
        <v>14160</v>
      </c>
      <c r="K127" s="332">
        <f t="shared" si="84"/>
        <v>1.5203969954120731E-3</v>
      </c>
      <c r="L127" s="296"/>
      <c r="M127" s="332" t="e">
        <f t="shared" si="85"/>
        <v>#DIV/0!</v>
      </c>
      <c r="N127" s="296">
        <f t="shared" si="88"/>
        <v>14160</v>
      </c>
      <c r="O127" s="336" t="e">
        <f t="shared" si="89"/>
        <v>#DIV/0!</v>
      </c>
      <c r="P127" s="244"/>
    </row>
    <row r="128" spans="1:16" ht="15.75" customHeight="1" x14ac:dyDescent="0.25">
      <c r="A128" s="244"/>
      <c r="B128" s="263"/>
      <c r="C128" s="263" t="s">
        <v>303</v>
      </c>
      <c r="D128" s="265">
        <v>0</v>
      </c>
      <c r="E128" s="332">
        <f t="shared" ref="E128:E129" si="94">D128/D$29</f>
        <v>0</v>
      </c>
      <c r="F128" s="296"/>
      <c r="G128" s="332" t="e">
        <f t="shared" ref="G128:G132" si="95">F128/F$29</f>
        <v>#DIV/0!</v>
      </c>
      <c r="H128" s="296">
        <f t="shared" ref="H128:H129" si="96">D128-F128</f>
        <v>0</v>
      </c>
      <c r="I128" s="336" t="e">
        <f t="shared" ref="I128:I129" si="97">H128/F128</f>
        <v>#DIV/0!</v>
      </c>
      <c r="J128" s="265">
        <v>0</v>
      </c>
      <c r="K128" s="332">
        <f t="shared" si="84"/>
        <v>0</v>
      </c>
      <c r="L128" s="296"/>
      <c r="M128" s="332" t="e">
        <f t="shared" si="85"/>
        <v>#DIV/0!</v>
      </c>
      <c r="N128" s="296">
        <f t="shared" si="88"/>
        <v>0</v>
      </c>
      <c r="O128" s="336" t="e">
        <f t="shared" si="89"/>
        <v>#DIV/0!</v>
      </c>
      <c r="P128" s="244"/>
    </row>
    <row r="129" spans="1:16" ht="15.75" customHeight="1" x14ac:dyDescent="0.25">
      <c r="A129" s="244"/>
      <c r="B129" s="263"/>
      <c r="C129" s="263" t="s">
        <v>280</v>
      </c>
      <c r="D129" s="265">
        <v>0</v>
      </c>
      <c r="E129" s="332">
        <f t="shared" si="94"/>
        <v>0</v>
      </c>
      <c r="F129" s="296"/>
      <c r="G129" s="332" t="e">
        <f t="shared" si="95"/>
        <v>#DIV/0!</v>
      </c>
      <c r="H129" s="296">
        <f t="shared" si="96"/>
        <v>0</v>
      </c>
      <c r="I129" s="336" t="e">
        <f t="shared" si="97"/>
        <v>#DIV/0!</v>
      </c>
      <c r="J129" s="265">
        <v>0</v>
      </c>
      <c r="K129" s="332">
        <f t="shared" si="84"/>
        <v>0</v>
      </c>
      <c r="L129" s="296"/>
      <c r="M129" s="332" t="e">
        <f t="shared" si="85"/>
        <v>#DIV/0!</v>
      </c>
      <c r="N129" s="296">
        <f t="shared" si="88"/>
        <v>0</v>
      </c>
      <c r="O129" s="336" t="e">
        <f t="shared" si="89"/>
        <v>#DIV/0!</v>
      </c>
      <c r="P129" s="244"/>
    </row>
    <row r="130" spans="1:16" ht="15.75" customHeight="1" x14ac:dyDescent="0.25">
      <c r="A130" s="244"/>
      <c r="B130" s="263"/>
      <c r="C130" s="263"/>
      <c r="D130" s="265"/>
      <c r="E130" s="313"/>
      <c r="F130" s="296"/>
      <c r="G130" s="332" t="e">
        <f t="shared" si="95"/>
        <v>#DIV/0!</v>
      </c>
      <c r="H130" s="313"/>
      <c r="I130" s="271"/>
      <c r="J130" s="265"/>
      <c r="K130" s="313"/>
      <c r="L130" s="296"/>
      <c r="M130" s="332" t="e">
        <f t="shared" si="85"/>
        <v>#DIV/0!</v>
      </c>
      <c r="N130" s="313"/>
      <c r="O130" s="271"/>
      <c r="P130" s="244"/>
    </row>
    <row r="131" spans="1:16" ht="15.75" customHeight="1" x14ac:dyDescent="0.25">
      <c r="A131" s="244"/>
      <c r="B131" s="274"/>
      <c r="C131" s="542"/>
      <c r="D131" s="276"/>
      <c r="E131" s="316"/>
      <c r="F131" s="317"/>
      <c r="G131" s="337" t="e">
        <f t="shared" si="95"/>
        <v>#DIV/0!</v>
      </c>
      <c r="H131" s="316"/>
      <c r="I131" s="318"/>
      <c r="J131" s="276"/>
      <c r="K131" s="313"/>
      <c r="L131" s="296"/>
      <c r="M131" s="332" t="e">
        <f t="shared" si="85"/>
        <v>#DIV/0!</v>
      </c>
      <c r="N131" s="313"/>
      <c r="O131" s="271"/>
      <c r="P131" s="244"/>
    </row>
    <row r="132" spans="1:16" ht="15.75" customHeight="1" x14ac:dyDescent="0.25">
      <c r="A132" s="244"/>
      <c r="B132" s="279"/>
      <c r="C132" s="501" t="s">
        <v>41</v>
      </c>
      <c r="D132" s="536">
        <f>SUM(D133:D134)</f>
        <v>0</v>
      </c>
      <c r="E132" s="537">
        <f>D132/D$29</f>
        <v>0</v>
      </c>
      <c r="F132" s="536">
        <f>SUM(F133:F134)</f>
        <v>0</v>
      </c>
      <c r="G132" s="537" t="e">
        <f t="shared" si="95"/>
        <v>#DIV/0!</v>
      </c>
      <c r="H132" s="543">
        <f>SUM(H133)</f>
        <v>0</v>
      </c>
      <c r="I132" s="504"/>
      <c r="J132" s="536">
        <f>SUM(J133:J134)</f>
        <v>0</v>
      </c>
      <c r="K132" s="335">
        <f>J132/J$29</f>
        <v>0</v>
      </c>
      <c r="L132" s="296">
        <f>SUM(L133:L134)</f>
        <v>0</v>
      </c>
      <c r="M132" s="332" t="e">
        <f t="shared" si="85"/>
        <v>#DIV/0!</v>
      </c>
      <c r="N132" s="529">
        <f>SUM(N133)</f>
        <v>0</v>
      </c>
      <c r="O132" s="271"/>
      <c r="P132" s="246"/>
    </row>
    <row r="133" spans="1:16" ht="15.75" customHeight="1" x14ac:dyDescent="0.25">
      <c r="A133" s="244"/>
      <c r="B133" s="282"/>
      <c r="C133" s="282" t="s">
        <v>253</v>
      </c>
      <c r="D133" s="261">
        <v>0</v>
      </c>
      <c r="E133" s="372"/>
      <c r="F133" s="327"/>
      <c r="G133" s="372"/>
      <c r="H133" s="261">
        <v>0</v>
      </c>
      <c r="I133" s="373"/>
      <c r="J133" s="261">
        <v>0</v>
      </c>
      <c r="K133" s="313"/>
      <c r="L133" s="296"/>
      <c r="M133" s="313"/>
      <c r="N133" s="265">
        <v>0</v>
      </c>
      <c r="O133" s="271"/>
      <c r="P133" s="244"/>
    </row>
    <row r="134" spans="1:16" ht="15.75" customHeight="1" x14ac:dyDescent="0.25">
      <c r="A134" s="244"/>
      <c r="B134" s="263"/>
      <c r="C134" s="263" t="s">
        <v>41</v>
      </c>
      <c r="D134" s="265">
        <v>0</v>
      </c>
      <c r="E134" s="332">
        <f>D134/D$29</f>
        <v>0</v>
      </c>
      <c r="F134" s="296">
        <v>0</v>
      </c>
      <c r="G134" s="332" t="e">
        <f>F134/F$29</f>
        <v>#DIV/0!</v>
      </c>
      <c r="H134" s="265">
        <v>0</v>
      </c>
      <c r="I134" s="271"/>
      <c r="J134" s="265">
        <v>0</v>
      </c>
      <c r="K134" s="332">
        <f>J134/J$29</f>
        <v>0</v>
      </c>
      <c r="L134" s="296">
        <v>0</v>
      </c>
      <c r="M134" s="332" t="e">
        <f>L134/L$29</f>
        <v>#DIV/0!</v>
      </c>
      <c r="N134" s="265">
        <v>0</v>
      </c>
      <c r="O134" s="271"/>
      <c r="P134" s="244"/>
    </row>
    <row r="135" spans="1:16" ht="15.75" customHeight="1" x14ac:dyDescent="0.25">
      <c r="A135" s="244"/>
      <c r="B135" s="274"/>
      <c r="C135" s="274"/>
      <c r="D135" s="276"/>
      <c r="E135" s="316"/>
      <c r="F135" s="317"/>
      <c r="G135" s="316"/>
      <c r="H135" s="316"/>
      <c r="I135" s="318"/>
      <c r="J135" s="276"/>
      <c r="K135" s="313"/>
      <c r="L135" s="296"/>
      <c r="M135" s="313"/>
      <c r="N135" s="313"/>
      <c r="O135" s="271"/>
      <c r="P135" s="244"/>
    </row>
    <row r="136" spans="1:16" ht="15.75" customHeight="1" x14ac:dyDescent="0.25">
      <c r="A136" s="244"/>
      <c r="B136" s="279"/>
      <c r="C136" s="501" t="s">
        <v>42</v>
      </c>
      <c r="D136" s="536">
        <f>SUM(D137:D138)</f>
        <v>0</v>
      </c>
      <c r="E136" s="537">
        <f>D136/D$29</f>
        <v>0</v>
      </c>
      <c r="F136" s="536">
        <f>SUM(F137:F138)</f>
        <v>0</v>
      </c>
      <c r="G136" s="537" t="e">
        <f>F136/F$29</f>
        <v>#DIV/0!</v>
      </c>
      <c r="H136" s="536">
        <f>SUM(H137:H138)</f>
        <v>0</v>
      </c>
      <c r="I136" s="504"/>
      <c r="J136" s="536">
        <f>SUM(J137:J138)</f>
        <v>0</v>
      </c>
      <c r="K136" s="335">
        <f>J136/J$29</f>
        <v>0</v>
      </c>
      <c r="L136" s="296">
        <f>SUM(L137:L138)</f>
        <v>0</v>
      </c>
      <c r="M136" s="332" t="e">
        <f>L136/L$29</f>
        <v>#DIV/0!</v>
      </c>
      <c r="N136" s="265">
        <f>SUM(N137:N138)</f>
        <v>0</v>
      </c>
      <c r="O136" s="271"/>
      <c r="P136" s="246"/>
    </row>
    <row r="137" spans="1:16" ht="15.75" customHeight="1" x14ac:dyDescent="0.25">
      <c r="A137" s="244"/>
      <c r="B137" s="282"/>
      <c r="C137" s="282" t="s">
        <v>283</v>
      </c>
      <c r="D137" s="261">
        <v>0</v>
      </c>
      <c r="E137" s="372"/>
      <c r="F137" s="327"/>
      <c r="G137" s="326"/>
      <c r="H137" s="372"/>
      <c r="I137" s="373"/>
      <c r="J137" s="261">
        <v>0</v>
      </c>
      <c r="K137" s="313"/>
      <c r="L137" s="296"/>
      <c r="M137" s="332"/>
      <c r="N137" s="313"/>
      <c r="O137" s="271"/>
      <c r="P137" s="244"/>
    </row>
    <row r="138" spans="1:16" ht="15.75" customHeight="1" x14ac:dyDescent="0.25">
      <c r="A138" s="244"/>
      <c r="B138" s="263"/>
      <c r="C138" s="263" t="s">
        <v>256</v>
      </c>
      <c r="D138" s="265">
        <v>0</v>
      </c>
      <c r="E138" s="313"/>
      <c r="F138" s="296"/>
      <c r="G138" s="332"/>
      <c r="H138" s="313"/>
      <c r="I138" s="271"/>
      <c r="J138" s="265">
        <v>0</v>
      </c>
      <c r="K138" s="313"/>
      <c r="L138" s="296"/>
      <c r="M138" s="332"/>
      <c r="N138" s="313"/>
      <c r="O138" s="271"/>
      <c r="P138" s="244"/>
    </row>
    <row r="139" spans="1:16" ht="15.75" customHeight="1" x14ac:dyDescent="0.25">
      <c r="A139" s="244"/>
      <c r="B139" s="263"/>
      <c r="C139" s="263"/>
      <c r="D139" s="265"/>
      <c r="E139" s="313"/>
      <c r="F139" s="296"/>
      <c r="G139" s="313"/>
      <c r="H139" s="313"/>
      <c r="I139" s="271"/>
      <c r="J139" s="265"/>
      <c r="K139" s="313"/>
      <c r="L139" s="296"/>
      <c r="M139" s="313"/>
      <c r="N139" s="313"/>
      <c r="O139" s="271"/>
      <c r="P139" s="244"/>
    </row>
    <row r="140" spans="1:16" ht="15.75" customHeight="1" x14ac:dyDescent="0.25">
      <c r="A140" s="244"/>
      <c r="B140" s="274"/>
      <c r="C140" s="274"/>
      <c r="D140" s="276"/>
      <c r="E140" s="316"/>
      <c r="F140" s="317"/>
      <c r="G140" s="316"/>
      <c r="H140" s="316"/>
      <c r="I140" s="318"/>
      <c r="J140" s="276"/>
      <c r="K140" s="316"/>
      <c r="L140" s="317"/>
      <c r="M140" s="316"/>
      <c r="N140" s="316"/>
      <c r="O140" s="318"/>
      <c r="P140" s="244"/>
    </row>
    <row r="141" spans="1:16" ht="15.75" customHeight="1" x14ac:dyDescent="0.25">
      <c r="A141" s="244"/>
      <c r="B141" s="278"/>
      <c r="C141" s="278" t="s">
        <v>257</v>
      </c>
      <c r="D141" s="257">
        <f>D61+D72+D85+D92+D99+D109+D112+D116+D132+D136</f>
        <v>4245149.833333334</v>
      </c>
      <c r="E141" s="321">
        <f>D141/D$29</f>
        <v>0.43175539392155665</v>
      </c>
      <c r="F141" s="257">
        <f>F61+F72+F85+F92+F99+F109+F112+F116+F132+F136</f>
        <v>65342.583333333336</v>
      </c>
      <c r="G141" s="321" t="e">
        <f>F141/F$29</f>
        <v>#DIV/0!</v>
      </c>
      <c r="H141" s="257">
        <f>H61+H72+H85+H92+H99+H109+H112+H116+H132+H136</f>
        <v>4245149.833333334</v>
      </c>
      <c r="I141" s="349"/>
      <c r="J141" s="257">
        <f>J61+J72+J85+J92+J99+J109+J112+J116+J132+J136</f>
        <v>4220755.49</v>
      </c>
      <c r="K141" s="321">
        <f>J141/J$29</f>
        <v>0.45319378286476081</v>
      </c>
      <c r="L141" s="257">
        <f>L61+L72+L85+L92+L99+L109+L112+L116+L132+L136</f>
        <v>0</v>
      </c>
      <c r="M141" s="321" t="e">
        <f>L141/L$29</f>
        <v>#DIV/0!</v>
      </c>
      <c r="N141" s="257">
        <f>N61+N72+N85+N92+N99+N109+N112+N116+N132+N136</f>
        <v>4220755.49</v>
      </c>
      <c r="O141" s="349"/>
      <c r="P141" s="244"/>
    </row>
    <row r="142" spans="1:16" ht="15.75" customHeight="1" x14ac:dyDescent="0.25">
      <c r="A142" s="244"/>
      <c r="B142" s="300"/>
      <c r="C142" s="300"/>
      <c r="D142" s="294"/>
      <c r="E142" s="381"/>
      <c r="F142" s="357"/>
      <c r="G142" s="381"/>
      <c r="H142" s="381"/>
      <c r="I142" s="253"/>
      <c r="J142" s="294"/>
      <c r="K142" s="381"/>
      <c r="L142" s="357"/>
      <c r="M142" s="381"/>
      <c r="N142" s="381"/>
      <c r="O142" s="253"/>
      <c r="P142" s="244"/>
    </row>
    <row r="143" spans="1:16" ht="15.75" customHeight="1" x14ac:dyDescent="0.25">
      <c r="A143" s="244"/>
      <c r="B143" s="278"/>
      <c r="C143" s="278" t="s">
        <v>258</v>
      </c>
      <c r="D143" s="257">
        <f>D52-D141</f>
        <v>2060232.959984269</v>
      </c>
      <c r="E143" s="321">
        <f>D143/D$29</f>
        <v>0.20953717256894214</v>
      </c>
      <c r="F143" s="322" t="e">
        <f>F52-F141</f>
        <v>#REF!</v>
      </c>
      <c r="G143" s="321" t="e">
        <f>F143/F$29</f>
        <v>#REF!</v>
      </c>
      <c r="H143" s="348"/>
      <c r="I143" s="349"/>
      <c r="J143" s="257">
        <f>J52-J141</f>
        <v>1234107.5759932399</v>
      </c>
      <c r="K143" s="321">
        <f>J143/J$29</f>
        <v>0.13250942447425132</v>
      </c>
      <c r="L143" s="322" t="e">
        <f>L52-L141</f>
        <v>#REF!</v>
      </c>
      <c r="M143" s="321" t="e">
        <f>L143/L$29</f>
        <v>#REF!</v>
      </c>
      <c r="N143" s="348"/>
      <c r="O143" s="349"/>
      <c r="P143" s="244"/>
    </row>
    <row r="144" spans="1:16" ht="15.75" customHeight="1" x14ac:dyDescent="0.25">
      <c r="A144" s="244"/>
      <c r="B144" s="244"/>
      <c r="C144" s="244"/>
      <c r="D144" s="544"/>
      <c r="E144" s="179"/>
      <c r="F144" s="544"/>
      <c r="G144" s="179"/>
      <c r="H144" s="179"/>
      <c r="I144" s="179"/>
      <c r="J144" s="544"/>
      <c r="K144" s="179"/>
      <c r="L144" s="544"/>
      <c r="M144" s="179"/>
      <c r="N144" s="179"/>
      <c r="O144" s="179"/>
      <c r="P144" s="244"/>
    </row>
    <row r="145" spans="1:16" ht="15.75" customHeight="1" x14ac:dyDescent="0.25">
      <c r="A145" s="244"/>
      <c r="B145" s="244"/>
      <c r="C145" s="246"/>
      <c r="D145" s="544"/>
      <c r="E145" s="179"/>
      <c r="F145" s="544"/>
      <c r="G145" s="179"/>
      <c r="H145" s="179"/>
      <c r="I145" s="179"/>
      <c r="J145" s="544"/>
      <c r="K145" s="179"/>
      <c r="L145" s="544"/>
      <c r="M145" s="179"/>
      <c r="N145" s="179"/>
      <c r="O145" s="179"/>
      <c r="P145" s="244"/>
    </row>
    <row r="146" spans="1:16" ht="15.75" customHeight="1" x14ac:dyDescent="0.25">
      <c r="A146" s="244"/>
      <c r="B146" s="244"/>
      <c r="C146" s="244"/>
      <c r="D146" s="544"/>
      <c r="E146" s="179"/>
      <c r="F146" s="544"/>
      <c r="G146" s="179"/>
      <c r="H146" s="179"/>
      <c r="I146" s="179"/>
      <c r="J146" s="544"/>
      <c r="K146" s="179"/>
      <c r="L146" s="544"/>
      <c r="M146" s="179"/>
      <c r="N146" s="179"/>
      <c r="O146" s="179"/>
      <c r="P146" s="244"/>
    </row>
    <row r="147" spans="1:16" ht="15.75" customHeight="1" x14ac:dyDescent="0.25">
      <c r="A147" s="244"/>
      <c r="B147" s="244"/>
      <c r="C147" s="244"/>
      <c r="D147" s="544"/>
      <c r="E147" s="179"/>
      <c r="F147" s="544"/>
      <c r="G147" s="179"/>
      <c r="H147" s="179"/>
      <c r="I147" s="179"/>
      <c r="J147" s="544"/>
      <c r="K147" s="179"/>
      <c r="L147" s="544"/>
      <c r="M147" s="179"/>
      <c r="N147" s="179"/>
      <c r="O147" s="179"/>
      <c r="P147" s="244"/>
    </row>
    <row r="148" spans="1:16" ht="15.75" customHeight="1" x14ac:dyDescent="0.25">
      <c r="A148" s="244"/>
      <c r="B148" s="244"/>
      <c r="C148" s="244"/>
      <c r="D148" s="544"/>
      <c r="E148" s="179"/>
      <c r="F148" s="544"/>
      <c r="G148" s="179"/>
      <c r="H148" s="179"/>
      <c r="I148" s="179"/>
      <c r="J148" s="544"/>
      <c r="K148" s="179"/>
      <c r="L148" s="544"/>
      <c r="M148" s="179"/>
      <c r="N148" s="179"/>
      <c r="O148" s="179"/>
      <c r="P148" s="244"/>
    </row>
    <row r="149" spans="1:16" ht="15.75" customHeight="1" x14ac:dyDescent="0.25">
      <c r="A149" s="244"/>
      <c r="B149" s="244"/>
      <c r="C149" s="244"/>
      <c r="D149" s="544"/>
      <c r="E149" s="179"/>
      <c r="F149" s="544"/>
      <c r="G149" s="179"/>
      <c r="H149" s="179"/>
      <c r="I149" s="179"/>
      <c r="J149" s="544"/>
      <c r="K149" s="179"/>
      <c r="L149" s="544"/>
      <c r="M149" s="179"/>
      <c r="N149" s="179"/>
      <c r="O149" s="179"/>
      <c r="P149" s="244"/>
    </row>
    <row r="150" spans="1:16" ht="15.75" customHeight="1" x14ac:dyDescent="0.25">
      <c r="A150" s="244"/>
      <c r="B150" s="244"/>
      <c r="C150" s="244"/>
      <c r="D150" s="544"/>
      <c r="E150" s="179"/>
      <c r="F150" s="544"/>
      <c r="G150" s="179"/>
      <c r="H150" s="179"/>
      <c r="I150" s="179"/>
      <c r="J150" s="544"/>
      <c r="K150" s="179"/>
      <c r="L150" s="544"/>
      <c r="M150" s="179"/>
      <c r="N150" s="179"/>
      <c r="O150" s="179"/>
      <c r="P150" s="244"/>
    </row>
    <row r="151" spans="1:16" ht="15.75" customHeight="1" x14ac:dyDescent="0.25">
      <c r="A151" s="244"/>
      <c r="B151" s="244"/>
      <c r="C151" s="244"/>
      <c r="D151" s="544"/>
      <c r="E151" s="179"/>
      <c r="F151" s="544"/>
      <c r="G151" s="179"/>
      <c r="H151" s="179"/>
      <c r="I151" s="179"/>
      <c r="J151" s="544"/>
      <c r="K151" s="179"/>
      <c r="L151" s="544"/>
      <c r="M151" s="179"/>
      <c r="N151" s="179"/>
      <c r="O151" s="179"/>
      <c r="P151" s="244"/>
    </row>
    <row r="152" spans="1:16" ht="15.75" customHeight="1" x14ac:dyDescent="0.25">
      <c r="A152" s="244"/>
      <c r="B152" s="244"/>
      <c r="C152" s="244"/>
      <c r="D152" s="544"/>
      <c r="E152" s="179"/>
      <c r="F152" s="544"/>
      <c r="G152" s="179"/>
      <c r="H152" s="179"/>
      <c r="I152" s="179"/>
      <c r="J152" s="544"/>
      <c r="K152" s="179"/>
      <c r="L152" s="544"/>
      <c r="M152" s="179"/>
      <c r="N152" s="179"/>
      <c r="O152" s="179"/>
      <c r="P152" s="244"/>
    </row>
    <row r="153" spans="1:16" ht="15.75" customHeight="1" x14ac:dyDescent="0.25">
      <c r="A153" s="244"/>
      <c r="B153" s="244"/>
      <c r="C153" s="244"/>
      <c r="D153" s="544"/>
      <c r="E153" s="179"/>
      <c r="F153" s="544"/>
      <c r="G153" s="179"/>
      <c r="H153" s="179"/>
      <c r="I153" s="179"/>
      <c r="J153" s="544"/>
      <c r="K153" s="179"/>
      <c r="L153" s="544"/>
      <c r="M153" s="179"/>
      <c r="N153" s="179"/>
      <c r="O153" s="179"/>
      <c r="P153" s="244"/>
    </row>
    <row r="154" spans="1:16" ht="15.75" customHeight="1" x14ac:dyDescent="0.25">
      <c r="A154" s="244"/>
      <c r="B154" s="244"/>
      <c r="C154" s="244"/>
      <c r="D154" s="544"/>
      <c r="E154" s="179"/>
      <c r="F154" s="544"/>
      <c r="G154" s="179"/>
      <c r="H154" s="179"/>
      <c r="I154" s="179"/>
      <c r="J154" s="544"/>
      <c r="K154" s="179"/>
      <c r="L154" s="544"/>
      <c r="M154" s="179"/>
      <c r="N154" s="179"/>
      <c r="O154" s="179"/>
      <c r="P154" s="244"/>
    </row>
    <row r="155" spans="1:16" ht="15.75" customHeight="1" x14ac:dyDescent="0.25">
      <c r="A155" s="244"/>
      <c r="B155" s="244"/>
      <c r="C155" s="244"/>
      <c r="D155" s="544"/>
      <c r="E155" s="179"/>
      <c r="F155" s="544"/>
      <c r="G155" s="179"/>
      <c r="H155" s="179"/>
      <c r="I155" s="179"/>
      <c r="J155" s="544"/>
      <c r="K155" s="179"/>
      <c r="L155" s="544"/>
      <c r="M155" s="179"/>
      <c r="N155" s="179"/>
      <c r="O155" s="179"/>
      <c r="P155" s="244"/>
    </row>
    <row r="156" spans="1:16" ht="15.75" customHeight="1" x14ac:dyDescent="0.25">
      <c r="A156" s="244"/>
      <c r="B156" s="244"/>
      <c r="C156" s="244"/>
      <c r="D156" s="544"/>
      <c r="E156" s="179"/>
      <c r="F156" s="544"/>
      <c r="G156" s="179"/>
      <c r="H156" s="179"/>
      <c r="I156" s="179"/>
      <c r="J156" s="544"/>
      <c r="K156" s="179"/>
      <c r="L156" s="544"/>
      <c r="M156" s="179"/>
      <c r="N156" s="179"/>
      <c r="O156" s="179"/>
      <c r="P156" s="244"/>
    </row>
    <row r="157" spans="1:16" ht="15.75" customHeight="1" x14ac:dyDescent="0.25">
      <c r="A157" s="244"/>
      <c r="B157" s="244"/>
      <c r="C157" s="244"/>
      <c r="D157" s="544"/>
      <c r="E157" s="179"/>
      <c r="F157" s="544"/>
      <c r="G157" s="179"/>
      <c r="H157" s="179"/>
      <c r="I157" s="179"/>
      <c r="J157" s="544"/>
      <c r="K157" s="179"/>
      <c r="L157" s="544"/>
      <c r="M157" s="179"/>
      <c r="N157" s="179"/>
      <c r="O157" s="179"/>
      <c r="P157" s="244"/>
    </row>
    <row r="158" spans="1:16" ht="15.75" customHeight="1" x14ac:dyDescent="0.25">
      <c r="A158" s="244"/>
      <c r="B158" s="244"/>
      <c r="C158" s="244"/>
      <c r="D158" s="544"/>
      <c r="E158" s="179"/>
      <c r="F158" s="544"/>
      <c r="G158" s="179"/>
      <c r="H158" s="179"/>
      <c r="I158" s="179"/>
      <c r="J158" s="544"/>
      <c r="K158" s="179"/>
      <c r="L158" s="544"/>
      <c r="M158" s="179"/>
      <c r="N158" s="179"/>
      <c r="O158" s="179"/>
      <c r="P158" s="244"/>
    </row>
    <row r="159" spans="1:16" ht="15.75" customHeight="1" x14ac:dyDescent="0.25">
      <c r="A159" s="244"/>
      <c r="B159" s="244"/>
      <c r="C159" s="244"/>
      <c r="D159" s="544"/>
      <c r="E159" s="179"/>
      <c r="F159" s="544"/>
      <c r="G159" s="179"/>
      <c r="H159" s="179"/>
      <c r="I159" s="179"/>
      <c r="J159" s="544"/>
      <c r="K159" s="179"/>
      <c r="L159" s="544"/>
      <c r="M159" s="179"/>
      <c r="N159" s="179"/>
      <c r="O159" s="179"/>
      <c r="P159" s="244"/>
    </row>
    <row r="160" spans="1:16" ht="15.75" customHeight="1" x14ac:dyDescent="0.25">
      <c r="A160" s="244"/>
      <c r="B160" s="244"/>
      <c r="C160" s="244"/>
      <c r="D160" s="544"/>
      <c r="E160" s="179"/>
      <c r="F160" s="544"/>
      <c r="G160" s="179"/>
      <c r="H160" s="179"/>
      <c r="I160" s="179"/>
      <c r="J160" s="544"/>
      <c r="K160" s="179"/>
      <c r="L160" s="544"/>
      <c r="M160" s="179"/>
      <c r="N160" s="179"/>
      <c r="O160" s="179"/>
      <c r="P160" s="244"/>
    </row>
    <row r="161" spans="1:16" ht="15.75" customHeight="1" x14ac:dyDescent="0.25">
      <c r="A161" s="244"/>
      <c r="B161" s="244"/>
      <c r="C161" s="244"/>
      <c r="D161" s="544"/>
      <c r="E161" s="179"/>
      <c r="F161" s="544"/>
      <c r="G161" s="179"/>
      <c r="H161" s="179"/>
      <c r="I161" s="179"/>
      <c r="J161" s="544"/>
      <c r="K161" s="179"/>
      <c r="L161" s="544"/>
      <c r="M161" s="179"/>
      <c r="N161" s="179"/>
      <c r="O161" s="179"/>
      <c r="P161" s="244"/>
    </row>
    <row r="162" spans="1:16" ht="15.75" customHeight="1" x14ac:dyDescent="0.25">
      <c r="A162" s="244"/>
      <c r="B162" s="244"/>
      <c r="C162" s="244"/>
      <c r="D162" s="544"/>
      <c r="E162" s="179"/>
      <c r="F162" s="544"/>
      <c r="G162" s="179"/>
      <c r="H162" s="179"/>
      <c r="I162" s="179"/>
      <c r="J162" s="544"/>
      <c r="K162" s="179"/>
      <c r="L162" s="544"/>
      <c r="M162" s="179"/>
      <c r="N162" s="179"/>
      <c r="O162" s="179"/>
      <c r="P162" s="244"/>
    </row>
    <row r="163" spans="1:16" ht="15.75" customHeight="1" x14ac:dyDescent="0.25">
      <c r="A163" s="244"/>
      <c r="B163" s="244"/>
      <c r="C163" s="244"/>
      <c r="D163" s="544"/>
      <c r="E163" s="179"/>
      <c r="F163" s="544"/>
      <c r="G163" s="179"/>
      <c r="H163" s="179"/>
      <c r="I163" s="179"/>
      <c r="J163" s="544"/>
      <c r="K163" s="179"/>
      <c r="L163" s="544"/>
      <c r="M163" s="179"/>
      <c r="N163" s="179"/>
      <c r="O163" s="179"/>
      <c r="P163" s="244"/>
    </row>
    <row r="164" spans="1:16" ht="15.75" customHeight="1" x14ac:dyDescent="0.25">
      <c r="A164" s="244"/>
      <c r="B164" s="244"/>
      <c r="C164" s="244"/>
      <c r="D164" s="544"/>
      <c r="E164" s="179"/>
      <c r="F164" s="544"/>
      <c r="G164" s="179"/>
      <c r="H164" s="179"/>
      <c r="I164" s="179"/>
      <c r="J164" s="544"/>
      <c r="K164" s="179"/>
      <c r="L164" s="544"/>
      <c r="M164" s="179"/>
      <c r="N164" s="179"/>
      <c r="O164" s="179"/>
      <c r="P164" s="244"/>
    </row>
    <row r="165" spans="1:16" ht="15.75" customHeight="1" x14ac:dyDescent="0.25">
      <c r="A165" s="244"/>
      <c r="B165" s="244"/>
      <c r="C165" s="244"/>
      <c r="D165" s="544"/>
      <c r="E165" s="179"/>
      <c r="F165" s="544"/>
      <c r="G165" s="179"/>
      <c r="H165" s="179"/>
      <c r="I165" s="179"/>
      <c r="J165" s="544"/>
      <c r="K165" s="179"/>
      <c r="L165" s="544"/>
      <c r="M165" s="179"/>
      <c r="N165" s="179"/>
      <c r="O165" s="179"/>
      <c r="P165" s="244"/>
    </row>
    <row r="166" spans="1:16" ht="15.75" customHeight="1" x14ac:dyDescent="0.25">
      <c r="A166" s="244"/>
      <c r="B166" s="244"/>
      <c r="C166" s="244"/>
      <c r="D166" s="544"/>
      <c r="E166" s="179"/>
      <c r="F166" s="544"/>
      <c r="G166" s="179"/>
      <c r="H166" s="179"/>
      <c r="I166" s="179"/>
      <c r="J166" s="544"/>
      <c r="K166" s="179"/>
      <c r="L166" s="544"/>
      <c r="M166" s="179"/>
      <c r="N166" s="179"/>
      <c r="O166" s="179"/>
      <c r="P166" s="244"/>
    </row>
    <row r="167" spans="1:16" ht="15.75" customHeight="1" x14ac:dyDescent="0.25">
      <c r="A167" s="244"/>
      <c r="B167" s="244"/>
      <c r="C167" s="244"/>
      <c r="D167" s="544"/>
      <c r="E167" s="179"/>
      <c r="F167" s="544"/>
      <c r="G167" s="179"/>
      <c r="H167" s="179"/>
      <c r="I167" s="179"/>
      <c r="J167" s="544"/>
      <c r="K167" s="179"/>
      <c r="L167" s="544"/>
      <c r="M167" s="179"/>
      <c r="N167" s="179"/>
      <c r="O167" s="179"/>
      <c r="P167" s="244"/>
    </row>
    <row r="168" spans="1:16" ht="15.75" customHeight="1" x14ac:dyDescent="0.25">
      <c r="A168" s="244"/>
      <c r="B168" s="244"/>
      <c r="C168" s="244"/>
      <c r="D168" s="544"/>
      <c r="E168" s="179"/>
      <c r="F168" s="544"/>
      <c r="G168" s="179"/>
      <c r="H168" s="179"/>
      <c r="I168" s="179"/>
      <c r="J168" s="544"/>
      <c r="K168" s="179"/>
      <c r="L168" s="544"/>
      <c r="M168" s="179"/>
      <c r="N168" s="179"/>
      <c r="O168" s="179"/>
      <c r="P168" s="244"/>
    </row>
    <row r="169" spans="1:16" ht="15.75" customHeight="1" x14ac:dyDescent="0.25">
      <c r="A169" s="244"/>
      <c r="B169" s="244"/>
      <c r="C169" s="244"/>
      <c r="D169" s="544"/>
      <c r="E169" s="179"/>
      <c r="F169" s="544"/>
      <c r="G169" s="179"/>
      <c r="H169" s="179"/>
      <c r="I169" s="179"/>
      <c r="J169" s="544"/>
      <c r="K169" s="179"/>
      <c r="L169" s="544"/>
      <c r="M169" s="179"/>
      <c r="N169" s="179"/>
      <c r="O169" s="179"/>
      <c r="P169" s="244"/>
    </row>
    <row r="170" spans="1:16" ht="15.75" customHeight="1" x14ac:dyDescent="0.25">
      <c r="A170" s="244"/>
      <c r="B170" s="244"/>
      <c r="C170" s="244"/>
      <c r="D170" s="544"/>
      <c r="E170" s="179"/>
      <c r="F170" s="544"/>
      <c r="G170" s="179"/>
      <c r="H170" s="179"/>
      <c r="I170" s="179"/>
      <c r="J170" s="544"/>
      <c r="K170" s="179"/>
      <c r="L170" s="544"/>
      <c r="M170" s="179"/>
      <c r="N170" s="179"/>
      <c r="O170" s="179"/>
      <c r="P170" s="244"/>
    </row>
    <row r="171" spans="1:16" ht="15.75" customHeight="1" x14ac:dyDescent="0.25">
      <c r="A171" s="244"/>
      <c r="B171" s="244"/>
      <c r="C171" s="244"/>
      <c r="D171" s="544"/>
      <c r="E171" s="179"/>
      <c r="F171" s="544"/>
      <c r="G171" s="179"/>
      <c r="H171" s="179"/>
      <c r="I171" s="179"/>
      <c r="J171" s="544"/>
      <c r="K171" s="179"/>
      <c r="L171" s="544"/>
      <c r="M171" s="179"/>
      <c r="N171" s="179"/>
      <c r="O171" s="179"/>
      <c r="P171" s="244"/>
    </row>
    <row r="172" spans="1:16" ht="15.75" customHeight="1" x14ac:dyDescent="0.25">
      <c r="A172" s="244"/>
      <c r="B172" s="244"/>
      <c r="C172" s="244"/>
      <c r="D172" s="544"/>
      <c r="E172" s="179"/>
      <c r="F172" s="544"/>
      <c r="G172" s="179"/>
      <c r="H172" s="179"/>
      <c r="I172" s="179"/>
      <c r="J172" s="544"/>
      <c r="K172" s="179"/>
      <c r="L172" s="544"/>
      <c r="M172" s="179"/>
      <c r="N172" s="179"/>
      <c r="O172" s="179"/>
      <c r="P172" s="244"/>
    </row>
    <row r="173" spans="1:16" ht="15.75" customHeight="1" x14ac:dyDescent="0.25">
      <c r="A173" s="244"/>
      <c r="B173" s="244"/>
      <c r="C173" s="244"/>
      <c r="D173" s="544"/>
      <c r="E173" s="179"/>
      <c r="F173" s="544"/>
      <c r="G173" s="179"/>
      <c r="H173" s="179"/>
      <c r="I173" s="179"/>
      <c r="J173" s="544"/>
      <c r="K173" s="179"/>
      <c r="L173" s="544"/>
      <c r="M173" s="179"/>
      <c r="N173" s="179"/>
      <c r="O173" s="179"/>
      <c r="P173" s="244"/>
    </row>
    <row r="174" spans="1:16" ht="15.75" customHeight="1" x14ac:dyDescent="0.25">
      <c r="A174" s="244"/>
      <c r="B174" s="244"/>
      <c r="C174" s="244"/>
      <c r="D174" s="544"/>
      <c r="E174" s="179"/>
      <c r="F174" s="544"/>
      <c r="G174" s="179"/>
      <c r="H174" s="179"/>
      <c r="I174" s="179"/>
      <c r="J174" s="544"/>
      <c r="K174" s="179"/>
      <c r="L174" s="544"/>
      <c r="M174" s="179"/>
      <c r="N174" s="179"/>
      <c r="O174" s="179"/>
      <c r="P174" s="244"/>
    </row>
    <row r="175" spans="1:16" ht="15.75" customHeight="1" x14ac:dyDescent="0.25">
      <c r="A175" s="244"/>
      <c r="B175" s="244"/>
      <c r="C175" s="244"/>
      <c r="D175" s="544"/>
      <c r="E175" s="179"/>
      <c r="F175" s="544"/>
      <c r="G175" s="179"/>
      <c r="H175" s="179"/>
      <c r="I175" s="179"/>
      <c r="J175" s="544"/>
      <c r="K175" s="179"/>
      <c r="L175" s="544"/>
      <c r="M175" s="179"/>
      <c r="N175" s="179"/>
      <c r="O175" s="179"/>
      <c r="P175" s="244"/>
    </row>
    <row r="176" spans="1:16" ht="15.75" customHeight="1" x14ac:dyDescent="0.25">
      <c r="A176" s="244"/>
      <c r="B176" s="244"/>
      <c r="C176" s="244"/>
      <c r="D176" s="544"/>
      <c r="E176" s="179"/>
      <c r="F176" s="544"/>
      <c r="G176" s="179"/>
      <c r="H176" s="179"/>
      <c r="I176" s="179"/>
      <c r="J176" s="544"/>
      <c r="K176" s="179"/>
      <c r="L176" s="544"/>
      <c r="M176" s="179"/>
      <c r="N176" s="179"/>
      <c r="O176" s="179"/>
      <c r="P176" s="244"/>
    </row>
    <row r="177" spans="1:16" ht="15.75" customHeight="1" x14ac:dyDescent="0.25">
      <c r="A177" s="244"/>
      <c r="B177" s="244"/>
      <c r="C177" s="244"/>
      <c r="D177" s="544"/>
      <c r="E177" s="179"/>
      <c r="F177" s="544"/>
      <c r="G177" s="179"/>
      <c r="H177" s="179"/>
      <c r="I177" s="179"/>
      <c r="J177" s="544"/>
      <c r="K177" s="179"/>
      <c r="L177" s="544"/>
      <c r="M177" s="179"/>
      <c r="N177" s="179"/>
      <c r="O177" s="179"/>
      <c r="P177" s="244"/>
    </row>
    <row r="178" spans="1:16" ht="15.75" customHeight="1" x14ac:dyDescent="0.25">
      <c r="A178" s="244"/>
      <c r="B178" s="244"/>
      <c r="C178" s="244"/>
      <c r="D178" s="544"/>
      <c r="E178" s="179"/>
      <c r="F178" s="544"/>
      <c r="G178" s="179"/>
      <c r="H178" s="179"/>
      <c r="I178" s="179"/>
      <c r="J178" s="544"/>
      <c r="K178" s="179"/>
      <c r="L178" s="544"/>
      <c r="M178" s="179"/>
      <c r="N178" s="179"/>
      <c r="O178" s="179"/>
      <c r="P178" s="244"/>
    </row>
    <row r="179" spans="1:16" ht="15.75" customHeight="1" x14ac:dyDescent="0.25">
      <c r="A179" s="244"/>
      <c r="B179" s="244"/>
      <c r="C179" s="244"/>
      <c r="D179" s="544"/>
      <c r="E179" s="179"/>
      <c r="F179" s="544"/>
      <c r="G179" s="179"/>
      <c r="H179" s="179"/>
      <c r="I179" s="179"/>
      <c r="J179" s="544"/>
      <c r="K179" s="179"/>
      <c r="L179" s="544"/>
      <c r="M179" s="179"/>
      <c r="N179" s="179"/>
      <c r="O179" s="179"/>
      <c r="P179" s="244"/>
    </row>
    <row r="180" spans="1:16" ht="15.75" customHeight="1" x14ac:dyDescent="0.25">
      <c r="A180" s="244"/>
      <c r="B180" s="244"/>
      <c r="C180" s="244"/>
      <c r="D180" s="544"/>
      <c r="E180" s="179"/>
      <c r="F180" s="544"/>
      <c r="G180" s="179"/>
      <c r="H180" s="179"/>
      <c r="I180" s="179"/>
      <c r="J180" s="544"/>
      <c r="K180" s="179"/>
      <c r="L180" s="544"/>
      <c r="M180" s="179"/>
      <c r="N180" s="179"/>
      <c r="O180" s="179"/>
      <c r="P180" s="244"/>
    </row>
    <row r="181" spans="1:16" ht="15.75" customHeight="1" x14ac:dyDescent="0.25">
      <c r="A181" s="244"/>
      <c r="B181" s="244"/>
      <c r="C181" s="244"/>
      <c r="D181" s="544"/>
      <c r="E181" s="179"/>
      <c r="F181" s="544"/>
      <c r="G181" s="179"/>
      <c r="H181" s="179"/>
      <c r="I181" s="179"/>
      <c r="J181" s="544"/>
      <c r="K181" s="179"/>
      <c r="L181" s="544"/>
      <c r="M181" s="179"/>
      <c r="N181" s="179"/>
      <c r="O181" s="179"/>
      <c r="P181" s="244"/>
    </row>
    <row r="182" spans="1:16" ht="15.75" customHeight="1" x14ac:dyDescent="0.25">
      <c r="A182" s="244"/>
      <c r="B182" s="244"/>
      <c r="C182" s="244"/>
      <c r="D182" s="544"/>
      <c r="E182" s="179"/>
      <c r="F182" s="544"/>
      <c r="G182" s="179"/>
      <c r="H182" s="179"/>
      <c r="I182" s="179"/>
      <c r="J182" s="544"/>
      <c r="K182" s="179"/>
      <c r="L182" s="544"/>
      <c r="M182" s="179"/>
      <c r="N182" s="179"/>
      <c r="O182" s="179"/>
      <c r="P182" s="244"/>
    </row>
    <row r="183" spans="1:16" ht="15.75" customHeight="1" x14ac:dyDescent="0.25">
      <c r="A183" s="244"/>
      <c r="B183" s="244"/>
      <c r="C183" s="244"/>
      <c r="D183" s="544"/>
      <c r="E183" s="179"/>
      <c r="F183" s="544"/>
      <c r="G183" s="179"/>
      <c r="H183" s="179"/>
      <c r="I183" s="179"/>
      <c r="J183" s="544"/>
      <c r="K183" s="179"/>
      <c r="L183" s="544"/>
      <c r="M183" s="179"/>
      <c r="N183" s="179"/>
      <c r="O183" s="179"/>
      <c r="P183" s="244"/>
    </row>
    <row r="184" spans="1:16" ht="15.75" customHeight="1" x14ac:dyDescent="0.25">
      <c r="A184" s="244"/>
      <c r="B184" s="244"/>
      <c r="C184" s="244"/>
      <c r="D184" s="544"/>
      <c r="E184" s="179"/>
      <c r="F184" s="544"/>
      <c r="G184" s="179"/>
      <c r="H184" s="179"/>
      <c r="I184" s="179"/>
      <c r="J184" s="544"/>
      <c r="K184" s="179"/>
      <c r="L184" s="544"/>
      <c r="M184" s="179"/>
      <c r="N184" s="179"/>
      <c r="O184" s="179"/>
      <c r="P184" s="244"/>
    </row>
    <row r="185" spans="1:16" ht="15.75" customHeight="1" x14ac:dyDescent="0.25">
      <c r="A185" s="244"/>
      <c r="B185" s="244"/>
      <c r="C185" s="244"/>
      <c r="D185" s="303"/>
      <c r="E185" s="244"/>
      <c r="F185" s="303"/>
      <c r="G185" s="244"/>
      <c r="H185" s="244"/>
      <c r="I185" s="244"/>
      <c r="J185" s="303"/>
      <c r="K185" s="244"/>
      <c r="L185" s="303"/>
      <c r="M185" s="244"/>
      <c r="N185" s="244"/>
      <c r="O185" s="244"/>
      <c r="P185" s="244"/>
    </row>
    <row r="186" spans="1:16" ht="15.75" customHeight="1" x14ac:dyDescent="0.25">
      <c r="A186" s="244"/>
      <c r="B186" s="244"/>
      <c r="C186" s="244"/>
      <c r="D186" s="303"/>
      <c r="E186" s="244"/>
      <c r="F186" s="303"/>
      <c r="G186" s="244"/>
      <c r="H186" s="244"/>
      <c r="I186" s="244"/>
      <c r="J186" s="303"/>
      <c r="K186" s="244"/>
      <c r="L186" s="303"/>
      <c r="M186" s="244"/>
      <c r="N186" s="244"/>
      <c r="O186" s="244"/>
      <c r="P186" s="244"/>
    </row>
    <row r="187" spans="1:16" ht="15.75" customHeight="1" x14ac:dyDescent="0.25">
      <c r="A187" s="244"/>
      <c r="B187" s="244"/>
      <c r="C187" s="244"/>
      <c r="D187" s="303"/>
      <c r="E187" s="244"/>
      <c r="F187" s="303"/>
      <c r="G187" s="244"/>
      <c r="H187" s="244"/>
      <c r="I187" s="244"/>
      <c r="J187" s="303"/>
      <c r="K187" s="244"/>
      <c r="L187" s="303"/>
      <c r="M187" s="244"/>
      <c r="N187" s="244"/>
      <c r="O187" s="244"/>
      <c r="P187" s="244"/>
    </row>
    <row r="188" spans="1:16" ht="15.75" customHeight="1" x14ac:dyDescent="0.25">
      <c r="A188" s="244"/>
      <c r="B188" s="244"/>
      <c r="C188" s="244"/>
      <c r="D188" s="303"/>
      <c r="E188" s="244"/>
      <c r="F188" s="303"/>
      <c r="G188" s="244"/>
      <c r="H188" s="244"/>
      <c r="I188" s="244"/>
      <c r="J188" s="303"/>
      <c r="K188" s="244"/>
      <c r="L188" s="303"/>
      <c r="M188" s="244"/>
      <c r="N188" s="244"/>
      <c r="O188" s="244"/>
      <c r="P188" s="244"/>
    </row>
    <row r="189" spans="1:16" ht="15.75" customHeight="1" x14ac:dyDescent="0.25">
      <c r="A189" s="244"/>
      <c r="B189" s="244"/>
      <c r="C189" s="244"/>
      <c r="D189" s="303"/>
      <c r="E189" s="244"/>
      <c r="F189" s="303"/>
      <c r="G189" s="244"/>
      <c r="H189" s="244"/>
      <c r="I189" s="244"/>
      <c r="J189" s="303"/>
      <c r="K189" s="244"/>
      <c r="L189" s="303"/>
      <c r="M189" s="244"/>
      <c r="N189" s="244"/>
      <c r="O189" s="244"/>
      <c r="P189" s="244"/>
    </row>
    <row r="190" spans="1:16" ht="15.75" customHeight="1" x14ac:dyDescent="0.25">
      <c r="A190" s="244"/>
      <c r="B190" s="244"/>
      <c r="C190" s="244"/>
      <c r="D190" s="303"/>
      <c r="E190" s="244"/>
      <c r="F190" s="303"/>
      <c r="G190" s="244"/>
      <c r="H190" s="244"/>
      <c r="I190" s="244"/>
      <c r="J190" s="303"/>
      <c r="K190" s="244"/>
      <c r="L190" s="303"/>
      <c r="M190" s="244"/>
      <c r="N190" s="244"/>
      <c r="O190" s="244"/>
      <c r="P190" s="244"/>
    </row>
    <row r="191" spans="1:16" ht="15.75" customHeight="1" x14ac:dyDescent="0.25">
      <c r="A191" s="244"/>
      <c r="B191" s="244"/>
      <c r="C191" s="244"/>
      <c r="D191" s="303"/>
      <c r="E191" s="244"/>
      <c r="F191" s="303"/>
      <c r="G191" s="244"/>
      <c r="H191" s="244"/>
      <c r="I191" s="244"/>
      <c r="J191" s="303"/>
      <c r="K191" s="244"/>
      <c r="L191" s="303"/>
      <c r="M191" s="244"/>
      <c r="N191" s="244"/>
      <c r="O191" s="244"/>
      <c r="P191" s="244"/>
    </row>
    <row r="192" spans="1:16" ht="15.75" customHeight="1" x14ac:dyDescent="0.25">
      <c r="A192" s="244"/>
      <c r="B192" s="244"/>
      <c r="C192" s="244"/>
      <c r="D192" s="303"/>
      <c r="E192" s="244"/>
      <c r="F192" s="303"/>
      <c r="G192" s="244"/>
      <c r="H192" s="244"/>
      <c r="I192" s="244"/>
      <c r="J192" s="303"/>
      <c r="K192" s="244"/>
      <c r="L192" s="303"/>
      <c r="M192" s="244"/>
      <c r="N192" s="244"/>
      <c r="O192" s="244"/>
      <c r="P192" s="244"/>
    </row>
    <row r="193" spans="1:16" ht="15.75" customHeight="1" x14ac:dyDescent="0.25">
      <c r="A193" s="244"/>
      <c r="B193" s="244"/>
      <c r="C193" s="244"/>
      <c r="D193" s="303"/>
      <c r="E193" s="244"/>
      <c r="F193" s="303"/>
      <c r="G193" s="244"/>
      <c r="H193" s="244"/>
      <c r="I193" s="244"/>
      <c r="J193" s="303"/>
      <c r="K193" s="244"/>
      <c r="L193" s="303"/>
      <c r="M193" s="244"/>
      <c r="N193" s="244"/>
      <c r="O193" s="244"/>
      <c r="P193" s="244"/>
    </row>
    <row r="194" spans="1:16" ht="15.75" customHeight="1" x14ac:dyDescent="0.25">
      <c r="A194" s="244"/>
      <c r="B194" s="244"/>
      <c r="C194" s="244"/>
      <c r="D194" s="303"/>
      <c r="E194" s="244"/>
      <c r="F194" s="303"/>
      <c r="G194" s="244"/>
      <c r="H194" s="244"/>
      <c r="I194" s="244"/>
      <c r="J194" s="303"/>
      <c r="K194" s="244"/>
      <c r="L194" s="303"/>
      <c r="M194" s="244"/>
      <c r="N194" s="244"/>
      <c r="O194" s="244"/>
      <c r="P194" s="244"/>
    </row>
    <row r="195" spans="1:16" ht="15.75" customHeight="1" x14ac:dyDescent="0.25">
      <c r="A195" s="244"/>
      <c r="B195" s="244"/>
      <c r="C195" s="244"/>
      <c r="D195" s="303"/>
      <c r="E195" s="244"/>
      <c r="F195" s="303"/>
      <c r="G195" s="244"/>
      <c r="H195" s="244"/>
      <c r="I195" s="244"/>
      <c r="J195" s="303"/>
      <c r="K195" s="244"/>
      <c r="L195" s="303"/>
      <c r="M195" s="244"/>
      <c r="N195" s="244"/>
      <c r="O195" s="244"/>
      <c r="P195" s="244"/>
    </row>
    <row r="196" spans="1:16" ht="15.75" customHeight="1" x14ac:dyDescent="0.25">
      <c r="A196" s="244"/>
      <c r="B196" s="244"/>
      <c r="C196" s="244"/>
      <c r="D196" s="303"/>
      <c r="E196" s="244"/>
      <c r="F196" s="303"/>
      <c r="G196" s="244"/>
      <c r="H196" s="244"/>
      <c r="I196" s="244"/>
      <c r="J196" s="303"/>
      <c r="K196" s="244"/>
      <c r="L196" s="303"/>
      <c r="M196" s="244"/>
      <c r="N196" s="244"/>
      <c r="O196" s="244"/>
      <c r="P196" s="244"/>
    </row>
    <row r="197" spans="1:16" ht="15.75" customHeight="1" x14ac:dyDescent="0.25">
      <c r="A197" s="244"/>
      <c r="B197" s="244"/>
      <c r="C197" s="244"/>
      <c r="D197" s="303"/>
      <c r="E197" s="244"/>
      <c r="F197" s="303"/>
      <c r="G197" s="244"/>
      <c r="H197" s="244"/>
      <c r="I197" s="244"/>
      <c r="J197" s="303"/>
      <c r="K197" s="244"/>
      <c r="L197" s="303"/>
      <c r="M197" s="244"/>
      <c r="N197" s="244"/>
      <c r="O197" s="244"/>
      <c r="P197" s="244"/>
    </row>
    <row r="198" spans="1:16" ht="15.75" customHeight="1" x14ac:dyDescent="0.25">
      <c r="A198" s="244"/>
      <c r="B198" s="244"/>
      <c r="C198" s="244"/>
      <c r="D198" s="303"/>
      <c r="E198" s="244"/>
      <c r="F198" s="303"/>
      <c r="G198" s="244"/>
      <c r="H198" s="244"/>
      <c r="I198" s="244"/>
      <c r="J198" s="303"/>
      <c r="K198" s="244"/>
      <c r="L198" s="303"/>
      <c r="M198" s="244"/>
      <c r="N198" s="244"/>
      <c r="O198" s="244"/>
      <c r="P198" s="244"/>
    </row>
    <row r="199" spans="1:16" ht="15.75" customHeight="1" x14ac:dyDescent="0.25">
      <c r="A199" s="244"/>
      <c r="B199" s="244"/>
      <c r="C199" s="244"/>
      <c r="D199" s="303"/>
      <c r="E199" s="244"/>
      <c r="F199" s="303"/>
      <c r="G199" s="244"/>
      <c r="H199" s="244"/>
      <c r="I199" s="244"/>
      <c r="J199" s="303"/>
      <c r="K199" s="244"/>
      <c r="L199" s="303"/>
      <c r="M199" s="244"/>
      <c r="N199" s="244"/>
      <c r="O199" s="244"/>
      <c r="P199" s="244"/>
    </row>
    <row r="200" spans="1:16" ht="15.75" customHeight="1" x14ac:dyDescent="0.25">
      <c r="A200" s="244"/>
      <c r="B200" s="244"/>
      <c r="C200" s="244"/>
      <c r="D200" s="303"/>
      <c r="E200" s="244"/>
      <c r="F200" s="303"/>
      <c r="G200" s="244"/>
      <c r="H200" s="244"/>
      <c r="I200" s="244"/>
      <c r="J200" s="303"/>
      <c r="K200" s="244"/>
      <c r="L200" s="303"/>
      <c r="M200" s="244"/>
      <c r="N200" s="244"/>
      <c r="O200" s="244"/>
      <c r="P200" s="244"/>
    </row>
    <row r="201" spans="1:16" ht="15.75" customHeight="1" x14ac:dyDescent="0.25">
      <c r="A201" s="244"/>
      <c r="B201" s="244"/>
      <c r="C201" s="244"/>
      <c r="D201" s="303"/>
      <c r="E201" s="244"/>
      <c r="F201" s="303"/>
      <c r="G201" s="244"/>
      <c r="H201" s="244"/>
      <c r="I201" s="244"/>
      <c r="J201" s="303"/>
      <c r="K201" s="244"/>
      <c r="L201" s="303"/>
      <c r="M201" s="244"/>
      <c r="N201" s="244"/>
      <c r="O201" s="244"/>
      <c r="P201" s="244"/>
    </row>
    <row r="202" spans="1:16" ht="15.75" customHeight="1" x14ac:dyDescent="0.25">
      <c r="A202" s="244"/>
      <c r="B202" s="244"/>
      <c r="C202" s="244"/>
      <c r="D202" s="303"/>
      <c r="E202" s="244"/>
      <c r="F202" s="303"/>
      <c r="G202" s="244"/>
      <c r="H202" s="244"/>
      <c r="I202" s="244"/>
      <c r="J202" s="303"/>
      <c r="K202" s="244"/>
      <c r="L202" s="303"/>
      <c r="M202" s="244"/>
      <c r="N202" s="244"/>
      <c r="O202" s="244"/>
      <c r="P202" s="244"/>
    </row>
    <row r="203" spans="1:16" ht="15.75" customHeight="1" x14ac:dyDescent="0.25">
      <c r="A203" s="244"/>
      <c r="B203" s="244"/>
      <c r="C203" s="244"/>
      <c r="D203" s="303"/>
      <c r="E203" s="244"/>
      <c r="F203" s="303"/>
      <c r="G203" s="244"/>
      <c r="H203" s="244"/>
      <c r="I203" s="244"/>
      <c r="J203" s="303"/>
      <c r="K203" s="244"/>
      <c r="L203" s="303"/>
      <c r="M203" s="244"/>
      <c r="N203" s="244"/>
      <c r="O203" s="244"/>
      <c r="P203" s="244"/>
    </row>
    <row r="204" spans="1:16" ht="15.75" customHeight="1" x14ac:dyDescent="0.25">
      <c r="A204" s="244"/>
      <c r="B204" s="244"/>
      <c r="C204" s="244"/>
      <c r="D204" s="303"/>
      <c r="E204" s="244"/>
      <c r="F204" s="303"/>
      <c r="G204" s="244"/>
      <c r="H204" s="244"/>
      <c r="I204" s="244"/>
      <c r="J204" s="303"/>
      <c r="K204" s="244"/>
      <c r="L204" s="303"/>
      <c r="M204" s="244"/>
      <c r="N204" s="244"/>
      <c r="O204" s="244"/>
      <c r="P204" s="244"/>
    </row>
    <row r="205" spans="1:16" ht="15.75" customHeight="1" x14ac:dyDescent="0.25">
      <c r="A205" s="244"/>
      <c r="B205" s="244"/>
      <c r="C205" s="244"/>
      <c r="D205" s="303"/>
      <c r="E205" s="244"/>
      <c r="F205" s="303"/>
      <c r="G205" s="244"/>
      <c r="H205" s="244"/>
      <c r="I205" s="244"/>
      <c r="J205" s="303"/>
      <c r="K205" s="244"/>
      <c r="L205" s="303"/>
      <c r="M205" s="244"/>
      <c r="N205" s="244"/>
      <c r="O205" s="244"/>
      <c r="P205" s="244"/>
    </row>
    <row r="206" spans="1:16" ht="15.75" customHeight="1" x14ac:dyDescent="0.25">
      <c r="A206" s="244"/>
      <c r="B206" s="244"/>
      <c r="C206" s="244"/>
      <c r="D206" s="303"/>
      <c r="E206" s="244"/>
      <c r="F206" s="303"/>
      <c r="G206" s="244"/>
      <c r="H206" s="244"/>
      <c r="I206" s="244"/>
      <c r="J206" s="303"/>
      <c r="K206" s="244"/>
      <c r="L206" s="303"/>
      <c r="M206" s="244"/>
      <c r="N206" s="244"/>
      <c r="O206" s="244"/>
      <c r="P206" s="244"/>
    </row>
    <row r="207" spans="1:16" ht="15.75" customHeight="1" x14ac:dyDescent="0.25">
      <c r="A207" s="244"/>
      <c r="B207" s="244"/>
      <c r="C207" s="244"/>
      <c r="D207" s="303"/>
      <c r="E207" s="244"/>
      <c r="F207" s="303"/>
      <c r="G207" s="244"/>
      <c r="H207" s="244"/>
      <c r="I207" s="244"/>
      <c r="J207" s="303"/>
      <c r="K207" s="244"/>
      <c r="L207" s="303"/>
      <c r="M207" s="244"/>
      <c r="N207" s="244"/>
      <c r="O207" s="244"/>
      <c r="P207" s="244"/>
    </row>
    <row r="208" spans="1:16" ht="15.75" customHeight="1" x14ac:dyDescent="0.25">
      <c r="A208" s="244"/>
      <c r="B208" s="244"/>
      <c r="C208" s="244"/>
      <c r="D208" s="303"/>
      <c r="E208" s="244"/>
      <c r="F208" s="303"/>
      <c r="G208" s="244"/>
      <c r="H208" s="244"/>
      <c r="I208" s="244"/>
      <c r="J208" s="303"/>
      <c r="K208" s="244"/>
      <c r="L208" s="303"/>
      <c r="M208" s="244"/>
      <c r="N208" s="244"/>
      <c r="O208" s="244"/>
      <c r="P208" s="244"/>
    </row>
    <row r="209" spans="1:16" ht="15.75" customHeight="1" x14ac:dyDescent="0.25">
      <c r="A209" s="244"/>
      <c r="B209" s="244"/>
      <c r="C209" s="244"/>
      <c r="D209" s="303"/>
      <c r="E209" s="244"/>
      <c r="F209" s="303"/>
      <c r="G209" s="244"/>
      <c r="H209" s="244"/>
      <c r="I209" s="244"/>
      <c r="J209" s="303"/>
      <c r="K209" s="244"/>
      <c r="L209" s="303"/>
      <c r="M209" s="244"/>
      <c r="N209" s="244"/>
      <c r="O209" s="244"/>
      <c r="P209" s="244"/>
    </row>
    <row r="210" spans="1:16" ht="15.75" customHeight="1" x14ac:dyDescent="0.25">
      <c r="A210" s="244"/>
      <c r="B210" s="244"/>
      <c r="C210" s="244"/>
      <c r="D210" s="303"/>
      <c r="E210" s="244"/>
      <c r="F210" s="303"/>
      <c r="G210" s="244"/>
      <c r="H210" s="244"/>
      <c r="I210" s="244"/>
      <c r="J210" s="303"/>
      <c r="K210" s="244"/>
      <c r="L210" s="303"/>
      <c r="M210" s="244"/>
      <c r="N210" s="244"/>
      <c r="O210" s="244"/>
      <c r="P210" s="244"/>
    </row>
    <row r="211" spans="1:16" ht="15.75" customHeight="1" x14ac:dyDescent="0.25">
      <c r="A211" s="244"/>
      <c r="B211" s="244"/>
      <c r="C211" s="244"/>
      <c r="D211" s="303"/>
      <c r="E211" s="244"/>
      <c r="F211" s="303"/>
      <c r="G211" s="244"/>
      <c r="H211" s="244"/>
      <c r="I211" s="244"/>
      <c r="J211" s="303"/>
      <c r="K211" s="244"/>
      <c r="L211" s="303"/>
      <c r="M211" s="244"/>
      <c r="N211" s="244"/>
      <c r="O211" s="244"/>
      <c r="P211" s="244"/>
    </row>
    <row r="212" spans="1:16" ht="15.75" customHeight="1" x14ac:dyDescent="0.25">
      <c r="A212" s="244"/>
      <c r="B212" s="244"/>
      <c r="C212" s="244"/>
      <c r="D212" s="303"/>
      <c r="E212" s="244"/>
      <c r="F212" s="303"/>
      <c r="G212" s="244"/>
      <c r="H212" s="244"/>
      <c r="I212" s="244"/>
      <c r="J212" s="303"/>
      <c r="K212" s="244"/>
      <c r="L212" s="303"/>
      <c r="M212" s="244"/>
      <c r="N212" s="244"/>
      <c r="O212" s="244"/>
      <c r="P212" s="244"/>
    </row>
    <row r="213" spans="1:16" ht="15.75" customHeight="1" x14ac:dyDescent="0.25">
      <c r="A213" s="244"/>
      <c r="B213" s="244"/>
      <c r="C213" s="244"/>
      <c r="D213" s="303"/>
      <c r="E213" s="244"/>
      <c r="F213" s="303"/>
      <c r="G213" s="244"/>
      <c r="H213" s="244"/>
      <c r="I213" s="244"/>
      <c r="J213" s="303"/>
      <c r="K213" s="244"/>
      <c r="L213" s="303"/>
      <c r="M213" s="244"/>
      <c r="N213" s="244"/>
      <c r="O213" s="244"/>
      <c r="P213" s="244"/>
    </row>
    <row r="214" spans="1:16" ht="15.75" customHeight="1" x14ac:dyDescent="0.25">
      <c r="A214" s="244"/>
      <c r="B214" s="244"/>
      <c r="C214" s="244"/>
      <c r="D214" s="303"/>
      <c r="E214" s="244"/>
      <c r="F214" s="303"/>
      <c r="G214" s="244"/>
      <c r="H214" s="244"/>
      <c r="I214" s="244"/>
      <c r="J214" s="303"/>
      <c r="K214" s="244"/>
      <c r="L214" s="303"/>
      <c r="M214" s="244"/>
      <c r="N214" s="244"/>
      <c r="O214" s="244"/>
      <c r="P214" s="244"/>
    </row>
    <row r="215" spans="1:16" ht="15.75" customHeight="1" x14ac:dyDescent="0.25">
      <c r="A215" s="244"/>
      <c r="B215" s="244"/>
      <c r="C215" s="244"/>
      <c r="D215" s="303"/>
      <c r="E215" s="244"/>
      <c r="F215" s="303"/>
      <c r="G215" s="244"/>
      <c r="H215" s="244"/>
      <c r="I215" s="244"/>
      <c r="J215" s="303"/>
      <c r="K215" s="244"/>
      <c r="L215" s="303"/>
      <c r="M215" s="244"/>
      <c r="N215" s="244"/>
      <c r="O215" s="244"/>
      <c r="P215" s="244"/>
    </row>
    <row r="216" spans="1:16" ht="15.75" customHeight="1" x14ac:dyDescent="0.25">
      <c r="A216" s="244"/>
      <c r="B216" s="244"/>
      <c r="C216" s="244"/>
      <c r="D216" s="303"/>
      <c r="E216" s="244"/>
      <c r="F216" s="303"/>
      <c r="G216" s="244"/>
      <c r="H216" s="244"/>
      <c r="I216" s="244"/>
      <c r="J216" s="303"/>
      <c r="K216" s="244"/>
      <c r="L216" s="303"/>
      <c r="M216" s="244"/>
      <c r="N216" s="244"/>
      <c r="O216" s="244"/>
      <c r="P216" s="244"/>
    </row>
    <row r="217" spans="1:16" ht="15.75" customHeight="1" x14ac:dyDescent="0.25">
      <c r="A217" s="244"/>
      <c r="B217" s="244"/>
      <c r="C217" s="244"/>
      <c r="D217" s="303"/>
      <c r="E217" s="244"/>
      <c r="F217" s="303"/>
      <c r="G217" s="244"/>
      <c r="H217" s="244"/>
      <c r="I217" s="244"/>
      <c r="J217" s="303"/>
      <c r="K217" s="244"/>
      <c r="L217" s="303"/>
      <c r="M217" s="244"/>
      <c r="N217" s="244"/>
      <c r="O217" s="244"/>
      <c r="P217" s="244"/>
    </row>
    <row r="218" spans="1:16" ht="15.75" customHeight="1" x14ac:dyDescent="0.25">
      <c r="A218" s="244"/>
      <c r="B218" s="244"/>
      <c r="C218" s="244"/>
      <c r="D218" s="303"/>
      <c r="E218" s="244"/>
      <c r="F218" s="303"/>
      <c r="G218" s="244"/>
      <c r="H218" s="244"/>
      <c r="I218" s="244"/>
      <c r="J218" s="303"/>
      <c r="K218" s="244"/>
      <c r="L218" s="303"/>
      <c r="M218" s="244"/>
      <c r="N218" s="244"/>
      <c r="O218" s="244"/>
      <c r="P218" s="244"/>
    </row>
    <row r="219" spans="1:16" ht="15.75" customHeight="1" x14ac:dyDescent="0.25">
      <c r="A219" s="244"/>
      <c r="B219" s="244"/>
      <c r="C219" s="244"/>
      <c r="D219" s="303"/>
      <c r="E219" s="244"/>
      <c r="F219" s="303"/>
      <c r="G219" s="244"/>
      <c r="H219" s="244"/>
      <c r="I219" s="244"/>
      <c r="J219" s="303"/>
      <c r="K219" s="244"/>
      <c r="L219" s="303"/>
      <c r="M219" s="244"/>
      <c r="N219" s="244"/>
      <c r="O219" s="244"/>
      <c r="P219" s="244"/>
    </row>
    <row r="220" spans="1:16" ht="15.75" customHeight="1" x14ac:dyDescent="0.25">
      <c r="A220" s="244"/>
      <c r="B220" s="244"/>
      <c r="C220" s="244"/>
      <c r="D220" s="303"/>
      <c r="E220" s="244"/>
      <c r="F220" s="303"/>
      <c r="G220" s="244"/>
      <c r="H220" s="244"/>
      <c r="I220" s="244"/>
      <c r="J220" s="303"/>
      <c r="K220" s="244"/>
      <c r="L220" s="303"/>
      <c r="M220" s="244"/>
      <c r="N220" s="244"/>
      <c r="O220" s="244"/>
      <c r="P220" s="244"/>
    </row>
    <row r="221" spans="1:16" ht="15.75" customHeight="1" x14ac:dyDescent="0.25">
      <c r="A221" s="244"/>
      <c r="B221" s="244"/>
      <c r="C221" s="244"/>
      <c r="D221" s="303"/>
      <c r="E221" s="244"/>
      <c r="F221" s="303"/>
      <c r="G221" s="244"/>
      <c r="H221" s="244"/>
      <c r="I221" s="244"/>
      <c r="J221" s="303"/>
      <c r="K221" s="244"/>
      <c r="L221" s="303"/>
      <c r="M221" s="244"/>
      <c r="N221" s="244"/>
      <c r="O221" s="244"/>
      <c r="P221" s="244"/>
    </row>
    <row r="222" spans="1:16" ht="15.75" customHeight="1" x14ac:dyDescent="0.25">
      <c r="A222" s="244"/>
      <c r="B222" s="244"/>
      <c r="C222" s="244"/>
      <c r="D222" s="303"/>
      <c r="E222" s="244"/>
      <c r="F222" s="303"/>
      <c r="G222" s="244"/>
      <c r="H222" s="244"/>
      <c r="I222" s="244"/>
      <c r="J222" s="303"/>
      <c r="K222" s="244"/>
      <c r="L222" s="303"/>
      <c r="M222" s="244"/>
      <c r="N222" s="244"/>
      <c r="O222" s="244"/>
      <c r="P222" s="244"/>
    </row>
    <row r="223" spans="1:16" ht="15.75" customHeight="1" x14ac:dyDescent="0.25">
      <c r="A223" s="244"/>
      <c r="B223" s="244"/>
      <c r="C223" s="244"/>
      <c r="D223" s="303"/>
      <c r="E223" s="244"/>
      <c r="F223" s="303"/>
      <c r="G223" s="244"/>
      <c r="H223" s="244"/>
      <c r="I223" s="244"/>
      <c r="J223" s="303"/>
      <c r="K223" s="244"/>
      <c r="L223" s="303"/>
      <c r="M223" s="244"/>
      <c r="N223" s="244"/>
      <c r="O223" s="244"/>
      <c r="P223" s="244"/>
    </row>
    <row r="224" spans="1:16" ht="15.75" customHeight="1" x14ac:dyDescent="0.25">
      <c r="A224" s="244"/>
      <c r="B224" s="244"/>
      <c r="C224" s="244"/>
      <c r="D224" s="303"/>
      <c r="E224" s="244"/>
      <c r="F224" s="303"/>
      <c r="G224" s="244"/>
      <c r="H224" s="244"/>
      <c r="I224" s="244"/>
      <c r="J224" s="303"/>
      <c r="K224" s="244"/>
      <c r="L224" s="303"/>
      <c r="M224" s="244"/>
      <c r="N224" s="244"/>
      <c r="O224" s="244"/>
      <c r="P224" s="244"/>
    </row>
    <row r="225" spans="1:16" ht="15.75" customHeight="1" x14ac:dyDescent="0.25">
      <c r="A225" s="244"/>
      <c r="B225" s="244"/>
      <c r="C225" s="244"/>
      <c r="D225" s="303"/>
      <c r="E225" s="244"/>
      <c r="F225" s="303"/>
      <c r="G225" s="244"/>
      <c r="H225" s="244"/>
      <c r="I225" s="244"/>
      <c r="J225" s="303"/>
      <c r="K225" s="244"/>
      <c r="L225" s="303"/>
      <c r="M225" s="244"/>
      <c r="N225" s="244"/>
      <c r="O225" s="244"/>
      <c r="P225" s="244"/>
    </row>
    <row r="226" spans="1:16" ht="15.75" customHeight="1" x14ac:dyDescent="0.25">
      <c r="A226" s="244"/>
      <c r="B226" s="244"/>
      <c r="C226" s="244"/>
      <c r="D226" s="303"/>
      <c r="E226" s="244"/>
      <c r="F226" s="303"/>
      <c r="G226" s="244"/>
      <c r="H226" s="244"/>
      <c r="I226" s="244"/>
      <c r="J226" s="303"/>
      <c r="K226" s="244"/>
      <c r="L226" s="303"/>
      <c r="M226" s="244"/>
      <c r="N226" s="244"/>
      <c r="O226" s="244"/>
      <c r="P226" s="244"/>
    </row>
    <row r="227" spans="1:16" ht="15.75" customHeight="1" x14ac:dyDescent="0.25">
      <c r="A227" s="244"/>
      <c r="B227" s="244"/>
      <c r="C227" s="244"/>
      <c r="D227" s="303"/>
      <c r="E227" s="244"/>
      <c r="F227" s="303"/>
      <c r="G227" s="244"/>
      <c r="H227" s="244"/>
      <c r="I227" s="244"/>
      <c r="J227" s="303"/>
      <c r="K227" s="244"/>
      <c r="L227" s="303"/>
      <c r="M227" s="244"/>
      <c r="N227" s="244"/>
      <c r="O227" s="244"/>
      <c r="P227" s="244"/>
    </row>
    <row r="228" spans="1:16" ht="15.75" customHeight="1" x14ac:dyDescent="0.25">
      <c r="A228" s="244"/>
      <c r="B228" s="244"/>
      <c r="C228" s="244"/>
      <c r="D228" s="303"/>
      <c r="E228" s="244"/>
      <c r="F228" s="303"/>
      <c r="G228" s="244"/>
      <c r="H228" s="244"/>
      <c r="I228" s="244"/>
      <c r="J228" s="303"/>
      <c r="K228" s="244"/>
      <c r="L228" s="303"/>
      <c r="M228" s="244"/>
      <c r="N228" s="244"/>
      <c r="O228" s="244"/>
      <c r="P228" s="244"/>
    </row>
    <row r="229" spans="1:16" ht="15.75" customHeight="1" x14ac:dyDescent="0.25">
      <c r="A229" s="244"/>
      <c r="B229" s="244"/>
      <c r="C229" s="244"/>
      <c r="D229" s="303"/>
      <c r="E229" s="244"/>
      <c r="F229" s="303"/>
      <c r="G229" s="244"/>
      <c r="H229" s="244"/>
      <c r="I229" s="244"/>
      <c r="J229" s="303"/>
      <c r="K229" s="244"/>
      <c r="L229" s="303"/>
      <c r="M229" s="244"/>
      <c r="N229" s="244"/>
      <c r="O229" s="244"/>
      <c r="P229" s="244"/>
    </row>
    <row r="230" spans="1:16" ht="15.75" customHeight="1" x14ac:dyDescent="0.25">
      <c r="A230" s="244"/>
      <c r="B230" s="244"/>
      <c r="C230" s="244"/>
      <c r="D230" s="303"/>
      <c r="E230" s="244"/>
      <c r="F230" s="303"/>
      <c r="G230" s="244"/>
      <c r="H230" s="244"/>
      <c r="I230" s="244"/>
      <c r="J230" s="303"/>
      <c r="K230" s="244"/>
      <c r="L230" s="303"/>
      <c r="M230" s="244"/>
      <c r="N230" s="244"/>
      <c r="O230" s="244"/>
      <c r="P230" s="244"/>
    </row>
    <row r="231" spans="1:16" ht="15.75" customHeight="1" x14ac:dyDescent="0.25">
      <c r="A231" s="244"/>
      <c r="B231" s="244"/>
      <c r="C231" s="244"/>
      <c r="D231" s="303"/>
      <c r="E231" s="244"/>
      <c r="F231" s="303"/>
      <c r="G231" s="244"/>
      <c r="H231" s="244"/>
      <c r="I231" s="244"/>
      <c r="J231" s="303"/>
      <c r="K231" s="244"/>
      <c r="L231" s="303"/>
      <c r="M231" s="244"/>
      <c r="N231" s="244"/>
      <c r="O231" s="244"/>
      <c r="P231" s="244"/>
    </row>
    <row r="232" spans="1:16" ht="15.75" customHeight="1" x14ac:dyDescent="0.25">
      <c r="A232" s="244"/>
      <c r="B232" s="244"/>
      <c r="C232" s="244"/>
      <c r="D232" s="303"/>
      <c r="E232" s="244"/>
      <c r="F232" s="303"/>
      <c r="G232" s="244"/>
      <c r="H232" s="244"/>
      <c r="I232" s="244"/>
      <c r="J232" s="303"/>
      <c r="K232" s="244"/>
      <c r="L232" s="303"/>
      <c r="M232" s="244"/>
      <c r="N232" s="244"/>
      <c r="O232" s="244"/>
      <c r="P232" s="244"/>
    </row>
    <row r="233" spans="1:16" ht="15.75" customHeight="1" x14ac:dyDescent="0.25">
      <c r="A233" s="244"/>
      <c r="B233" s="244"/>
      <c r="C233" s="244"/>
      <c r="D233" s="303"/>
      <c r="E233" s="244"/>
      <c r="F233" s="303"/>
      <c r="G233" s="244"/>
      <c r="H233" s="244"/>
      <c r="I233" s="244"/>
      <c r="J233" s="303"/>
      <c r="K233" s="244"/>
      <c r="L233" s="303"/>
      <c r="M233" s="244"/>
      <c r="N233" s="244"/>
      <c r="O233" s="244"/>
      <c r="P233" s="244"/>
    </row>
    <row r="234" spans="1:16" ht="15.75" customHeight="1" x14ac:dyDescent="0.25">
      <c r="A234" s="244"/>
      <c r="B234" s="244"/>
      <c r="C234" s="244"/>
      <c r="D234" s="303"/>
      <c r="E234" s="244"/>
      <c r="F234" s="303"/>
      <c r="G234" s="244"/>
      <c r="H234" s="244"/>
      <c r="I234" s="244"/>
      <c r="J234" s="303"/>
      <c r="K234" s="244"/>
      <c r="L234" s="303"/>
      <c r="M234" s="244"/>
      <c r="N234" s="244"/>
      <c r="O234" s="244"/>
      <c r="P234" s="244"/>
    </row>
    <row r="235" spans="1:16" ht="15.75" customHeight="1" x14ac:dyDescent="0.25">
      <c r="A235" s="244"/>
      <c r="B235" s="244"/>
      <c r="C235" s="244"/>
      <c r="D235" s="303"/>
      <c r="E235" s="244"/>
      <c r="F235" s="303"/>
      <c r="G235" s="244"/>
      <c r="H235" s="244"/>
      <c r="I235" s="244"/>
      <c r="J235" s="303"/>
      <c r="K235" s="244"/>
      <c r="L235" s="303"/>
      <c r="M235" s="244"/>
      <c r="N235" s="244"/>
      <c r="O235" s="244"/>
      <c r="P235" s="244"/>
    </row>
    <row r="236" spans="1:16" ht="15.75" customHeight="1" x14ac:dyDescent="0.25">
      <c r="A236" s="244"/>
      <c r="B236" s="244"/>
      <c r="C236" s="244"/>
      <c r="D236" s="303"/>
      <c r="E236" s="244"/>
      <c r="F236" s="303"/>
      <c r="G236" s="244"/>
      <c r="H236" s="244"/>
      <c r="I236" s="244"/>
      <c r="J236" s="303"/>
      <c r="K236" s="244"/>
      <c r="L236" s="303"/>
      <c r="M236" s="244"/>
      <c r="N236" s="244"/>
      <c r="O236" s="244"/>
      <c r="P236" s="244"/>
    </row>
    <row r="237" spans="1:16" ht="15.75" customHeight="1" x14ac:dyDescent="0.25">
      <c r="A237" s="244"/>
      <c r="B237" s="244"/>
      <c r="C237" s="244"/>
      <c r="D237" s="303"/>
      <c r="E237" s="244"/>
      <c r="F237" s="303"/>
      <c r="G237" s="244"/>
      <c r="H237" s="244"/>
      <c r="I237" s="244"/>
      <c r="J237" s="303"/>
      <c r="K237" s="244"/>
      <c r="L237" s="303"/>
      <c r="M237" s="244"/>
      <c r="N237" s="244"/>
      <c r="O237" s="244"/>
      <c r="P237" s="244"/>
    </row>
    <row r="238" spans="1:16" ht="15.75" customHeight="1" x14ac:dyDescent="0.25">
      <c r="A238" s="244"/>
      <c r="B238" s="244"/>
      <c r="C238" s="244"/>
      <c r="D238" s="303"/>
      <c r="E238" s="244"/>
      <c r="F238" s="303"/>
      <c r="G238" s="244"/>
      <c r="H238" s="244"/>
      <c r="I238" s="244"/>
      <c r="J238" s="303"/>
      <c r="K238" s="244"/>
      <c r="L238" s="303"/>
      <c r="M238" s="244"/>
      <c r="N238" s="244"/>
      <c r="O238" s="244"/>
      <c r="P238" s="244"/>
    </row>
    <row r="239" spans="1:16" ht="15.75" customHeight="1" x14ac:dyDescent="0.25">
      <c r="A239" s="244"/>
      <c r="B239" s="244"/>
      <c r="C239" s="244"/>
      <c r="D239" s="303"/>
      <c r="E239" s="244"/>
      <c r="F239" s="303"/>
      <c r="G239" s="244"/>
      <c r="H239" s="244"/>
      <c r="I239" s="244"/>
      <c r="J239" s="303"/>
      <c r="K239" s="244"/>
      <c r="L239" s="303"/>
      <c r="M239" s="244"/>
      <c r="N239" s="244"/>
      <c r="O239" s="244"/>
      <c r="P239" s="244"/>
    </row>
    <row r="240" spans="1:16" ht="15.75" customHeight="1" x14ac:dyDescent="0.25">
      <c r="A240" s="244"/>
      <c r="B240" s="244"/>
      <c r="C240" s="244"/>
      <c r="D240" s="303"/>
      <c r="E240" s="244"/>
      <c r="F240" s="303"/>
      <c r="G240" s="244"/>
      <c r="H240" s="244"/>
      <c r="I240" s="244"/>
      <c r="J240" s="303"/>
      <c r="K240" s="244"/>
      <c r="L240" s="303"/>
      <c r="M240" s="244"/>
      <c r="N240" s="244"/>
      <c r="O240" s="244"/>
      <c r="P240" s="244"/>
    </row>
    <row r="241" spans="1:16" ht="15.75" customHeight="1" x14ac:dyDescent="0.25">
      <c r="A241" s="244"/>
      <c r="B241" s="244"/>
      <c r="C241" s="244"/>
      <c r="D241" s="303"/>
      <c r="E241" s="244"/>
      <c r="F241" s="303"/>
      <c r="G241" s="244"/>
      <c r="H241" s="244"/>
      <c r="I241" s="244"/>
      <c r="J241" s="303"/>
      <c r="K241" s="244"/>
      <c r="L241" s="303"/>
      <c r="M241" s="244"/>
      <c r="N241" s="244"/>
      <c r="O241" s="244"/>
      <c r="P241" s="244"/>
    </row>
    <row r="242" spans="1:16" ht="15.75" customHeight="1" x14ac:dyDescent="0.25">
      <c r="A242" s="244"/>
      <c r="B242" s="244"/>
      <c r="C242" s="244"/>
      <c r="D242" s="303"/>
      <c r="E242" s="244"/>
      <c r="F242" s="303"/>
      <c r="G242" s="244"/>
      <c r="H242" s="244"/>
      <c r="I242" s="244"/>
      <c r="J242" s="303"/>
      <c r="K242" s="244"/>
      <c r="L242" s="303"/>
      <c r="M242" s="244"/>
      <c r="N242" s="244"/>
      <c r="O242" s="244"/>
      <c r="P242" s="244"/>
    </row>
    <row r="243" spans="1:16" ht="15.75" customHeight="1" x14ac:dyDescent="0.25">
      <c r="A243" s="244"/>
      <c r="B243" s="244"/>
      <c r="C243" s="244"/>
      <c r="D243" s="303"/>
      <c r="E243" s="244"/>
      <c r="F243" s="303"/>
      <c r="G243" s="244"/>
      <c r="H243" s="244"/>
      <c r="I243" s="244"/>
      <c r="J243" s="303"/>
      <c r="K243" s="244"/>
      <c r="L243" s="303"/>
      <c r="M243" s="244"/>
      <c r="N243" s="244"/>
      <c r="O243" s="244"/>
      <c r="P243" s="244"/>
    </row>
    <row r="244" spans="1:16" ht="15.75" customHeight="1" x14ac:dyDescent="0.25">
      <c r="A244" s="244"/>
      <c r="B244" s="244"/>
      <c r="C244" s="244"/>
      <c r="D244" s="303"/>
      <c r="E244" s="244"/>
      <c r="F244" s="303"/>
      <c r="G244" s="244"/>
      <c r="H244" s="244"/>
      <c r="I244" s="244"/>
      <c r="J244" s="303"/>
      <c r="K244" s="244"/>
      <c r="L244" s="303"/>
      <c r="M244" s="244"/>
      <c r="N244" s="244"/>
      <c r="O244" s="244"/>
      <c r="P244" s="244"/>
    </row>
    <row r="245" spans="1:16" ht="15.75" customHeight="1" x14ac:dyDescent="0.25">
      <c r="A245" s="244"/>
      <c r="B245" s="244"/>
      <c r="C245" s="244"/>
      <c r="D245" s="303"/>
      <c r="E245" s="244"/>
      <c r="F245" s="303"/>
      <c r="G245" s="244"/>
      <c r="H245" s="244"/>
      <c r="I245" s="244"/>
      <c r="J245" s="303"/>
      <c r="K245" s="244"/>
      <c r="L245" s="303"/>
      <c r="M245" s="244"/>
      <c r="N245" s="244"/>
      <c r="O245" s="244"/>
      <c r="P245" s="244"/>
    </row>
    <row r="246" spans="1:16" ht="15.75" customHeight="1" x14ac:dyDescent="0.25">
      <c r="A246" s="244"/>
      <c r="B246" s="244"/>
      <c r="C246" s="244"/>
      <c r="D246" s="303"/>
      <c r="E246" s="244"/>
      <c r="F246" s="303"/>
      <c r="G246" s="244"/>
      <c r="H246" s="244"/>
      <c r="I246" s="244"/>
      <c r="J246" s="303"/>
      <c r="K246" s="244"/>
      <c r="L246" s="303"/>
      <c r="M246" s="244"/>
      <c r="N246" s="244"/>
      <c r="O246" s="244"/>
      <c r="P246" s="244"/>
    </row>
    <row r="247" spans="1:16" ht="15.75" customHeight="1" x14ac:dyDescent="0.25">
      <c r="A247" s="244"/>
      <c r="B247" s="244"/>
      <c r="C247" s="244"/>
      <c r="D247" s="303"/>
      <c r="E247" s="244"/>
      <c r="F247" s="303"/>
      <c r="G247" s="244"/>
      <c r="H247" s="244"/>
      <c r="I247" s="244"/>
      <c r="J247" s="303"/>
      <c r="K247" s="244"/>
      <c r="L247" s="303"/>
      <c r="M247" s="244"/>
      <c r="N247" s="244"/>
      <c r="O247" s="244"/>
      <c r="P247" s="244"/>
    </row>
    <row r="248" spans="1:16" ht="15.75" customHeight="1" x14ac:dyDescent="0.25">
      <c r="A248" s="244"/>
      <c r="B248" s="244"/>
      <c r="C248" s="244"/>
      <c r="D248" s="303"/>
      <c r="E248" s="244"/>
      <c r="F248" s="303"/>
      <c r="G248" s="244"/>
      <c r="H248" s="244"/>
      <c r="I248" s="244"/>
      <c r="J248" s="303"/>
      <c r="K248" s="244"/>
      <c r="L248" s="303"/>
      <c r="M248" s="244"/>
      <c r="N248" s="244"/>
      <c r="O248" s="244"/>
      <c r="P248" s="244"/>
    </row>
    <row r="249" spans="1:16" ht="15.75" customHeight="1" x14ac:dyDescent="0.25">
      <c r="A249" s="244"/>
      <c r="B249" s="244"/>
      <c r="C249" s="244"/>
      <c r="D249" s="303"/>
      <c r="E249" s="244"/>
      <c r="F249" s="303"/>
      <c r="G249" s="244"/>
      <c r="H249" s="244"/>
      <c r="I249" s="244"/>
      <c r="J249" s="303"/>
      <c r="K249" s="244"/>
      <c r="L249" s="303"/>
      <c r="M249" s="244"/>
      <c r="N249" s="244"/>
      <c r="O249" s="244"/>
      <c r="P249" s="244"/>
    </row>
    <row r="250" spans="1:16" ht="15.75" customHeight="1" x14ac:dyDescent="0.25">
      <c r="A250" s="244"/>
      <c r="B250" s="244"/>
      <c r="C250" s="244"/>
      <c r="D250" s="303"/>
      <c r="E250" s="244"/>
      <c r="F250" s="303"/>
      <c r="G250" s="244"/>
      <c r="H250" s="244"/>
      <c r="I250" s="244"/>
      <c r="J250" s="303"/>
      <c r="K250" s="244"/>
      <c r="L250" s="303"/>
      <c r="M250" s="244"/>
      <c r="N250" s="244"/>
      <c r="O250" s="244"/>
      <c r="P250" s="244"/>
    </row>
    <row r="251" spans="1:16" ht="15.75" customHeight="1" x14ac:dyDescent="0.25">
      <c r="A251" s="244"/>
      <c r="B251" s="244"/>
      <c r="C251" s="244"/>
      <c r="D251" s="303"/>
      <c r="E251" s="244"/>
      <c r="F251" s="303"/>
      <c r="G251" s="244"/>
      <c r="H251" s="244"/>
      <c r="I251" s="244"/>
      <c r="J251" s="303"/>
      <c r="K251" s="244"/>
      <c r="L251" s="303"/>
      <c r="M251" s="244"/>
      <c r="N251" s="244"/>
      <c r="O251" s="244"/>
      <c r="P251" s="244"/>
    </row>
    <row r="252" spans="1:16" ht="15.75" customHeight="1" x14ac:dyDescent="0.25">
      <c r="A252" s="244"/>
      <c r="B252" s="244"/>
      <c r="C252" s="244"/>
      <c r="D252" s="303"/>
      <c r="E252" s="244"/>
      <c r="F252" s="303"/>
      <c r="G252" s="244"/>
      <c r="H252" s="244"/>
      <c r="I252" s="244"/>
      <c r="J252" s="303"/>
      <c r="K252" s="244"/>
      <c r="L252" s="303"/>
      <c r="M252" s="244"/>
      <c r="N252" s="244"/>
      <c r="O252" s="244"/>
      <c r="P252" s="244"/>
    </row>
    <row r="253" spans="1:16" ht="15.75" customHeight="1" x14ac:dyDescent="0.25">
      <c r="A253" s="244"/>
      <c r="B253" s="244"/>
      <c r="C253" s="244"/>
      <c r="D253" s="303"/>
      <c r="E253" s="244"/>
      <c r="F253" s="303"/>
      <c r="G253" s="244"/>
      <c r="H253" s="244"/>
      <c r="I253" s="244"/>
      <c r="J253" s="303"/>
      <c r="K253" s="244"/>
      <c r="L253" s="303"/>
      <c r="M253" s="244"/>
      <c r="N253" s="244"/>
      <c r="O253" s="244"/>
      <c r="P253" s="244"/>
    </row>
    <row r="254" spans="1:16" ht="15.75" customHeight="1" x14ac:dyDescent="0.25">
      <c r="A254" s="244"/>
      <c r="B254" s="244"/>
      <c r="C254" s="244"/>
      <c r="D254" s="303"/>
      <c r="E254" s="244"/>
      <c r="F254" s="303"/>
      <c r="G254" s="244"/>
      <c r="H254" s="244"/>
      <c r="I254" s="244"/>
      <c r="J254" s="303"/>
      <c r="K254" s="244"/>
      <c r="L254" s="303"/>
      <c r="M254" s="244"/>
      <c r="N254" s="244"/>
      <c r="O254" s="244"/>
      <c r="P254" s="244"/>
    </row>
    <row r="255" spans="1:16" ht="15.75" customHeight="1" x14ac:dyDescent="0.25">
      <c r="A255" s="244"/>
      <c r="B255" s="244"/>
      <c r="C255" s="244"/>
      <c r="D255" s="303"/>
      <c r="E255" s="244"/>
      <c r="F255" s="303"/>
      <c r="G255" s="244"/>
      <c r="H255" s="244"/>
      <c r="I255" s="244"/>
      <c r="J255" s="303"/>
      <c r="K255" s="244"/>
      <c r="L255" s="303"/>
      <c r="M255" s="244"/>
      <c r="N255" s="244"/>
      <c r="O255" s="244"/>
      <c r="P255" s="244"/>
    </row>
    <row r="256" spans="1:16" ht="15.75" customHeight="1" x14ac:dyDescent="0.25">
      <c r="A256" s="244"/>
      <c r="B256" s="244"/>
      <c r="C256" s="244"/>
      <c r="D256" s="303"/>
      <c r="E256" s="244"/>
      <c r="F256" s="303"/>
      <c r="G256" s="244"/>
      <c r="H256" s="244"/>
      <c r="I256" s="244"/>
      <c r="J256" s="303"/>
      <c r="K256" s="244"/>
      <c r="L256" s="303"/>
      <c r="M256" s="244"/>
      <c r="N256" s="244"/>
      <c r="O256" s="244"/>
      <c r="P256" s="244"/>
    </row>
    <row r="257" spans="1:16" ht="15.75" customHeight="1" x14ac:dyDescent="0.25">
      <c r="A257" s="244"/>
      <c r="B257" s="244"/>
      <c r="C257" s="244"/>
      <c r="D257" s="303"/>
      <c r="E257" s="244"/>
      <c r="F257" s="303"/>
      <c r="G257" s="244"/>
      <c r="H257" s="244"/>
      <c r="I257" s="244"/>
      <c r="J257" s="303"/>
      <c r="K257" s="244"/>
      <c r="L257" s="303"/>
      <c r="M257" s="244"/>
      <c r="N257" s="244"/>
      <c r="O257" s="244"/>
      <c r="P257" s="244"/>
    </row>
    <row r="258" spans="1:16" ht="15.75" customHeight="1" x14ac:dyDescent="0.25">
      <c r="A258" s="244"/>
      <c r="B258" s="244"/>
      <c r="C258" s="244"/>
      <c r="D258" s="303"/>
      <c r="E258" s="244"/>
      <c r="F258" s="303"/>
      <c r="G258" s="244"/>
      <c r="H258" s="244"/>
      <c r="I258" s="244"/>
      <c r="J258" s="303"/>
      <c r="K258" s="244"/>
      <c r="L258" s="303"/>
      <c r="M258" s="244"/>
      <c r="N258" s="244"/>
      <c r="O258" s="244"/>
      <c r="P258" s="244"/>
    </row>
    <row r="259" spans="1:16" ht="15.75" customHeight="1" x14ac:dyDescent="0.25">
      <c r="A259" s="244"/>
      <c r="B259" s="244"/>
      <c r="C259" s="244"/>
      <c r="D259" s="303"/>
      <c r="E259" s="244"/>
      <c r="F259" s="303"/>
      <c r="G259" s="244"/>
      <c r="H259" s="244"/>
      <c r="I259" s="244"/>
      <c r="J259" s="303"/>
      <c r="K259" s="244"/>
      <c r="L259" s="303"/>
      <c r="M259" s="244"/>
      <c r="N259" s="244"/>
      <c r="O259" s="244"/>
      <c r="P259" s="244"/>
    </row>
    <row r="260" spans="1:16" ht="15.75" customHeight="1" x14ac:dyDescent="0.25">
      <c r="A260" s="244"/>
      <c r="B260" s="244"/>
      <c r="C260" s="244"/>
      <c r="D260" s="303"/>
      <c r="E260" s="244"/>
      <c r="F260" s="303"/>
      <c r="G260" s="244"/>
      <c r="H260" s="244"/>
      <c r="I260" s="244"/>
      <c r="J260" s="303"/>
      <c r="K260" s="244"/>
      <c r="L260" s="303"/>
      <c r="M260" s="244"/>
      <c r="N260" s="244"/>
      <c r="O260" s="244"/>
      <c r="P260" s="244"/>
    </row>
    <row r="261" spans="1:16" ht="15.75" customHeight="1" x14ac:dyDescent="0.25">
      <c r="A261" s="244"/>
      <c r="B261" s="244"/>
      <c r="C261" s="244"/>
      <c r="D261" s="303"/>
      <c r="E261" s="244"/>
      <c r="F261" s="303"/>
      <c r="G261" s="244"/>
      <c r="H261" s="244"/>
      <c r="I261" s="244"/>
      <c r="J261" s="303"/>
      <c r="K261" s="244"/>
      <c r="L261" s="303"/>
      <c r="M261" s="244"/>
      <c r="N261" s="244"/>
      <c r="O261" s="244"/>
      <c r="P261" s="244"/>
    </row>
    <row r="262" spans="1:16" ht="15.75" customHeight="1" x14ac:dyDescent="0.25">
      <c r="A262" s="244"/>
      <c r="B262" s="244"/>
      <c r="C262" s="244"/>
      <c r="D262" s="303"/>
      <c r="E262" s="244"/>
      <c r="F262" s="303"/>
      <c r="G262" s="244"/>
      <c r="H262" s="244"/>
      <c r="I262" s="244"/>
      <c r="J262" s="303"/>
      <c r="K262" s="244"/>
      <c r="L262" s="303"/>
      <c r="M262" s="244"/>
      <c r="N262" s="244"/>
      <c r="O262" s="244"/>
      <c r="P262" s="244"/>
    </row>
    <row r="263" spans="1:16" ht="15.75" customHeight="1" x14ac:dyDescent="0.25">
      <c r="A263" s="244"/>
      <c r="B263" s="244"/>
      <c r="C263" s="244"/>
      <c r="D263" s="303"/>
      <c r="E263" s="244"/>
      <c r="F263" s="303"/>
      <c r="G263" s="244"/>
      <c r="H263" s="244"/>
      <c r="I263" s="244"/>
      <c r="J263" s="303"/>
      <c r="K263" s="244"/>
      <c r="L263" s="303"/>
      <c r="M263" s="244"/>
      <c r="N263" s="244"/>
      <c r="O263" s="244"/>
      <c r="P263" s="244"/>
    </row>
    <row r="264" spans="1:16" ht="15.75" customHeight="1" x14ac:dyDescent="0.25">
      <c r="A264" s="244"/>
      <c r="B264" s="244"/>
      <c r="C264" s="244"/>
      <c r="D264" s="244"/>
      <c r="E264" s="244"/>
      <c r="F264" s="303"/>
      <c r="G264" s="244"/>
      <c r="H264" s="244"/>
      <c r="I264" s="244"/>
      <c r="J264" s="244"/>
      <c r="K264" s="244"/>
      <c r="L264" s="303"/>
      <c r="M264" s="244"/>
      <c r="N264" s="244"/>
      <c r="O264" s="244"/>
      <c r="P264" s="244"/>
    </row>
    <row r="265" spans="1:16" ht="15.75" customHeight="1" x14ac:dyDescent="0.25">
      <c r="A265" s="244"/>
      <c r="B265" s="244"/>
      <c r="C265" s="244"/>
      <c r="D265" s="244"/>
      <c r="E265" s="244"/>
      <c r="F265" s="303"/>
      <c r="G265" s="244"/>
      <c r="H265" s="244"/>
      <c r="I265" s="244"/>
      <c r="J265" s="244"/>
      <c r="K265" s="244"/>
      <c r="L265" s="303"/>
      <c r="M265" s="244"/>
      <c r="N265" s="244"/>
      <c r="O265" s="244"/>
      <c r="P265" s="244"/>
    </row>
    <row r="266" spans="1:16" ht="15.75" customHeight="1" x14ac:dyDescent="0.25">
      <c r="A266" s="244"/>
      <c r="B266" s="244"/>
      <c r="C266" s="244"/>
      <c r="D266" s="244"/>
      <c r="E266" s="244"/>
      <c r="F266" s="303"/>
      <c r="G266" s="244"/>
      <c r="H266" s="244"/>
      <c r="I266" s="244"/>
      <c r="J266" s="244"/>
      <c r="K266" s="244"/>
      <c r="L266" s="303"/>
      <c r="M266" s="244"/>
      <c r="N266" s="244"/>
      <c r="O266" s="244"/>
      <c r="P266" s="244"/>
    </row>
    <row r="267" spans="1:16" ht="15.75" customHeight="1" x14ac:dyDescent="0.25">
      <c r="A267" s="244"/>
      <c r="B267" s="244"/>
      <c r="C267" s="244"/>
      <c r="D267" s="244"/>
      <c r="E267" s="244"/>
      <c r="F267" s="303"/>
      <c r="G267" s="244"/>
      <c r="H267" s="244"/>
      <c r="I267" s="244"/>
      <c r="J267" s="244"/>
      <c r="K267" s="244"/>
      <c r="L267" s="303"/>
      <c r="M267" s="244"/>
      <c r="N267" s="244"/>
      <c r="O267" s="244"/>
      <c r="P267" s="244"/>
    </row>
    <row r="268" spans="1:16" ht="15.75" customHeight="1" x14ac:dyDescent="0.25">
      <c r="A268" s="244"/>
      <c r="B268" s="244"/>
      <c r="C268" s="244"/>
      <c r="D268" s="244"/>
      <c r="E268" s="244"/>
      <c r="F268" s="303"/>
      <c r="G268" s="244"/>
      <c r="H268" s="244"/>
      <c r="I268" s="244"/>
      <c r="J268" s="244"/>
      <c r="K268" s="244"/>
      <c r="L268" s="303"/>
      <c r="M268" s="244"/>
      <c r="N268" s="244"/>
      <c r="O268" s="244"/>
      <c r="P268" s="244"/>
    </row>
    <row r="269" spans="1:16" ht="15.75" customHeight="1" x14ac:dyDescent="0.25">
      <c r="A269" s="244"/>
      <c r="B269" s="244"/>
      <c r="C269" s="244"/>
      <c r="D269" s="244"/>
      <c r="E269" s="244"/>
      <c r="F269" s="303"/>
      <c r="G269" s="244"/>
      <c r="H269" s="244"/>
      <c r="I269" s="244"/>
      <c r="J269" s="244"/>
      <c r="K269" s="244"/>
      <c r="L269" s="303"/>
      <c r="M269" s="244"/>
      <c r="N269" s="244"/>
      <c r="O269" s="244"/>
      <c r="P269" s="244"/>
    </row>
    <row r="270" spans="1:16" ht="15.75" customHeight="1" x14ac:dyDescent="0.25">
      <c r="A270" s="244"/>
      <c r="B270" s="244"/>
      <c r="C270" s="244"/>
      <c r="D270" s="244"/>
      <c r="E270" s="244"/>
      <c r="F270" s="303"/>
      <c r="G270" s="244"/>
      <c r="H270" s="244"/>
      <c r="I270" s="244"/>
      <c r="J270" s="244"/>
      <c r="K270" s="244"/>
      <c r="L270" s="303"/>
      <c r="M270" s="244"/>
      <c r="N270" s="244"/>
      <c r="O270" s="244"/>
      <c r="P270" s="244"/>
    </row>
    <row r="271" spans="1:16" ht="15.75" customHeight="1" x14ac:dyDescent="0.25">
      <c r="A271" s="244"/>
      <c r="B271" s="244"/>
      <c r="C271" s="244"/>
      <c r="D271" s="244"/>
      <c r="E271" s="244"/>
      <c r="F271" s="303"/>
      <c r="G271" s="244"/>
      <c r="H271" s="244"/>
      <c r="I271" s="244"/>
      <c r="J271" s="244"/>
      <c r="K271" s="244"/>
      <c r="L271" s="303"/>
      <c r="M271" s="244"/>
      <c r="N271" s="244"/>
      <c r="O271" s="244"/>
      <c r="P271" s="244"/>
    </row>
    <row r="272" spans="1:16" ht="15.75" customHeight="1" x14ac:dyDescent="0.25">
      <c r="A272" s="244"/>
      <c r="B272" s="244"/>
      <c r="C272" s="244"/>
      <c r="D272" s="244"/>
      <c r="E272" s="244"/>
      <c r="F272" s="303"/>
      <c r="G272" s="244"/>
      <c r="H272" s="244"/>
      <c r="I272" s="244"/>
      <c r="J272" s="244"/>
      <c r="K272" s="244"/>
      <c r="L272" s="303"/>
      <c r="M272" s="244"/>
      <c r="N272" s="244"/>
      <c r="O272" s="244"/>
      <c r="P272" s="244"/>
    </row>
    <row r="273" spans="1:16" ht="15.75" customHeight="1" x14ac:dyDescent="0.25">
      <c r="A273" s="244"/>
      <c r="B273" s="244"/>
      <c r="C273" s="244"/>
      <c r="D273" s="244"/>
      <c r="E273" s="244"/>
      <c r="F273" s="303"/>
      <c r="G273" s="244"/>
      <c r="H273" s="244"/>
      <c r="I273" s="244"/>
      <c r="J273" s="244"/>
      <c r="K273" s="244"/>
      <c r="L273" s="303"/>
      <c r="M273" s="244"/>
      <c r="N273" s="244"/>
      <c r="O273" s="244"/>
      <c r="P273" s="244"/>
    </row>
    <row r="274" spans="1:16" ht="15.75" customHeight="1" x14ac:dyDescent="0.25">
      <c r="A274" s="244"/>
      <c r="B274" s="244"/>
      <c r="C274" s="244"/>
      <c r="D274" s="244"/>
      <c r="E274" s="244"/>
      <c r="F274" s="303"/>
      <c r="G274" s="244"/>
      <c r="H274" s="244"/>
      <c r="I274" s="244"/>
      <c r="J274" s="244"/>
      <c r="K274" s="244"/>
      <c r="L274" s="303"/>
      <c r="M274" s="244"/>
      <c r="N274" s="244"/>
      <c r="O274" s="244"/>
      <c r="P274" s="244"/>
    </row>
    <row r="275" spans="1:16" ht="15.75" customHeight="1" x14ac:dyDescent="0.25">
      <c r="A275" s="244"/>
      <c r="B275" s="244"/>
      <c r="C275" s="244"/>
      <c r="D275" s="244"/>
      <c r="E275" s="244"/>
      <c r="F275" s="303"/>
      <c r="G275" s="244"/>
      <c r="H275" s="244"/>
      <c r="I275" s="244"/>
      <c r="J275" s="244"/>
      <c r="K275" s="244"/>
      <c r="L275" s="303"/>
      <c r="M275" s="244"/>
      <c r="N275" s="244"/>
      <c r="O275" s="244"/>
      <c r="P275" s="244"/>
    </row>
    <row r="276" spans="1:16" ht="15.75" customHeight="1" x14ac:dyDescent="0.25">
      <c r="A276" s="244"/>
      <c r="B276" s="244"/>
      <c r="C276" s="244"/>
      <c r="D276" s="244"/>
      <c r="E276" s="244"/>
      <c r="F276" s="303"/>
      <c r="G276" s="244"/>
      <c r="H276" s="244"/>
      <c r="I276" s="244"/>
      <c r="J276" s="244"/>
      <c r="K276" s="244"/>
      <c r="L276" s="303"/>
      <c r="M276" s="244"/>
      <c r="N276" s="244"/>
      <c r="O276" s="244"/>
      <c r="P276" s="244"/>
    </row>
    <row r="277" spans="1:16" ht="15.75" customHeight="1" x14ac:dyDescent="0.25">
      <c r="A277" s="244"/>
      <c r="B277" s="244"/>
      <c r="C277" s="244"/>
      <c r="D277" s="244"/>
      <c r="E277" s="244"/>
      <c r="F277" s="303"/>
      <c r="G277" s="244"/>
      <c r="H277" s="244"/>
      <c r="I277" s="244"/>
      <c r="J277" s="244"/>
      <c r="K277" s="244"/>
      <c r="L277" s="303"/>
      <c r="M277" s="244"/>
      <c r="N277" s="244"/>
      <c r="O277" s="244"/>
      <c r="P277" s="244"/>
    </row>
    <row r="278" spans="1:16" ht="15.75" customHeight="1" x14ac:dyDescent="0.25">
      <c r="A278" s="244"/>
      <c r="B278" s="244"/>
      <c r="C278" s="244"/>
      <c r="D278" s="244"/>
      <c r="E278" s="244"/>
      <c r="F278" s="303"/>
      <c r="G278" s="244"/>
      <c r="H278" s="244"/>
      <c r="I278" s="244"/>
      <c r="J278" s="244"/>
      <c r="K278" s="244"/>
      <c r="L278" s="303"/>
      <c r="M278" s="244"/>
      <c r="N278" s="244"/>
      <c r="O278" s="244"/>
      <c r="P278" s="244"/>
    </row>
    <row r="279" spans="1:16" ht="15.75" customHeight="1" x14ac:dyDescent="0.25">
      <c r="A279" s="244"/>
      <c r="B279" s="244"/>
      <c r="C279" s="244"/>
      <c r="D279" s="244"/>
      <c r="E279" s="244"/>
      <c r="F279" s="303"/>
      <c r="G279" s="244"/>
      <c r="H279" s="244"/>
      <c r="I279" s="244"/>
      <c r="J279" s="244"/>
      <c r="K279" s="244"/>
      <c r="L279" s="303"/>
      <c r="M279" s="244"/>
      <c r="N279" s="244"/>
      <c r="O279" s="244"/>
      <c r="P279" s="244"/>
    </row>
    <row r="280" spans="1:16" ht="15.75" customHeight="1" x14ac:dyDescent="0.25">
      <c r="A280" s="244"/>
      <c r="B280" s="244"/>
      <c r="C280" s="244"/>
      <c r="D280" s="244"/>
      <c r="E280" s="244"/>
      <c r="F280" s="303"/>
      <c r="G280" s="244"/>
      <c r="H280" s="244"/>
      <c r="I280" s="244"/>
      <c r="J280" s="244"/>
      <c r="K280" s="244"/>
      <c r="L280" s="303"/>
      <c r="M280" s="244"/>
      <c r="N280" s="244"/>
      <c r="O280" s="244"/>
      <c r="P280" s="244"/>
    </row>
    <row r="281" spans="1:16" ht="15.75" customHeight="1" x14ac:dyDescent="0.25">
      <c r="A281" s="244"/>
      <c r="B281" s="244"/>
      <c r="C281" s="244"/>
      <c r="D281" s="244"/>
      <c r="E281" s="244"/>
      <c r="F281" s="303"/>
      <c r="G281" s="244"/>
      <c r="H281" s="244"/>
      <c r="I281" s="244"/>
      <c r="J281" s="244"/>
      <c r="K281" s="244"/>
      <c r="L281" s="303"/>
      <c r="M281" s="244"/>
      <c r="N281" s="244"/>
      <c r="O281" s="244"/>
      <c r="P281" s="244"/>
    </row>
    <row r="282" spans="1:16" ht="15.75" customHeight="1" x14ac:dyDescent="0.25">
      <c r="A282" s="244"/>
      <c r="B282" s="244"/>
      <c r="C282" s="244"/>
      <c r="D282" s="244"/>
      <c r="E282" s="244"/>
      <c r="F282" s="303"/>
      <c r="G282" s="244"/>
      <c r="H282" s="244"/>
      <c r="I282" s="244"/>
      <c r="J282" s="244"/>
      <c r="K282" s="244"/>
      <c r="L282" s="303"/>
      <c r="M282" s="244"/>
      <c r="N282" s="244"/>
      <c r="O282" s="244"/>
      <c r="P282" s="244"/>
    </row>
    <row r="283" spans="1:16" ht="15.75" customHeight="1" x14ac:dyDescent="0.25">
      <c r="A283" s="244"/>
      <c r="B283" s="244"/>
      <c r="C283" s="244"/>
      <c r="D283" s="244"/>
      <c r="E283" s="244"/>
      <c r="F283" s="303"/>
      <c r="G283" s="244"/>
      <c r="H283" s="244"/>
      <c r="I283" s="244"/>
      <c r="J283" s="244"/>
      <c r="K283" s="244"/>
      <c r="L283" s="303"/>
      <c r="M283" s="244"/>
      <c r="N283" s="244"/>
      <c r="O283" s="244"/>
      <c r="P283" s="244"/>
    </row>
    <row r="284" spans="1:16" ht="15.75" customHeight="1" x14ac:dyDescent="0.25">
      <c r="A284" s="244"/>
      <c r="B284" s="244"/>
      <c r="C284" s="244"/>
      <c r="D284" s="244"/>
      <c r="E284" s="244"/>
      <c r="F284" s="303"/>
      <c r="G284" s="244"/>
      <c r="H284" s="244"/>
      <c r="I284" s="244"/>
      <c r="J284" s="244"/>
      <c r="K284" s="244"/>
      <c r="L284" s="303"/>
      <c r="M284" s="244"/>
      <c r="N284" s="244"/>
      <c r="O284" s="244"/>
      <c r="P284" s="244"/>
    </row>
    <row r="285" spans="1:16" ht="15.75" customHeight="1" x14ac:dyDescent="0.25">
      <c r="A285" s="244"/>
      <c r="B285" s="244"/>
      <c r="C285" s="244"/>
      <c r="D285" s="244"/>
      <c r="E285" s="244"/>
      <c r="F285" s="303"/>
      <c r="G285" s="244"/>
      <c r="H285" s="244"/>
      <c r="I285" s="244"/>
      <c r="J285" s="244"/>
      <c r="K285" s="244"/>
      <c r="L285" s="303"/>
      <c r="M285" s="244"/>
      <c r="N285" s="244"/>
      <c r="O285" s="244"/>
      <c r="P285" s="244"/>
    </row>
    <row r="286" spans="1:16" ht="15.75" customHeight="1" x14ac:dyDescent="0.25">
      <c r="A286" s="244"/>
      <c r="B286" s="244"/>
      <c r="C286" s="244"/>
      <c r="D286" s="244"/>
      <c r="E286" s="244"/>
      <c r="F286" s="303"/>
      <c r="G286" s="244"/>
      <c r="H286" s="244"/>
      <c r="I286" s="244"/>
      <c r="J286" s="244"/>
      <c r="K286" s="244"/>
      <c r="L286" s="303"/>
      <c r="M286" s="244"/>
      <c r="N286" s="244"/>
      <c r="O286" s="244"/>
      <c r="P286" s="244"/>
    </row>
    <row r="287" spans="1:16" ht="15.75" customHeight="1" x14ac:dyDescent="0.25">
      <c r="A287" s="244"/>
      <c r="B287" s="244"/>
      <c r="C287" s="244"/>
      <c r="D287" s="244"/>
      <c r="E287" s="244"/>
      <c r="F287" s="303"/>
      <c r="G287" s="244"/>
      <c r="H287" s="244"/>
      <c r="I287" s="244"/>
      <c r="J287" s="244"/>
      <c r="K287" s="244"/>
      <c r="L287" s="303"/>
      <c r="M287" s="244"/>
      <c r="N287" s="244"/>
      <c r="O287" s="244"/>
      <c r="P287" s="244"/>
    </row>
    <row r="288" spans="1:16" ht="15.75" customHeight="1" x14ac:dyDescent="0.25">
      <c r="A288" s="244"/>
      <c r="B288" s="244"/>
      <c r="C288" s="244"/>
      <c r="D288" s="244"/>
      <c r="E288" s="244"/>
      <c r="F288" s="303"/>
      <c r="G288" s="244"/>
      <c r="H288" s="244"/>
      <c r="I288" s="244"/>
      <c r="J288" s="244"/>
      <c r="K288" s="244"/>
      <c r="L288" s="303"/>
      <c r="M288" s="244"/>
      <c r="N288" s="244"/>
      <c r="O288" s="244"/>
      <c r="P288" s="244"/>
    </row>
    <row r="289" spans="1:16" ht="15.75" customHeight="1" x14ac:dyDescent="0.25">
      <c r="A289" s="244"/>
      <c r="B289" s="244"/>
      <c r="C289" s="244"/>
      <c r="D289" s="244"/>
      <c r="E289" s="244"/>
      <c r="F289" s="303"/>
      <c r="G289" s="244"/>
      <c r="H289" s="244"/>
      <c r="I289" s="244"/>
      <c r="J289" s="244"/>
      <c r="K289" s="244"/>
      <c r="L289" s="303"/>
      <c r="M289" s="244"/>
      <c r="N289" s="244"/>
      <c r="O289" s="244"/>
      <c r="P289" s="244"/>
    </row>
    <row r="290" spans="1:16" ht="15.75" customHeight="1" x14ac:dyDescent="0.25">
      <c r="A290" s="244"/>
      <c r="B290" s="244"/>
      <c r="C290" s="244"/>
      <c r="D290" s="244"/>
      <c r="E290" s="244"/>
      <c r="F290" s="303"/>
      <c r="G290" s="244"/>
      <c r="H290" s="244"/>
      <c r="I290" s="244"/>
      <c r="J290" s="244"/>
      <c r="K290" s="244"/>
      <c r="L290" s="303"/>
      <c r="M290" s="244"/>
      <c r="N290" s="244"/>
      <c r="O290" s="244"/>
      <c r="P290" s="244"/>
    </row>
    <row r="291" spans="1:16" ht="15.75" customHeight="1" x14ac:dyDescent="0.25">
      <c r="A291" s="244"/>
      <c r="B291" s="244"/>
      <c r="C291" s="244"/>
      <c r="D291" s="244"/>
      <c r="E291" s="244"/>
      <c r="F291" s="303"/>
      <c r="G291" s="244"/>
      <c r="H291" s="244"/>
      <c r="I291" s="244"/>
      <c r="J291" s="244"/>
      <c r="K291" s="244"/>
      <c r="L291" s="303"/>
      <c r="M291" s="244"/>
      <c r="N291" s="244"/>
      <c r="O291" s="244"/>
      <c r="P291" s="244"/>
    </row>
    <row r="292" spans="1:16" ht="15.75" customHeight="1" x14ac:dyDescent="0.25">
      <c r="A292" s="244"/>
      <c r="B292" s="244"/>
      <c r="C292" s="244"/>
      <c r="D292" s="244"/>
      <c r="E292" s="244"/>
      <c r="F292" s="303"/>
      <c r="G292" s="244"/>
      <c r="H292" s="244"/>
      <c r="I292" s="244"/>
      <c r="J292" s="244"/>
      <c r="K292" s="244"/>
      <c r="L292" s="303"/>
      <c r="M292" s="244"/>
      <c r="N292" s="244"/>
      <c r="O292" s="244"/>
      <c r="P292" s="244"/>
    </row>
    <row r="293" spans="1:16" ht="15.75" customHeight="1" x14ac:dyDescent="0.25">
      <c r="A293" s="244"/>
      <c r="B293" s="244"/>
      <c r="C293" s="244"/>
      <c r="D293" s="244"/>
      <c r="E293" s="244"/>
      <c r="F293" s="303"/>
      <c r="G293" s="244"/>
      <c r="H293" s="244"/>
      <c r="I293" s="244"/>
      <c r="J293" s="244"/>
      <c r="K293" s="244"/>
      <c r="L293" s="303"/>
      <c r="M293" s="244"/>
      <c r="N293" s="244"/>
      <c r="O293" s="244"/>
      <c r="P293" s="244"/>
    </row>
    <row r="294" spans="1:16" ht="15.75" customHeight="1" x14ac:dyDescent="0.25">
      <c r="A294" s="244"/>
      <c r="B294" s="244"/>
      <c r="C294" s="244"/>
      <c r="D294" s="244"/>
      <c r="E294" s="244"/>
      <c r="F294" s="303"/>
      <c r="G294" s="244"/>
      <c r="H294" s="244"/>
      <c r="I294" s="244"/>
      <c r="J294" s="244"/>
      <c r="K294" s="244"/>
      <c r="L294" s="303"/>
      <c r="M294" s="244"/>
      <c r="N294" s="244"/>
      <c r="O294" s="244"/>
      <c r="P294" s="244"/>
    </row>
    <row r="295" spans="1:16" ht="15.75" customHeight="1" x14ac:dyDescent="0.25">
      <c r="A295" s="244"/>
      <c r="B295" s="244"/>
      <c r="C295" s="244"/>
      <c r="D295" s="244"/>
      <c r="E295" s="244"/>
      <c r="F295" s="303"/>
      <c r="G295" s="244"/>
      <c r="H295" s="244"/>
      <c r="I295" s="244"/>
      <c r="J295" s="244"/>
      <c r="K295" s="244"/>
      <c r="L295" s="303"/>
      <c r="M295" s="244"/>
      <c r="N295" s="244"/>
      <c r="O295" s="244"/>
      <c r="P295" s="244"/>
    </row>
    <row r="296" spans="1:16" ht="15.75" customHeight="1" x14ac:dyDescent="0.25">
      <c r="A296" s="244"/>
      <c r="B296" s="244"/>
      <c r="C296" s="244"/>
      <c r="D296" s="244"/>
      <c r="E296" s="244"/>
      <c r="F296" s="303"/>
      <c r="G296" s="244"/>
      <c r="H296" s="244"/>
      <c r="I296" s="244"/>
      <c r="J296" s="244"/>
      <c r="K296" s="244"/>
      <c r="L296" s="303"/>
      <c r="M296" s="244"/>
      <c r="N296" s="244"/>
      <c r="O296" s="244"/>
      <c r="P296" s="244"/>
    </row>
    <row r="297" spans="1:16" ht="15.75" customHeight="1" x14ac:dyDescent="0.25">
      <c r="A297" s="244"/>
      <c r="B297" s="244"/>
      <c r="C297" s="244"/>
      <c r="D297" s="244"/>
      <c r="E297" s="244"/>
      <c r="F297" s="303"/>
      <c r="G297" s="244"/>
      <c r="H297" s="244"/>
      <c r="I297" s="244"/>
      <c r="J297" s="244"/>
      <c r="K297" s="244"/>
      <c r="L297" s="303"/>
      <c r="M297" s="244"/>
      <c r="N297" s="244"/>
      <c r="O297" s="244"/>
      <c r="P297" s="244"/>
    </row>
    <row r="298" spans="1:16" ht="15.75" customHeight="1" x14ac:dyDescent="0.25">
      <c r="A298" s="244"/>
      <c r="B298" s="244"/>
      <c r="C298" s="244"/>
      <c r="D298" s="244"/>
      <c r="E298" s="244"/>
      <c r="F298" s="303"/>
      <c r="G298" s="244"/>
      <c r="H298" s="244"/>
      <c r="I298" s="244"/>
      <c r="J298" s="244"/>
      <c r="K298" s="244"/>
      <c r="L298" s="303"/>
      <c r="M298" s="244"/>
      <c r="N298" s="244"/>
      <c r="O298" s="244"/>
      <c r="P298" s="244"/>
    </row>
    <row r="299" spans="1:16" ht="15.75" customHeight="1" x14ac:dyDescent="0.25">
      <c r="A299" s="244"/>
      <c r="B299" s="244"/>
      <c r="C299" s="244"/>
      <c r="D299" s="244"/>
      <c r="E299" s="244"/>
      <c r="F299" s="303"/>
      <c r="G299" s="244"/>
      <c r="H299" s="244"/>
      <c r="I299" s="244"/>
      <c r="J299" s="244"/>
      <c r="K299" s="244"/>
      <c r="L299" s="303"/>
      <c r="M299" s="244"/>
      <c r="N299" s="244"/>
      <c r="O299" s="244"/>
      <c r="P299" s="244"/>
    </row>
    <row r="300" spans="1:16" ht="15.75" customHeight="1" x14ac:dyDescent="0.25">
      <c r="A300" s="244"/>
      <c r="B300" s="244"/>
      <c r="C300" s="244"/>
      <c r="D300" s="244"/>
      <c r="E300" s="244"/>
      <c r="F300" s="303"/>
      <c r="G300" s="244"/>
      <c r="H300" s="244"/>
      <c r="I300" s="244"/>
      <c r="J300" s="244"/>
      <c r="K300" s="244"/>
      <c r="L300" s="303"/>
      <c r="M300" s="244"/>
      <c r="N300" s="244"/>
      <c r="O300" s="244"/>
      <c r="P300" s="244"/>
    </row>
    <row r="301" spans="1:16" ht="15.75" customHeight="1" x14ac:dyDescent="0.25">
      <c r="A301" s="244"/>
      <c r="B301" s="244"/>
      <c r="C301" s="244"/>
      <c r="D301" s="244"/>
      <c r="E301" s="244"/>
      <c r="F301" s="303"/>
      <c r="G301" s="244"/>
      <c r="H301" s="244"/>
      <c r="I301" s="244"/>
      <c r="J301" s="244"/>
      <c r="K301" s="244"/>
      <c r="L301" s="303"/>
      <c r="M301" s="244"/>
      <c r="N301" s="244"/>
      <c r="O301" s="244"/>
      <c r="P301" s="244"/>
    </row>
    <row r="302" spans="1:16" ht="15.75" customHeight="1" x14ac:dyDescent="0.25">
      <c r="A302" s="244"/>
      <c r="B302" s="244"/>
      <c r="C302" s="244"/>
      <c r="D302" s="244"/>
      <c r="E302" s="244"/>
      <c r="F302" s="303"/>
      <c r="G302" s="244"/>
      <c r="H302" s="244"/>
      <c r="I302" s="244"/>
      <c r="J302" s="244"/>
      <c r="K302" s="244"/>
      <c r="L302" s="303"/>
      <c r="M302" s="244"/>
      <c r="N302" s="244"/>
      <c r="O302" s="244"/>
      <c r="P302" s="244"/>
    </row>
    <row r="303" spans="1:16" ht="15.75" customHeight="1" x14ac:dyDescent="0.25">
      <c r="A303" s="244"/>
      <c r="B303" s="244"/>
      <c r="C303" s="244"/>
      <c r="D303" s="244"/>
      <c r="E303" s="244"/>
      <c r="F303" s="303"/>
      <c r="G303" s="244"/>
      <c r="H303" s="244"/>
      <c r="I303" s="244"/>
      <c r="J303" s="244"/>
      <c r="K303" s="244"/>
      <c r="L303" s="303"/>
      <c r="M303" s="244"/>
      <c r="N303" s="244"/>
      <c r="O303" s="244"/>
      <c r="P303" s="244"/>
    </row>
    <row r="304" spans="1:16" ht="15.75" customHeight="1" x14ac:dyDescent="0.25">
      <c r="A304" s="244"/>
      <c r="B304" s="244"/>
      <c r="C304" s="244"/>
      <c r="D304" s="244"/>
      <c r="E304" s="244"/>
      <c r="F304" s="303"/>
      <c r="G304" s="244"/>
      <c r="H304" s="244"/>
      <c r="I304" s="244"/>
      <c r="J304" s="244"/>
      <c r="K304" s="244"/>
      <c r="L304" s="303"/>
      <c r="M304" s="244"/>
      <c r="N304" s="244"/>
      <c r="O304" s="244"/>
      <c r="P304" s="244"/>
    </row>
    <row r="305" spans="1:16" ht="15.75" customHeight="1" x14ac:dyDescent="0.25">
      <c r="A305" s="244"/>
      <c r="B305" s="244"/>
      <c r="C305" s="244"/>
      <c r="D305" s="244"/>
      <c r="E305" s="244"/>
      <c r="F305" s="303"/>
      <c r="G305" s="244"/>
      <c r="H305" s="244"/>
      <c r="I305" s="244"/>
      <c r="J305" s="244"/>
      <c r="K305" s="244"/>
      <c r="L305" s="303"/>
      <c r="M305" s="244"/>
      <c r="N305" s="244"/>
      <c r="O305" s="244"/>
      <c r="P305" s="244"/>
    </row>
    <row r="306" spans="1:16" ht="15.75" customHeight="1" x14ac:dyDescent="0.25">
      <c r="A306" s="244"/>
      <c r="B306" s="244"/>
      <c r="C306" s="244"/>
      <c r="D306" s="244"/>
      <c r="E306" s="244"/>
      <c r="F306" s="303"/>
      <c r="G306" s="244"/>
      <c r="H306" s="244"/>
      <c r="I306" s="244"/>
      <c r="J306" s="244"/>
      <c r="K306" s="244"/>
      <c r="L306" s="303"/>
      <c r="M306" s="244"/>
      <c r="N306" s="244"/>
      <c r="O306" s="244"/>
      <c r="P306" s="244"/>
    </row>
    <row r="307" spans="1:16" ht="15.75" customHeight="1" x14ac:dyDescent="0.25">
      <c r="A307" s="244"/>
      <c r="B307" s="244"/>
      <c r="C307" s="244"/>
      <c r="D307" s="244"/>
      <c r="E307" s="244"/>
      <c r="F307" s="303"/>
      <c r="G307" s="244"/>
      <c r="H307" s="244"/>
      <c r="I307" s="244"/>
      <c r="J307" s="244"/>
      <c r="K307" s="244"/>
      <c r="L307" s="303"/>
      <c r="M307" s="244"/>
      <c r="N307" s="244"/>
      <c r="O307" s="244"/>
      <c r="P307" s="244"/>
    </row>
    <row r="308" spans="1:16" ht="15.75" customHeight="1" x14ac:dyDescent="0.25">
      <c r="A308" s="244"/>
      <c r="B308" s="244"/>
      <c r="C308" s="244"/>
      <c r="D308" s="244"/>
      <c r="E308" s="244"/>
      <c r="F308" s="303"/>
      <c r="G308" s="244"/>
      <c r="H308" s="244"/>
      <c r="I308" s="244"/>
      <c r="J308" s="244"/>
      <c r="K308" s="244"/>
      <c r="L308" s="303"/>
      <c r="M308" s="244"/>
      <c r="N308" s="244"/>
      <c r="O308" s="244"/>
      <c r="P308" s="244"/>
    </row>
    <row r="309" spans="1:16" ht="15.75" customHeight="1" x14ac:dyDescent="0.25">
      <c r="A309" s="244"/>
      <c r="B309" s="244"/>
      <c r="C309" s="244"/>
      <c r="D309" s="244"/>
      <c r="E309" s="244"/>
      <c r="F309" s="303"/>
      <c r="G309" s="244"/>
      <c r="H309" s="244"/>
      <c r="I309" s="244"/>
      <c r="J309" s="244"/>
      <c r="K309" s="244"/>
      <c r="L309" s="303"/>
      <c r="M309" s="244"/>
      <c r="N309" s="244"/>
      <c r="O309" s="244"/>
      <c r="P309" s="244"/>
    </row>
    <row r="310" spans="1:16" ht="15.75" customHeight="1" x14ac:dyDescent="0.25">
      <c r="A310" s="244"/>
      <c r="B310" s="244"/>
      <c r="C310" s="244"/>
      <c r="D310" s="244"/>
      <c r="E310" s="244"/>
      <c r="F310" s="303"/>
      <c r="G310" s="244"/>
      <c r="H310" s="244"/>
      <c r="I310" s="244"/>
      <c r="J310" s="244"/>
      <c r="K310" s="244"/>
      <c r="L310" s="303"/>
      <c r="M310" s="244"/>
      <c r="N310" s="244"/>
      <c r="O310" s="244"/>
      <c r="P310" s="244"/>
    </row>
    <row r="311" spans="1:16" ht="15.75" customHeight="1" x14ac:dyDescent="0.25">
      <c r="A311" s="244"/>
      <c r="B311" s="244"/>
      <c r="C311" s="244"/>
      <c r="D311" s="244"/>
      <c r="E311" s="244"/>
      <c r="F311" s="303"/>
      <c r="G311" s="244"/>
      <c r="H311" s="244"/>
      <c r="I311" s="244"/>
      <c r="J311" s="244"/>
      <c r="K311" s="244"/>
      <c r="L311" s="303"/>
      <c r="M311" s="244"/>
      <c r="N311" s="244"/>
      <c r="O311" s="244"/>
      <c r="P311" s="244"/>
    </row>
    <row r="312" spans="1:16" ht="15.75" customHeight="1" x14ac:dyDescent="0.25">
      <c r="A312" s="244"/>
      <c r="B312" s="244"/>
      <c r="C312" s="244"/>
      <c r="D312" s="244"/>
      <c r="E312" s="244"/>
      <c r="F312" s="303"/>
      <c r="G312" s="244"/>
      <c r="H312" s="244"/>
      <c r="I312" s="244"/>
      <c r="J312" s="244"/>
      <c r="K312" s="244"/>
      <c r="L312" s="303"/>
      <c r="M312" s="244"/>
      <c r="N312" s="244"/>
      <c r="O312" s="244"/>
      <c r="P312" s="244"/>
    </row>
    <row r="313" spans="1:16" ht="15.75" customHeight="1" x14ac:dyDescent="0.25">
      <c r="A313" s="244"/>
      <c r="B313" s="244"/>
      <c r="C313" s="244"/>
      <c r="D313" s="244"/>
      <c r="E313" s="244"/>
      <c r="F313" s="303"/>
      <c r="G313" s="244"/>
      <c r="H313" s="244"/>
      <c r="I313" s="244"/>
      <c r="J313" s="244"/>
      <c r="K313" s="244"/>
      <c r="L313" s="303"/>
      <c r="M313" s="244"/>
      <c r="N313" s="244"/>
      <c r="O313" s="244"/>
      <c r="P313" s="244"/>
    </row>
    <row r="314" spans="1:16" ht="15.75" customHeight="1" x14ac:dyDescent="0.25">
      <c r="A314" s="244"/>
      <c r="B314" s="244"/>
      <c r="C314" s="244"/>
      <c r="D314" s="244"/>
      <c r="E314" s="244"/>
      <c r="F314" s="303"/>
      <c r="G314" s="244"/>
      <c r="H314" s="244"/>
      <c r="I314" s="244"/>
      <c r="J314" s="244"/>
      <c r="K314" s="244"/>
      <c r="L314" s="303"/>
      <c r="M314" s="244"/>
      <c r="N314" s="244"/>
      <c r="O314" s="244"/>
      <c r="P314" s="244"/>
    </row>
    <row r="315" spans="1:16" ht="15.75" customHeight="1" x14ac:dyDescent="0.25">
      <c r="A315" s="244"/>
      <c r="B315" s="244"/>
      <c r="C315" s="244"/>
      <c r="D315" s="244"/>
      <c r="E315" s="244"/>
      <c r="F315" s="303"/>
      <c r="G315" s="244"/>
      <c r="H315" s="244"/>
      <c r="I315" s="244"/>
      <c r="J315" s="244"/>
      <c r="K315" s="244"/>
      <c r="L315" s="303"/>
      <c r="M315" s="244"/>
      <c r="N315" s="244"/>
      <c r="O315" s="244"/>
      <c r="P315" s="244"/>
    </row>
    <row r="316" spans="1:16" ht="15.75" customHeight="1" x14ac:dyDescent="0.25">
      <c r="A316" s="244"/>
      <c r="B316" s="244"/>
      <c r="C316" s="244"/>
      <c r="D316" s="244"/>
      <c r="E316" s="244"/>
      <c r="F316" s="303"/>
      <c r="G316" s="244"/>
      <c r="H316" s="244"/>
      <c r="I316" s="244"/>
      <c r="J316" s="244"/>
      <c r="K316" s="244"/>
      <c r="L316" s="303"/>
      <c r="M316" s="244"/>
      <c r="N316" s="244"/>
      <c r="O316" s="244"/>
      <c r="P316" s="244"/>
    </row>
    <row r="317" spans="1:16" ht="15.75" customHeight="1" x14ac:dyDescent="0.25">
      <c r="A317" s="244"/>
      <c r="B317" s="244"/>
      <c r="C317" s="244"/>
      <c r="D317" s="244"/>
      <c r="E317" s="244"/>
      <c r="F317" s="303"/>
      <c r="G317" s="244"/>
      <c r="H317" s="244"/>
      <c r="I317" s="244"/>
      <c r="J317" s="244"/>
      <c r="K317" s="244"/>
      <c r="L317" s="303"/>
      <c r="M317" s="244"/>
      <c r="N317" s="244"/>
      <c r="O317" s="244"/>
      <c r="P317" s="244"/>
    </row>
    <row r="318" spans="1:16" ht="15.75" customHeight="1" x14ac:dyDescent="0.25">
      <c r="A318" s="244"/>
      <c r="B318" s="244"/>
      <c r="C318" s="244"/>
      <c r="D318" s="244"/>
      <c r="E318" s="244"/>
      <c r="F318" s="303"/>
      <c r="G318" s="244"/>
      <c r="H318" s="244"/>
      <c r="I318" s="244"/>
      <c r="J318" s="244"/>
      <c r="K318" s="244"/>
      <c r="L318" s="303"/>
      <c r="M318" s="244"/>
      <c r="N318" s="244"/>
      <c r="O318" s="244"/>
      <c r="P318" s="244"/>
    </row>
    <row r="319" spans="1:16" ht="15.75" customHeight="1" x14ac:dyDescent="0.25">
      <c r="A319" s="244"/>
      <c r="B319" s="244"/>
      <c r="C319" s="244"/>
      <c r="D319" s="244"/>
      <c r="E319" s="244"/>
      <c r="F319" s="303"/>
      <c r="G319" s="244"/>
      <c r="H319" s="244"/>
      <c r="I319" s="244"/>
      <c r="J319" s="244"/>
      <c r="K319" s="244"/>
      <c r="L319" s="303"/>
      <c r="M319" s="244"/>
      <c r="N319" s="244"/>
      <c r="O319" s="244"/>
      <c r="P319" s="244"/>
    </row>
    <row r="320" spans="1:16" ht="15.75" customHeight="1" x14ac:dyDescent="0.25">
      <c r="A320" s="244"/>
      <c r="B320" s="244"/>
      <c r="C320" s="244"/>
      <c r="D320" s="244"/>
      <c r="E320" s="244"/>
      <c r="F320" s="303"/>
      <c r="G320" s="244"/>
      <c r="H320" s="244"/>
      <c r="I320" s="244"/>
      <c r="J320" s="244"/>
      <c r="K320" s="244"/>
      <c r="L320" s="303"/>
      <c r="M320" s="244"/>
      <c r="N320" s="244"/>
      <c r="O320" s="244"/>
      <c r="P320" s="244"/>
    </row>
    <row r="321" spans="1:16" ht="15.75" customHeight="1" x14ac:dyDescent="0.25">
      <c r="A321" s="244"/>
      <c r="B321" s="244"/>
      <c r="C321" s="244"/>
      <c r="D321" s="244"/>
      <c r="E321" s="244"/>
      <c r="F321" s="303"/>
      <c r="G321" s="244"/>
      <c r="H321" s="244"/>
      <c r="I321" s="244"/>
      <c r="J321" s="244"/>
      <c r="K321" s="244"/>
      <c r="L321" s="303"/>
      <c r="M321" s="244"/>
      <c r="N321" s="244"/>
      <c r="O321" s="244"/>
      <c r="P321" s="244"/>
    </row>
    <row r="322" spans="1:16" ht="15.75" customHeight="1" x14ac:dyDescent="0.25">
      <c r="A322" s="244"/>
      <c r="B322" s="244"/>
      <c r="C322" s="244"/>
      <c r="D322" s="244"/>
      <c r="E322" s="244"/>
      <c r="F322" s="303"/>
      <c r="G322" s="244"/>
      <c r="H322" s="244"/>
      <c r="I322" s="244"/>
      <c r="J322" s="244"/>
      <c r="K322" s="244"/>
      <c r="L322" s="303"/>
      <c r="M322" s="244"/>
      <c r="N322" s="244"/>
      <c r="O322" s="244"/>
      <c r="P322" s="244"/>
    </row>
    <row r="323" spans="1:16" ht="15.75" customHeight="1" x14ac:dyDescent="0.25">
      <c r="A323" s="244"/>
      <c r="B323" s="244"/>
      <c r="C323" s="244"/>
      <c r="D323" s="244"/>
      <c r="E323" s="244"/>
      <c r="F323" s="303"/>
      <c r="G323" s="244"/>
      <c r="H323" s="244"/>
      <c r="I323" s="244"/>
      <c r="J323" s="244"/>
      <c r="K323" s="244"/>
      <c r="L323" s="303"/>
      <c r="M323" s="244"/>
      <c r="N323" s="244"/>
      <c r="O323" s="244"/>
      <c r="P323" s="244"/>
    </row>
    <row r="324" spans="1:16" ht="15.75" customHeight="1" x14ac:dyDescent="0.25">
      <c r="A324" s="244"/>
      <c r="B324" s="244"/>
      <c r="C324" s="244"/>
      <c r="D324" s="244"/>
      <c r="E324" s="244"/>
      <c r="F324" s="303"/>
      <c r="G324" s="244"/>
      <c r="H324" s="244"/>
      <c r="I324" s="244"/>
      <c r="J324" s="244"/>
      <c r="K324" s="244"/>
      <c r="L324" s="303"/>
      <c r="M324" s="244"/>
      <c r="N324" s="244"/>
      <c r="O324" s="244"/>
      <c r="P324" s="244"/>
    </row>
    <row r="325" spans="1:16" ht="15.75" customHeight="1" x14ac:dyDescent="0.25">
      <c r="A325" s="244"/>
      <c r="B325" s="244"/>
      <c r="C325" s="244"/>
      <c r="D325" s="244"/>
      <c r="E325" s="244"/>
      <c r="F325" s="303"/>
      <c r="G325" s="244"/>
      <c r="H325" s="244"/>
      <c r="I325" s="244"/>
      <c r="J325" s="244"/>
      <c r="K325" s="244"/>
      <c r="L325" s="303"/>
      <c r="M325" s="244"/>
      <c r="N325" s="244"/>
      <c r="O325" s="244"/>
      <c r="P325" s="244"/>
    </row>
    <row r="326" spans="1:16" ht="15.75" customHeight="1" x14ac:dyDescent="0.25">
      <c r="A326" s="244"/>
      <c r="B326" s="244"/>
      <c r="C326" s="244"/>
      <c r="D326" s="244"/>
      <c r="E326" s="244"/>
      <c r="F326" s="303"/>
      <c r="G326" s="244"/>
      <c r="H326" s="244"/>
      <c r="I326" s="244"/>
      <c r="J326" s="244"/>
      <c r="K326" s="244"/>
      <c r="L326" s="303"/>
      <c r="M326" s="244"/>
      <c r="N326" s="244"/>
      <c r="O326" s="244"/>
      <c r="P326" s="244"/>
    </row>
    <row r="327" spans="1:16" ht="15.75" customHeight="1" x14ac:dyDescent="0.25">
      <c r="A327" s="244"/>
      <c r="B327" s="244"/>
      <c r="C327" s="244"/>
      <c r="D327" s="244"/>
      <c r="E327" s="244"/>
      <c r="F327" s="303"/>
      <c r="G327" s="244"/>
      <c r="H327" s="244"/>
      <c r="I327" s="244"/>
      <c r="J327" s="244"/>
      <c r="K327" s="244"/>
      <c r="L327" s="303"/>
      <c r="M327" s="244"/>
      <c r="N327" s="244"/>
      <c r="O327" s="244"/>
      <c r="P327" s="244"/>
    </row>
    <row r="328" spans="1:16" ht="15.75" customHeight="1" x14ac:dyDescent="0.25">
      <c r="A328" s="244"/>
      <c r="B328" s="244"/>
      <c r="C328" s="244"/>
      <c r="D328" s="244"/>
      <c r="E328" s="244"/>
      <c r="F328" s="303"/>
      <c r="G328" s="244"/>
      <c r="H328" s="244"/>
      <c r="I328" s="244"/>
      <c r="J328" s="244"/>
      <c r="K328" s="244"/>
      <c r="L328" s="303"/>
      <c r="M328" s="244"/>
      <c r="N328" s="244"/>
      <c r="O328" s="244"/>
      <c r="P328" s="244"/>
    </row>
    <row r="329" spans="1:16" ht="15.75" customHeight="1" x14ac:dyDescent="0.25">
      <c r="A329" s="244"/>
      <c r="B329" s="244"/>
      <c r="C329" s="244"/>
      <c r="D329" s="244"/>
      <c r="E329" s="244"/>
      <c r="F329" s="303"/>
      <c r="G329" s="244"/>
      <c r="H329" s="244"/>
      <c r="I329" s="244"/>
      <c r="J329" s="244"/>
      <c r="K329" s="244"/>
      <c r="L329" s="303"/>
      <c r="M329" s="244"/>
      <c r="N329" s="244"/>
      <c r="O329" s="244"/>
      <c r="P329" s="244"/>
    </row>
    <row r="330" spans="1:16" ht="15.75" customHeight="1" x14ac:dyDescent="0.25">
      <c r="A330" s="244"/>
      <c r="B330" s="244"/>
      <c r="C330" s="244"/>
      <c r="D330" s="244"/>
      <c r="E330" s="244"/>
      <c r="F330" s="303"/>
      <c r="G330" s="244"/>
      <c r="H330" s="244"/>
      <c r="I330" s="244"/>
      <c r="J330" s="244"/>
      <c r="K330" s="244"/>
      <c r="L330" s="303"/>
      <c r="M330" s="244"/>
      <c r="N330" s="244"/>
      <c r="O330" s="244"/>
      <c r="P330" s="244"/>
    </row>
    <row r="331" spans="1:16" ht="15.75" customHeight="1" x14ac:dyDescent="0.25">
      <c r="A331" s="244"/>
      <c r="B331" s="244"/>
      <c r="C331" s="244"/>
      <c r="D331" s="244"/>
      <c r="E331" s="244"/>
      <c r="F331" s="303"/>
      <c r="G331" s="244"/>
      <c r="H331" s="244"/>
      <c r="I331" s="244"/>
      <c r="J331" s="244"/>
      <c r="K331" s="244"/>
      <c r="L331" s="303"/>
      <c r="M331" s="244"/>
      <c r="N331" s="244"/>
      <c r="O331" s="244"/>
      <c r="P331" s="244"/>
    </row>
    <row r="332" spans="1:16" ht="15.75" customHeight="1" x14ac:dyDescent="0.25">
      <c r="A332" s="244"/>
      <c r="B332" s="244"/>
      <c r="C332" s="244"/>
      <c r="D332" s="244"/>
      <c r="E332" s="244"/>
      <c r="F332" s="303"/>
      <c r="G332" s="244"/>
      <c r="H332" s="244"/>
      <c r="I332" s="244"/>
      <c r="J332" s="244"/>
      <c r="K332" s="244"/>
      <c r="L332" s="303"/>
      <c r="M332" s="244"/>
      <c r="N332" s="244"/>
      <c r="O332" s="244"/>
      <c r="P332" s="244"/>
    </row>
    <row r="333" spans="1:16" ht="15.75" customHeight="1" x14ac:dyDescent="0.25">
      <c r="A333" s="244"/>
      <c r="B333" s="244"/>
      <c r="C333" s="244"/>
      <c r="D333" s="244"/>
      <c r="E333" s="244"/>
      <c r="F333" s="303"/>
      <c r="G333" s="244"/>
      <c r="H333" s="244"/>
      <c r="I333" s="244"/>
      <c r="J333" s="244"/>
      <c r="K333" s="244"/>
      <c r="L333" s="303"/>
      <c r="M333" s="244"/>
      <c r="N333" s="244"/>
      <c r="O333" s="244"/>
      <c r="P333" s="244"/>
    </row>
    <row r="334" spans="1:16" ht="15.75" customHeight="1" x14ac:dyDescent="0.25">
      <c r="A334" s="244"/>
      <c r="B334" s="244"/>
      <c r="C334" s="244"/>
      <c r="D334" s="244"/>
      <c r="E334" s="244"/>
      <c r="F334" s="303"/>
      <c r="G334" s="244"/>
      <c r="H334" s="244"/>
      <c r="I334" s="244"/>
      <c r="J334" s="244"/>
      <c r="K334" s="244"/>
      <c r="L334" s="303"/>
      <c r="M334" s="244"/>
      <c r="N334" s="244"/>
      <c r="O334" s="244"/>
      <c r="P334" s="244"/>
    </row>
    <row r="335" spans="1:16" ht="15.75" customHeight="1" x14ac:dyDescent="0.25">
      <c r="A335" s="244"/>
      <c r="B335" s="244"/>
      <c r="C335" s="244"/>
      <c r="D335" s="244"/>
      <c r="E335" s="244"/>
      <c r="F335" s="303"/>
      <c r="G335" s="244"/>
      <c r="H335" s="244"/>
      <c r="I335" s="244"/>
      <c r="J335" s="244"/>
      <c r="K335" s="244"/>
      <c r="L335" s="303"/>
      <c r="M335" s="244"/>
      <c r="N335" s="244"/>
      <c r="O335" s="244"/>
      <c r="P335" s="244"/>
    </row>
    <row r="336" spans="1:16" ht="15.75" customHeight="1" x14ac:dyDescent="0.25">
      <c r="A336" s="244"/>
      <c r="B336" s="244"/>
      <c r="C336" s="244"/>
      <c r="D336" s="244"/>
      <c r="E336" s="244"/>
      <c r="F336" s="303"/>
      <c r="G336" s="244"/>
      <c r="H336" s="244"/>
      <c r="I336" s="244"/>
      <c r="J336" s="244"/>
      <c r="K336" s="244"/>
      <c r="L336" s="303"/>
      <c r="M336" s="244"/>
      <c r="N336" s="244"/>
      <c r="O336" s="244"/>
      <c r="P336" s="244"/>
    </row>
    <row r="337" spans="1:16" ht="15.75" customHeight="1" x14ac:dyDescent="0.25">
      <c r="A337" s="244"/>
      <c r="B337" s="244"/>
      <c r="C337" s="244"/>
      <c r="D337" s="244"/>
      <c r="E337" s="244"/>
      <c r="F337" s="303"/>
      <c r="G337" s="244"/>
      <c r="H337" s="244"/>
      <c r="I337" s="244"/>
      <c r="J337" s="244"/>
      <c r="K337" s="244"/>
      <c r="L337" s="303"/>
      <c r="M337" s="244"/>
      <c r="N337" s="244"/>
      <c r="O337" s="244"/>
      <c r="P337" s="244"/>
    </row>
    <row r="338" spans="1:16" ht="15.75" customHeight="1" x14ac:dyDescent="0.25">
      <c r="A338" s="244"/>
      <c r="B338" s="244"/>
      <c r="C338" s="244"/>
      <c r="D338" s="244"/>
      <c r="E338" s="244"/>
      <c r="F338" s="303"/>
      <c r="G338" s="244"/>
      <c r="H338" s="244"/>
      <c r="I338" s="244"/>
      <c r="J338" s="244"/>
      <c r="K338" s="244"/>
      <c r="L338" s="303"/>
      <c r="M338" s="244"/>
      <c r="N338" s="244"/>
      <c r="O338" s="244"/>
      <c r="P338" s="244"/>
    </row>
    <row r="339" spans="1:16" ht="15.75" customHeight="1" x14ac:dyDescent="0.25">
      <c r="A339" s="244"/>
      <c r="B339" s="244"/>
      <c r="C339" s="244"/>
      <c r="D339" s="244"/>
      <c r="E339" s="244"/>
      <c r="F339" s="303"/>
      <c r="G339" s="244"/>
      <c r="H339" s="244"/>
      <c r="I339" s="244"/>
      <c r="J339" s="244"/>
      <c r="K339" s="244"/>
      <c r="L339" s="303"/>
      <c r="M339" s="244"/>
      <c r="N339" s="244"/>
      <c r="O339" s="244"/>
      <c r="P339" s="244"/>
    </row>
    <row r="340" spans="1:16" ht="15.75" customHeight="1" x14ac:dyDescent="0.25">
      <c r="A340" s="244"/>
      <c r="B340" s="244"/>
      <c r="C340" s="244"/>
      <c r="D340" s="244"/>
      <c r="E340" s="244"/>
      <c r="F340" s="303"/>
      <c r="G340" s="244"/>
      <c r="H340" s="244"/>
      <c r="I340" s="244"/>
      <c r="J340" s="244"/>
      <c r="K340" s="244"/>
      <c r="L340" s="303"/>
      <c r="M340" s="244"/>
      <c r="N340" s="244"/>
      <c r="O340" s="244"/>
      <c r="P340" s="244"/>
    </row>
    <row r="341" spans="1:16" ht="15.75" customHeight="1" x14ac:dyDescent="0.25">
      <c r="A341" s="244"/>
      <c r="B341" s="244"/>
      <c r="C341" s="244"/>
      <c r="D341" s="244"/>
      <c r="E341" s="244"/>
      <c r="F341" s="303"/>
      <c r="G341" s="244"/>
      <c r="H341" s="244"/>
      <c r="I341" s="244"/>
      <c r="J341" s="244"/>
      <c r="K341" s="244"/>
      <c r="L341" s="303"/>
      <c r="M341" s="244"/>
      <c r="N341" s="244"/>
      <c r="O341" s="244"/>
      <c r="P341" s="244"/>
    </row>
    <row r="342" spans="1:16" ht="15.75" customHeight="1" x14ac:dyDescent="0.25">
      <c r="A342" s="244"/>
      <c r="B342" s="244"/>
      <c r="C342" s="244"/>
      <c r="D342" s="244"/>
      <c r="E342" s="244"/>
      <c r="F342" s="303"/>
      <c r="G342" s="244"/>
      <c r="H342" s="244"/>
      <c r="I342" s="244"/>
      <c r="J342" s="244"/>
      <c r="K342" s="244"/>
      <c r="L342" s="303"/>
      <c r="M342" s="244"/>
      <c r="N342" s="244"/>
      <c r="O342" s="244"/>
      <c r="P342" s="244"/>
    </row>
    <row r="343" spans="1:16" ht="15.75" customHeight="1" x14ac:dyDescent="0.25">
      <c r="A343" s="244"/>
      <c r="B343" s="244"/>
      <c r="C343" s="244"/>
      <c r="D343" s="244"/>
      <c r="E343" s="244"/>
      <c r="F343" s="303"/>
      <c r="G343" s="244"/>
      <c r="H343" s="244"/>
      <c r="I343" s="244"/>
      <c r="J343" s="244"/>
      <c r="K343" s="244"/>
      <c r="L343" s="303"/>
      <c r="M343" s="244"/>
      <c r="N343" s="244"/>
      <c r="O343" s="244"/>
      <c r="P343" s="244"/>
    </row>
    <row r="344" spans="1:16" ht="15.75" customHeight="1" x14ac:dyDescent="0.2">
      <c r="F344" s="114"/>
      <c r="L344" s="114"/>
    </row>
    <row r="345" spans="1:16" ht="15.75" customHeight="1" x14ac:dyDescent="0.2">
      <c r="F345" s="114"/>
      <c r="L345" s="114"/>
    </row>
    <row r="346" spans="1:16" ht="15.75" customHeight="1" x14ac:dyDescent="0.2">
      <c r="F346" s="114"/>
      <c r="L346" s="114"/>
    </row>
    <row r="347" spans="1:16" ht="15.75" customHeight="1" x14ac:dyDescent="0.2">
      <c r="F347" s="114"/>
      <c r="L347" s="114"/>
    </row>
    <row r="348" spans="1:16" ht="15.75" customHeight="1" x14ac:dyDescent="0.2">
      <c r="F348" s="114"/>
      <c r="L348" s="114"/>
    </row>
    <row r="349" spans="1:16" ht="15.75" customHeight="1" x14ac:dyDescent="0.2">
      <c r="F349" s="114"/>
      <c r="L349" s="114"/>
    </row>
    <row r="350" spans="1:16" ht="15.75" customHeight="1" x14ac:dyDescent="0.2">
      <c r="F350" s="114"/>
      <c r="L350" s="114"/>
    </row>
    <row r="351" spans="1:16" ht="15.75" customHeight="1" x14ac:dyDescent="0.2">
      <c r="F351" s="114"/>
      <c r="L351" s="114"/>
    </row>
    <row r="352" spans="1:16" ht="15.75" customHeight="1" x14ac:dyDescent="0.2">
      <c r="F352" s="114"/>
      <c r="L352" s="114"/>
    </row>
    <row r="353" spans="6:12" ht="15.75" customHeight="1" x14ac:dyDescent="0.2">
      <c r="F353" s="114"/>
      <c r="L353" s="114"/>
    </row>
    <row r="354" spans="6:12" ht="15.75" customHeight="1" x14ac:dyDescent="0.2">
      <c r="F354" s="114"/>
      <c r="L354" s="114"/>
    </row>
    <row r="355" spans="6:12" ht="15.75" customHeight="1" x14ac:dyDescent="0.2">
      <c r="F355" s="114"/>
      <c r="L355" s="114"/>
    </row>
    <row r="356" spans="6:12" ht="15.75" customHeight="1" x14ac:dyDescent="0.2">
      <c r="F356" s="114"/>
      <c r="L356" s="114"/>
    </row>
    <row r="357" spans="6:12" ht="15.75" customHeight="1" x14ac:dyDescent="0.2">
      <c r="F357" s="114"/>
      <c r="L357" s="114"/>
    </row>
    <row r="358" spans="6:12" ht="15.75" customHeight="1" x14ac:dyDescent="0.2">
      <c r="F358" s="114"/>
      <c r="L358" s="114"/>
    </row>
    <row r="359" spans="6:12" ht="15.75" customHeight="1" x14ac:dyDescent="0.2">
      <c r="F359" s="114"/>
      <c r="L359" s="114"/>
    </row>
    <row r="360" spans="6:12" ht="15.75" customHeight="1" x14ac:dyDescent="0.2">
      <c r="F360" s="114"/>
      <c r="L360" s="114"/>
    </row>
    <row r="361" spans="6:12" ht="15.75" customHeight="1" x14ac:dyDescent="0.2">
      <c r="F361" s="114"/>
      <c r="L361" s="114"/>
    </row>
    <row r="362" spans="6:12" ht="15.75" customHeight="1" x14ac:dyDescent="0.2">
      <c r="F362" s="114"/>
      <c r="L362" s="114"/>
    </row>
    <row r="363" spans="6:12" ht="15.75" customHeight="1" x14ac:dyDescent="0.2">
      <c r="F363" s="114"/>
      <c r="L363" s="114"/>
    </row>
    <row r="364" spans="6:12" ht="15.75" customHeight="1" x14ac:dyDescent="0.2">
      <c r="F364" s="114"/>
      <c r="L364" s="114"/>
    </row>
    <row r="365" spans="6:12" ht="15.75" customHeight="1" x14ac:dyDescent="0.2">
      <c r="F365" s="114"/>
      <c r="L365" s="114"/>
    </row>
    <row r="366" spans="6:12" ht="15.75" customHeight="1" x14ac:dyDescent="0.2">
      <c r="F366" s="114"/>
      <c r="L366" s="114"/>
    </row>
    <row r="367" spans="6:12" ht="15.75" customHeight="1" x14ac:dyDescent="0.2">
      <c r="F367" s="114"/>
      <c r="L367" s="114"/>
    </row>
    <row r="368" spans="6:12" ht="15.75" customHeight="1" x14ac:dyDescent="0.2">
      <c r="F368" s="114"/>
      <c r="L368" s="114"/>
    </row>
    <row r="369" spans="6:12" ht="15.75" customHeight="1" x14ac:dyDescent="0.2">
      <c r="F369" s="114"/>
      <c r="L369" s="114"/>
    </row>
    <row r="370" spans="6:12" ht="15.75" customHeight="1" x14ac:dyDescent="0.2">
      <c r="F370" s="114"/>
      <c r="L370" s="114"/>
    </row>
    <row r="371" spans="6:12" ht="15.75" customHeight="1" x14ac:dyDescent="0.2">
      <c r="F371" s="114"/>
      <c r="L371" s="114"/>
    </row>
    <row r="372" spans="6:12" ht="15.75" customHeight="1" x14ac:dyDescent="0.2">
      <c r="F372" s="114"/>
      <c r="L372" s="114"/>
    </row>
    <row r="373" spans="6:12" ht="15.75" customHeight="1" x14ac:dyDescent="0.2">
      <c r="F373" s="114"/>
      <c r="L373" s="114"/>
    </row>
    <row r="374" spans="6:12" ht="15.75" customHeight="1" x14ac:dyDescent="0.2">
      <c r="F374" s="114"/>
      <c r="L374" s="114"/>
    </row>
    <row r="375" spans="6:12" ht="15.75" customHeight="1" x14ac:dyDescent="0.2">
      <c r="F375" s="114"/>
      <c r="L375" s="114"/>
    </row>
    <row r="376" spans="6:12" ht="15.75" customHeight="1" x14ac:dyDescent="0.2">
      <c r="F376" s="114"/>
      <c r="L376" s="114"/>
    </row>
    <row r="377" spans="6:12" ht="15.75" customHeight="1" x14ac:dyDescent="0.2">
      <c r="F377" s="114"/>
      <c r="L377" s="114"/>
    </row>
    <row r="378" spans="6:12" ht="15.75" customHeight="1" x14ac:dyDescent="0.2">
      <c r="F378" s="114"/>
      <c r="L378" s="114"/>
    </row>
    <row r="379" spans="6:12" ht="15.75" customHeight="1" x14ac:dyDescent="0.2">
      <c r="F379" s="114"/>
      <c r="L379" s="114"/>
    </row>
    <row r="380" spans="6:12" ht="15.75" customHeight="1" x14ac:dyDescent="0.2">
      <c r="F380" s="114"/>
      <c r="L380" s="114"/>
    </row>
    <row r="381" spans="6:12" ht="15.75" customHeight="1" x14ac:dyDescent="0.2">
      <c r="F381" s="114"/>
      <c r="L381" s="114"/>
    </row>
    <row r="382" spans="6:12" ht="15.75" customHeight="1" x14ac:dyDescent="0.2">
      <c r="F382" s="114"/>
      <c r="L382" s="114"/>
    </row>
    <row r="383" spans="6:12" ht="15.75" customHeight="1" x14ac:dyDescent="0.2">
      <c r="F383" s="114"/>
      <c r="L383" s="114"/>
    </row>
    <row r="384" spans="6:12" ht="15.75" customHeight="1" x14ac:dyDescent="0.2">
      <c r="F384" s="114"/>
      <c r="L384" s="114"/>
    </row>
    <row r="385" spans="6:12" ht="15.75" customHeight="1" x14ac:dyDescent="0.2">
      <c r="F385" s="114"/>
      <c r="L385" s="114"/>
    </row>
    <row r="386" spans="6:12" ht="15.75" customHeight="1" x14ac:dyDescent="0.2">
      <c r="F386" s="114"/>
      <c r="L386" s="114"/>
    </row>
    <row r="387" spans="6:12" ht="15.75" customHeight="1" x14ac:dyDescent="0.2">
      <c r="F387" s="114"/>
      <c r="L387" s="114"/>
    </row>
    <row r="388" spans="6:12" ht="15.75" customHeight="1" x14ac:dyDescent="0.2">
      <c r="F388" s="114"/>
      <c r="L388" s="114"/>
    </row>
    <row r="389" spans="6:12" ht="15.75" customHeight="1" x14ac:dyDescent="0.2">
      <c r="F389" s="114"/>
      <c r="L389" s="114"/>
    </row>
    <row r="390" spans="6:12" ht="15.75" customHeight="1" x14ac:dyDescent="0.2">
      <c r="F390" s="114"/>
      <c r="L390" s="114"/>
    </row>
    <row r="391" spans="6:12" ht="15.75" customHeight="1" x14ac:dyDescent="0.2">
      <c r="F391" s="114"/>
      <c r="L391" s="114"/>
    </row>
    <row r="392" spans="6:12" ht="15.75" customHeight="1" x14ac:dyDescent="0.2">
      <c r="F392" s="114"/>
      <c r="L392" s="114"/>
    </row>
    <row r="393" spans="6:12" ht="15.75" customHeight="1" x14ac:dyDescent="0.2">
      <c r="F393" s="114"/>
      <c r="L393" s="114"/>
    </row>
    <row r="394" spans="6:12" ht="15.75" customHeight="1" x14ac:dyDescent="0.2">
      <c r="F394" s="114"/>
      <c r="L394" s="114"/>
    </row>
    <row r="395" spans="6:12" ht="15.75" customHeight="1" x14ac:dyDescent="0.2">
      <c r="F395" s="114"/>
      <c r="L395" s="114"/>
    </row>
    <row r="396" spans="6:12" ht="15.75" customHeight="1" x14ac:dyDescent="0.2">
      <c r="F396" s="114"/>
      <c r="L396" s="114"/>
    </row>
    <row r="397" spans="6:12" ht="15.75" customHeight="1" x14ac:dyDescent="0.2">
      <c r="F397" s="114"/>
      <c r="L397" s="114"/>
    </row>
    <row r="398" spans="6:12" ht="15.75" customHeight="1" x14ac:dyDescent="0.2">
      <c r="F398" s="114"/>
      <c r="L398" s="114"/>
    </row>
    <row r="399" spans="6:12" ht="15.75" customHeight="1" x14ac:dyDescent="0.2">
      <c r="F399" s="114"/>
      <c r="L399" s="114"/>
    </row>
    <row r="400" spans="6:12" ht="15.75" customHeight="1" x14ac:dyDescent="0.2">
      <c r="F400" s="114"/>
      <c r="L400" s="114"/>
    </row>
    <row r="401" spans="6:12" ht="15.75" customHeight="1" x14ac:dyDescent="0.2">
      <c r="F401" s="114"/>
      <c r="L401" s="114"/>
    </row>
    <row r="402" spans="6:12" ht="15.75" customHeight="1" x14ac:dyDescent="0.2">
      <c r="F402" s="114"/>
      <c r="L402" s="114"/>
    </row>
    <row r="403" spans="6:12" ht="15.75" customHeight="1" x14ac:dyDescent="0.2">
      <c r="F403" s="114"/>
      <c r="L403" s="114"/>
    </row>
    <row r="404" spans="6:12" ht="15.75" customHeight="1" x14ac:dyDescent="0.2">
      <c r="F404" s="114"/>
      <c r="L404" s="114"/>
    </row>
    <row r="405" spans="6:12" ht="15.75" customHeight="1" x14ac:dyDescent="0.2">
      <c r="F405" s="114"/>
      <c r="L405" s="114"/>
    </row>
    <row r="406" spans="6:12" ht="15.75" customHeight="1" x14ac:dyDescent="0.2">
      <c r="F406" s="114"/>
      <c r="L406" s="114"/>
    </row>
    <row r="407" spans="6:12" ht="15.75" customHeight="1" x14ac:dyDescent="0.2">
      <c r="F407" s="114"/>
      <c r="L407" s="114"/>
    </row>
    <row r="408" spans="6:12" ht="15.75" customHeight="1" x14ac:dyDescent="0.2">
      <c r="F408" s="114"/>
      <c r="L408" s="114"/>
    </row>
    <row r="409" spans="6:12" ht="15.75" customHeight="1" x14ac:dyDescent="0.2">
      <c r="F409" s="114"/>
      <c r="L409" s="114"/>
    </row>
    <row r="410" spans="6:12" ht="15.75" customHeight="1" x14ac:dyDescent="0.2">
      <c r="F410" s="114"/>
      <c r="L410" s="114"/>
    </row>
    <row r="411" spans="6:12" ht="15.75" customHeight="1" x14ac:dyDescent="0.2">
      <c r="F411" s="114"/>
      <c r="L411" s="114"/>
    </row>
    <row r="412" spans="6:12" ht="15.75" customHeight="1" x14ac:dyDescent="0.2">
      <c r="F412" s="114"/>
      <c r="L412" s="114"/>
    </row>
    <row r="413" spans="6:12" ht="15.75" customHeight="1" x14ac:dyDescent="0.2">
      <c r="F413" s="114"/>
      <c r="L413" s="114"/>
    </row>
    <row r="414" spans="6:12" ht="15.75" customHeight="1" x14ac:dyDescent="0.2">
      <c r="F414" s="114"/>
      <c r="L414" s="114"/>
    </row>
    <row r="415" spans="6:12" ht="15.75" customHeight="1" x14ac:dyDescent="0.2">
      <c r="F415" s="114"/>
      <c r="L415" s="114"/>
    </row>
    <row r="416" spans="6:12" ht="15.75" customHeight="1" x14ac:dyDescent="0.2">
      <c r="F416" s="114"/>
      <c r="L416" s="114"/>
    </row>
    <row r="417" spans="6:12" ht="15.75" customHeight="1" x14ac:dyDescent="0.2">
      <c r="F417" s="114"/>
      <c r="L417" s="114"/>
    </row>
    <row r="418" spans="6:12" ht="15.75" customHeight="1" x14ac:dyDescent="0.2">
      <c r="F418" s="114"/>
      <c r="L418" s="114"/>
    </row>
    <row r="419" spans="6:12" ht="15.75" customHeight="1" x14ac:dyDescent="0.2">
      <c r="F419" s="114"/>
      <c r="L419" s="114"/>
    </row>
    <row r="420" spans="6:12" ht="15.75" customHeight="1" x14ac:dyDescent="0.2">
      <c r="F420" s="114"/>
      <c r="L420" s="114"/>
    </row>
    <row r="421" spans="6:12" ht="15.75" customHeight="1" x14ac:dyDescent="0.2">
      <c r="F421" s="114"/>
      <c r="L421" s="114"/>
    </row>
    <row r="422" spans="6:12" ht="15.75" customHeight="1" x14ac:dyDescent="0.2">
      <c r="F422" s="114"/>
      <c r="L422" s="114"/>
    </row>
    <row r="423" spans="6:12" ht="15.75" customHeight="1" x14ac:dyDescent="0.2">
      <c r="F423" s="114"/>
      <c r="L423" s="114"/>
    </row>
    <row r="424" spans="6:12" ht="15.75" customHeight="1" x14ac:dyDescent="0.2">
      <c r="F424" s="114"/>
      <c r="L424" s="114"/>
    </row>
    <row r="425" spans="6:12" ht="15.75" customHeight="1" x14ac:dyDescent="0.2">
      <c r="F425" s="114"/>
      <c r="L425" s="114"/>
    </row>
    <row r="426" spans="6:12" ht="15.75" customHeight="1" x14ac:dyDescent="0.2">
      <c r="F426" s="114"/>
      <c r="L426" s="114"/>
    </row>
    <row r="427" spans="6:12" ht="15.75" customHeight="1" x14ac:dyDescent="0.2">
      <c r="F427" s="114"/>
      <c r="L427" s="114"/>
    </row>
    <row r="428" spans="6:12" ht="15.75" customHeight="1" x14ac:dyDescent="0.2">
      <c r="F428" s="114"/>
      <c r="L428" s="114"/>
    </row>
    <row r="429" spans="6:12" ht="15.75" customHeight="1" x14ac:dyDescent="0.2">
      <c r="F429" s="114"/>
      <c r="L429" s="114"/>
    </row>
    <row r="430" spans="6:12" ht="15.75" customHeight="1" x14ac:dyDescent="0.2">
      <c r="F430" s="114"/>
      <c r="L430" s="114"/>
    </row>
    <row r="431" spans="6:12" ht="15.75" customHeight="1" x14ac:dyDescent="0.2">
      <c r="F431" s="114"/>
      <c r="L431" s="114"/>
    </row>
    <row r="432" spans="6:12" ht="15.75" customHeight="1" x14ac:dyDescent="0.2">
      <c r="F432" s="114"/>
      <c r="L432" s="114"/>
    </row>
    <row r="433" spans="6:12" ht="15.75" customHeight="1" x14ac:dyDescent="0.2">
      <c r="F433" s="114"/>
      <c r="L433" s="114"/>
    </row>
    <row r="434" spans="6:12" ht="15.75" customHeight="1" x14ac:dyDescent="0.2">
      <c r="F434" s="114"/>
      <c r="L434" s="114"/>
    </row>
    <row r="435" spans="6:12" ht="15.75" customHeight="1" x14ac:dyDescent="0.2">
      <c r="F435" s="114"/>
      <c r="L435" s="114"/>
    </row>
    <row r="436" spans="6:12" ht="15.75" customHeight="1" x14ac:dyDescent="0.2">
      <c r="F436" s="114"/>
      <c r="L436" s="114"/>
    </row>
    <row r="437" spans="6:12" ht="15.75" customHeight="1" x14ac:dyDescent="0.2">
      <c r="F437" s="114"/>
      <c r="L437" s="114"/>
    </row>
    <row r="438" spans="6:12" ht="15.75" customHeight="1" x14ac:dyDescent="0.2">
      <c r="F438" s="114"/>
      <c r="L438" s="114"/>
    </row>
    <row r="439" spans="6:12" ht="15.75" customHeight="1" x14ac:dyDescent="0.2">
      <c r="F439" s="114"/>
      <c r="L439" s="114"/>
    </row>
    <row r="440" spans="6:12" ht="15.75" customHeight="1" x14ac:dyDescent="0.2">
      <c r="F440" s="114"/>
      <c r="L440" s="114"/>
    </row>
    <row r="441" spans="6:12" ht="15.75" customHeight="1" x14ac:dyDescent="0.2">
      <c r="F441" s="114"/>
      <c r="L441" s="114"/>
    </row>
    <row r="442" spans="6:12" ht="15.75" customHeight="1" x14ac:dyDescent="0.2">
      <c r="F442" s="114"/>
      <c r="L442" s="114"/>
    </row>
    <row r="443" spans="6:12" ht="15.75" customHeight="1" x14ac:dyDescent="0.2">
      <c r="F443" s="114"/>
      <c r="L443" s="114"/>
    </row>
    <row r="444" spans="6:12" ht="15.75" customHeight="1" x14ac:dyDescent="0.2">
      <c r="F444" s="114"/>
      <c r="L444" s="114"/>
    </row>
    <row r="445" spans="6:12" ht="15.75" customHeight="1" x14ac:dyDescent="0.2">
      <c r="F445" s="114"/>
      <c r="L445" s="114"/>
    </row>
    <row r="446" spans="6:12" ht="15.75" customHeight="1" x14ac:dyDescent="0.2">
      <c r="F446" s="114"/>
      <c r="L446" s="114"/>
    </row>
    <row r="447" spans="6:12" ht="15.75" customHeight="1" x14ac:dyDescent="0.2">
      <c r="F447" s="114"/>
      <c r="L447" s="114"/>
    </row>
    <row r="448" spans="6:12" ht="15.75" customHeight="1" x14ac:dyDescent="0.2">
      <c r="F448" s="114"/>
      <c r="L448" s="114"/>
    </row>
    <row r="449" spans="6:12" ht="15.75" customHeight="1" x14ac:dyDescent="0.2">
      <c r="F449" s="114"/>
      <c r="L449" s="114"/>
    </row>
    <row r="450" spans="6:12" ht="15.75" customHeight="1" x14ac:dyDescent="0.2">
      <c r="F450" s="114"/>
      <c r="L450" s="114"/>
    </row>
    <row r="451" spans="6:12" ht="15.75" customHeight="1" x14ac:dyDescent="0.2">
      <c r="F451" s="114"/>
      <c r="L451" s="114"/>
    </row>
    <row r="452" spans="6:12" ht="15.75" customHeight="1" x14ac:dyDescent="0.2">
      <c r="F452" s="114"/>
      <c r="L452" s="114"/>
    </row>
    <row r="453" spans="6:12" ht="15.75" customHeight="1" x14ac:dyDescent="0.2">
      <c r="F453" s="114"/>
      <c r="L453" s="114"/>
    </row>
    <row r="454" spans="6:12" ht="15.75" customHeight="1" x14ac:dyDescent="0.2">
      <c r="F454" s="114"/>
      <c r="L454" s="114"/>
    </row>
    <row r="455" spans="6:12" ht="15.75" customHeight="1" x14ac:dyDescent="0.2">
      <c r="F455" s="114"/>
      <c r="L455" s="114"/>
    </row>
    <row r="456" spans="6:12" ht="15.75" customHeight="1" x14ac:dyDescent="0.2">
      <c r="F456" s="114"/>
      <c r="L456" s="114"/>
    </row>
    <row r="457" spans="6:12" ht="15.75" customHeight="1" x14ac:dyDescent="0.2">
      <c r="F457" s="114"/>
      <c r="L457" s="114"/>
    </row>
    <row r="458" spans="6:12" ht="15.75" customHeight="1" x14ac:dyDescent="0.2">
      <c r="F458" s="114"/>
      <c r="L458" s="114"/>
    </row>
    <row r="459" spans="6:12" ht="15.75" customHeight="1" x14ac:dyDescent="0.2">
      <c r="F459" s="114"/>
      <c r="L459" s="114"/>
    </row>
    <row r="460" spans="6:12" ht="15.75" customHeight="1" x14ac:dyDescent="0.2">
      <c r="F460" s="114"/>
      <c r="L460" s="114"/>
    </row>
    <row r="461" spans="6:12" ht="15.75" customHeight="1" x14ac:dyDescent="0.2">
      <c r="F461" s="114"/>
      <c r="L461" s="114"/>
    </row>
    <row r="462" spans="6:12" ht="15.75" customHeight="1" x14ac:dyDescent="0.2">
      <c r="F462" s="114"/>
      <c r="L462" s="114"/>
    </row>
    <row r="463" spans="6:12" ht="15.75" customHeight="1" x14ac:dyDescent="0.2">
      <c r="F463" s="114"/>
      <c r="L463" s="114"/>
    </row>
    <row r="464" spans="6:12" ht="15.75" customHeight="1" x14ac:dyDescent="0.2">
      <c r="F464" s="114"/>
      <c r="L464" s="114"/>
    </row>
    <row r="465" spans="6:12" ht="15.75" customHeight="1" x14ac:dyDescent="0.2">
      <c r="F465" s="114"/>
      <c r="L465" s="114"/>
    </row>
    <row r="466" spans="6:12" ht="15.75" customHeight="1" x14ac:dyDescent="0.2">
      <c r="F466" s="114"/>
      <c r="L466" s="114"/>
    </row>
    <row r="467" spans="6:12" ht="15.75" customHeight="1" x14ac:dyDescent="0.2">
      <c r="F467" s="114"/>
      <c r="L467" s="114"/>
    </row>
    <row r="468" spans="6:12" ht="15.75" customHeight="1" x14ac:dyDescent="0.2">
      <c r="F468" s="114"/>
      <c r="L468" s="114"/>
    </row>
    <row r="469" spans="6:12" ht="15.75" customHeight="1" x14ac:dyDescent="0.2">
      <c r="F469" s="114"/>
      <c r="L469" s="114"/>
    </row>
    <row r="470" spans="6:12" ht="15.75" customHeight="1" x14ac:dyDescent="0.2">
      <c r="F470" s="114"/>
      <c r="L470" s="114"/>
    </row>
    <row r="471" spans="6:12" ht="15.75" customHeight="1" x14ac:dyDescent="0.2">
      <c r="F471" s="114"/>
      <c r="L471" s="114"/>
    </row>
    <row r="472" spans="6:12" ht="15.75" customHeight="1" x14ac:dyDescent="0.2">
      <c r="F472" s="114"/>
      <c r="L472" s="114"/>
    </row>
    <row r="473" spans="6:12" ht="15.75" customHeight="1" x14ac:dyDescent="0.2">
      <c r="F473" s="114"/>
      <c r="L473" s="114"/>
    </row>
    <row r="474" spans="6:12" ht="15.75" customHeight="1" x14ac:dyDescent="0.2">
      <c r="F474" s="114"/>
      <c r="L474" s="114"/>
    </row>
    <row r="475" spans="6:12" ht="15.75" customHeight="1" x14ac:dyDescent="0.2">
      <c r="F475" s="114"/>
      <c r="L475" s="114"/>
    </row>
    <row r="476" spans="6:12" ht="15.75" customHeight="1" x14ac:dyDescent="0.2">
      <c r="F476" s="114"/>
      <c r="L476" s="114"/>
    </row>
    <row r="477" spans="6:12" ht="15.75" customHeight="1" x14ac:dyDescent="0.2">
      <c r="F477" s="114"/>
      <c r="L477" s="114"/>
    </row>
    <row r="478" spans="6:12" ht="15.75" customHeight="1" x14ac:dyDescent="0.2">
      <c r="F478" s="114"/>
      <c r="L478" s="114"/>
    </row>
    <row r="479" spans="6:12" ht="15.75" customHeight="1" x14ac:dyDescent="0.2">
      <c r="F479" s="114"/>
      <c r="L479" s="114"/>
    </row>
    <row r="480" spans="6:12" ht="15.75" customHeight="1" x14ac:dyDescent="0.2">
      <c r="F480" s="114"/>
      <c r="L480" s="114"/>
    </row>
    <row r="481" spans="6:12" ht="15.75" customHeight="1" x14ac:dyDescent="0.2">
      <c r="F481" s="114"/>
      <c r="L481" s="114"/>
    </row>
    <row r="482" spans="6:12" ht="15.75" customHeight="1" x14ac:dyDescent="0.2">
      <c r="F482" s="114"/>
      <c r="L482" s="114"/>
    </row>
    <row r="483" spans="6:12" ht="15.75" customHeight="1" x14ac:dyDescent="0.2">
      <c r="F483" s="114"/>
      <c r="L483" s="114"/>
    </row>
    <row r="484" spans="6:12" ht="15.75" customHeight="1" x14ac:dyDescent="0.2">
      <c r="F484" s="114"/>
      <c r="L484" s="114"/>
    </row>
    <row r="485" spans="6:12" ht="15.75" customHeight="1" x14ac:dyDescent="0.2">
      <c r="F485" s="114"/>
      <c r="L485" s="114"/>
    </row>
    <row r="486" spans="6:12" ht="15.75" customHeight="1" x14ac:dyDescent="0.2">
      <c r="F486" s="114"/>
      <c r="L486" s="114"/>
    </row>
    <row r="487" spans="6:12" ht="15.75" customHeight="1" x14ac:dyDescent="0.2">
      <c r="F487" s="114"/>
      <c r="L487" s="114"/>
    </row>
    <row r="488" spans="6:12" ht="15.75" customHeight="1" x14ac:dyDescent="0.2">
      <c r="F488" s="114"/>
      <c r="L488" s="114"/>
    </row>
    <row r="489" spans="6:12" ht="15.75" customHeight="1" x14ac:dyDescent="0.2">
      <c r="F489" s="114"/>
      <c r="L489" s="114"/>
    </row>
    <row r="490" spans="6:12" ht="15.75" customHeight="1" x14ac:dyDescent="0.2">
      <c r="F490" s="114"/>
      <c r="L490" s="114"/>
    </row>
    <row r="491" spans="6:12" ht="15.75" customHeight="1" x14ac:dyDescent="0.2">
      <c r="F491" s="114"/>
      <c r="L491" s="114"/>
    </row>
    <row r="492" spans="6:12" ht="15.75" customHeight="1" x14ac:dyDescent="0.2">
      <c r="F492" s="114"/>
      <c r="L492" s="114"/>
    </row>
    <row r="493" spans="6:12" ht="15.75" customHeight="1" x14ac:dyDescent="0.2">
      <c r="F493" s="114"/>
      <c r="L493" s="114"/>
    </row>
    <row r="494" spans="6:12" ht="15.75" customHeight="1" x14ac:dyDescent="0.2">
      <c r="F494" s="114"/>
      <c r="L494" s="114"/>
    </row>
    <row r="495" spans="6:12" ht="15.75" customHeight="1" x14ac:dyDescent="0.2">
      <c r="F495" s="114"/>
      <c r="L495" s="114"/>
    </row>
    <row r="496" spans="6:12" ht="15.75" customHeight="1" x14ac:dyDescent="0.2">
      <c r="F496" s="114"/>
      <c r="L496" s="114"/>
    </row>
    <row r="497" spans="6:12" ht="15.75" customHeight="1" x14ac:dyDescent="0.2">
      <c r="F497" s="114"/>
      <c r="L497" s="114"/>
    </row>
    <row r="498" spans="6:12" ht="15.75" customHeight="1" x14ac:dyDescent="0.2">
      <c r="F498" s="114"/>
      <c r="L498" s="114"/>
    </row>
    <row r="499" spans="6:12" ht="15.75" customHeight="1" x14ac:dyDescent="0.2">
      <c r="F499" s="114"/>
      <c r="L499" s="114"/>
    </row>
    <row r="500" spans="6:12" ht="15.75" customHeight="1" x14ac:dyDescent="0.2">
      <c r="F500" s="114"/>
      <c r="L500" s="114"/>
    </row>
    <row r="501" spans="6:12" ht="15.75" customHeight="1" x14ac:dyDescent="0.2">
      <c r="F501" s="114"/>
      <c r="L501" s="114"/>
    </row>
    <row r="502" spans="6:12" ht="15.75" customHeight="1" x14ac:dyDescent="0.2">
      <c r="F502" s="114"/>
      <c r="L502" s="114"/>
    </row>
    <row r="503" spans="6:12" ht="15.75" customHeight="1" x14ac:dyDescent="0.2">
      <c r="F503" s="114"/>
      <c r="L503" s="114"/>
    </row>
    <row r="504" spans="6:12" ht="15.75" customHeight="1" x14ac:dyDescent="0.2">
      <c r="F504" s="114"/>
      <c r="L504" s="114"/>
    </row>
    <row r="505" spans="6:12" ht="15.75" customHeight="1" x14ac:dyDescent="0.2">
      <c r="F505" s="114"/>
      <c r="L505" s="114"/>
    </row>
    <row r="506" spans="6:12" ht="15.75" customHeight="1" x14ac:dyDescent="0.2">
      <c r="F506" s="114"/>
      <c r="L506" s="114"/>
    </row>
    <row r="507" spans="6:12" ht="15.75" customHeight="1" x14ac:dyDescent="0.2">
      <c r="F507" s="114"/>
      <c r="L507" s="114"/>
    </row>
    <row r="508" spans="6:12" ht="15.75" customHeight="1" x14ac:dyDescent="0.2">
      <c r="F508" s="114"/>
      <c r="L508" s="114"/>
    </row>
    <row r="509" spans="6:12" ht="15.75" customHeight="1" x14ac:dyDescent="0.2">
      <c r="F509" s="114"/>
      <c r="L509" s="114"/>
    </row>
    <row r="510" spans="6:12" ht="15.75" customHeight="1" x14ac:dyDescent="0.2">
      <c r="F510" s="114"/>
      <c r="L510" s="114"/>
    </row>
    <row r="511" spans="6:12" ht="15.75" customHeight="1" x14ac:dyDescent="0.2">
      <c r="F511" s="114"/>
      <c r="L511" s="114"/>
    </row>
    <row r="512" spans="6:12" ht="15.75" customHeight="1" x14ac:dyDescent="0.2">
      <c r="F512" s="114"/>
      <c r="L512" s="114"/>
    </row>
    <row r="513" spans="6:12" ht="15.75" customHeight="1" x14ac:dyDescent="0.2">
      <c r="F513" s="114"/>
      <c r="L513" s="114"/>
    </row>
    <row r="514" spans="6:12" ht="15.75" customHeight="1" x14ac:dyDescent="0.2">
      <c r="F514" s="114"/>
      <c r="L514" s="114"/>
    </row>
    <row r="515" spans="6:12" ht="15.75" customHeight="1" x14ac:dyDescent="0.2">
      <c r="F515" s="114"/>
      <c r="L515" s="114"/>
    </row>
    <row r="516" spans="6:12" ht="15.75" customHeight="1" x14ac:dyDescent="0.2">
      <c r="F516" s="114"/>
      <c r="L516" s="114"/>
    </row>
    <row r="517" spans="6:12" ht="15.75" customHeight="1" x14ac:dyDescent="0.2">
      <c r="F517" s="114"/>
      <c r="L517" s="114"/>
    </row>
    <row r="518" spans="6:12" ht="15.75" customHeight="1" x14ac:dyDescent="0.2">
      <c r="F518" s="114"/>
      <c r="L518" s="114"/>
    </row>
    <row r="519" spans="6:12" ht="15.75" customHeight="1" x14ac:dyDescent="0.2">
      <c r="F519" s="114"/>
      <c r="L519" s="114"/>
    </row>
    <row r="520" spans="6:12" ht="15.75" customHeight="1" x14ac:dyDescent="0.2">
      <c r="F520" s="114"/>
      <c r="L520" s="114"/>
    </row>
    <row r="521" spans="6:12" ht="15.75" customHeight="1" x14ac:dyDescent="0.2">
      <c r="F521" s="114"/>
      <c r="L521" s="114"/>
    </row>
    <row r="522" spans="6:12" ht="15.75" customHeight="1" x14ac:dyDescent="0.2">
      <c r="F522" s="114"/>
      <c r="L522" s="114"/>
    </row>
    <row r="523" spans="6:12" ht="15.75" customHeight="1" x14ac:dyDescent="0.2">
      <c r="F523" s="114"/>
      <c r="L523" s="114"/>
    </row>
    <row r="524" spans="6:12" ht="15.75" customHeight="1" x14ac:dyDescent="0.2">
      <c r="F524" s="114"/>
      <c r="L524" s="114"/>
    </row>
    <row r="525" spans="6:12" ht="15.75" customHeight="1" x14ac:dyDescent="0.2">
      <c r="F525" s="114"/>
      <c r="L525" s="114"/>
    </row>
    <row r="526" spans="6:12" ht="15.75" customHeight="1" x14ac:dyDescent="0.2">
      <c r="F526" s="114"/>
      <c r="L526" s="114"/>
    </row>
    <row r="527" spans="6:12" ht="15.75" customHeight="1" x14ac:dyDescent="0.2">
      <c r="F527" s="114"/>
      <c r="L527" s="114"/>
    </row>
    <row r="528" spans="6:12" ht="15.75" customHeight="1" x14ac:dyDescent="0.2">
      <c r="F528" s="114"/>
      <c r="L528" s="114"/>
    </row>
    <row r="529" spans="6:12" ht="15.75" customHeight="1" x14ac:dyDescent="0.2">
      <c r="F529" s="114"/>
      <c r="L529" s="114"/>
    </row>
    <row r="530" spans="6:12" ht="15.75" customHeight="1" x14ac:dyDescent="0.2">
      <c r="F530" s="114"/>
      <c r="L530" s="114"/>
    </row>
    <row r="531" spans="6:12" ht="15.75" customHeight="1" x14ac:dyDescent="0.2">
      <c r="F531" s="114"/>
      <c r="L531" s="114"/>
    </row>
    <row r="532" spans="6:12" ht="15.75" customHeight="1" x14ac:dyDescent="0.2">
      <c r="F532" s="114"/>
      <c r="L532" s="114"/>
    </row>
    <row r="533" spans="6:12" ht="15.75" customHeight="1" x14ac:dyDescent="0.2">
      <c r="F533" s="114"/>
      <c r="L533" s="114"/>
    </row>
    <row r="534" spans="6:12" ht="15.75" customHeight="1" x14ac:dyDescent="0.2">
      <c r="F534" s="114"/>
      <c r="L534" s="114"/>
    </row>
    <row r="535" spans="6:12" ht="15.75" customHeight="1" x14ac:dyDescent="0.2">
      <c r="F535" s="114"/>
      <c r="L535" s="114"/>
    </row>
    <row r="536" spans="6:12" ht="15.75" customHeight="1" x14ac:dyDescent="0.2">
      <c r="F536" s="114"/>
      <c r="L536" s="114"/>
    </row>
    <row r="537" spans="6:12" ht="15.75" customHeight="1" x14ac:dyDescent="0.2">
      <c r="F537" s="114"/>
      <c r="L537" s="114"/>
    </row>
    <row r="538" spans="6:12" ht="15.75" customHeight="1" x14ac:dyDescent="0.2">
      <c r="F538" s="114"/>
      <c r="L538" s="114"/>
    </row>
    <row r="539" spans="6:12" ht="15.75" customHeight="1" x14ac:dyDescent="0.2">
      <c r="F539" s="114"/>
      <c r="L539" s="114"/>
    </row>
    <row r="540" spans="6:12" ht="15.75" customHeight="1" x14ac:dyDescent="0.2">
      <c r="F540" s="114"/>
      <c r="L540" s="114"/>
    </row>
    <row r="541" spans="6:12" ht="15.75" customHeight="1" x14ac:dyDescent="0.2">
      <c r="F541" s="114"/>
      <c r="L541" s="114"/>
    </row>
    <row r="542" spans="6:12" ht="15.75" customHeight="1" x14ac:dyDescent="0.2">
      <c r="F542" s="114"/>
      <c r="L542" s="114"/>
    </row>
    <row r="543" spans="6:12" ht="15.75" customHeight="1" x14ac:dyDescent="0.2">
      <c r="F543" s="114"/>
      <c r="L543" s="114"/>
    </row>
    <row r="544" spans="6:12" ht="15.75" customHeight="1" x14ac:dyDescent="0.2">
      <c r="F544" s="114"/>
      <c r="L544" s="114"/>
    </row>
    <row r="545" spans="6:12" ht="15.75" customHeight="1" x14ac:dyDescent="0.2">
      <c r="F545" s="114"/>
      <c r="L545" s="114"/>
    </row>
    <row r="546" spans="6:12" ht="15.75" customHeight="1" x14ac:dyDescent="0.2">
      <c r="F546" s="114"/>
      <c r="L546" s="114"/>
    </row>
    <row r="547" spans="6:12" ht="15.75" customHeight="1" x14ac:dyDescent="0.2">
      <c r="F547" s="114"/>
      <c r="L547" s="114"/>
    </row>
    <row r="548" spans="6:12" ht="15.75" customHeight="1" x14ac:dyDescent="0.2">
      <c r="F548" s="114"/>
      <c r="L548" s="114"/>
    </row>
    <row r="549" spans="6:12" ht="15.75" customHeight="1" x14ac:dyDescent="0.2">
      <c r="F549" s="114"/>
      <c r="L549" s="114"/>
    </row>
    <row r="550" spans="6:12" ht="15.75" customHeight="1" x14ac:dyDescent="0.2">
      <c r="F550" s="114"/>
      <c r="L550" s="114"/>
    </row>
    <row r="551" spans="6:12" ht="15.75" customHeight="1" x14ac:dyDescent="0.2">
      <c r="F551" s="114"/>
      <c r="L551" s="114"/>
    </row>
    <row r="552" spans="6:12" ht="15.75" customHeight="1" x14ac:dyDescent="0.2">
      <c r="F552" s="114"/>
      <c r="L552" s="114"/>
    </row>
    <row r="553" spans="6:12" ht="15.75" customHeight="1" x14ac:dyDescent="0.2">
      <c r="F553" s="114"/>
      <c r="L553" s="114"/>
    </row>
    <row r="554" spans="6:12" ht="15.75" customHeight="1" x14ac:dyDescent="0.2">
      <c r="F554" s="114"/>
      <c r="L554" s="114"/>
    </row>
    <row r="555" spans="6:12" ht="15.75" customHeight="1" x14ac:dyDescent="0.2">
      <c r="F555" s="114"/>
      <c r="L555" s="114"/>
    </row>
    <row r="556" spans="6:12" ht="15.75" customHeight="1" x14ac:dyDescent="0.2">
      <c r="F556" s="114"/>
      <c r="L556" s="114"/>
    </row>
    <row r="557" spans="6:12" ht="15.75" customHeight="1" x14ac:dyDescent="0.2">
      <c r="F557" s="114"/>
      <c r="L557" s="114"/>
    </row>
    <row r="558" spans="6:12" ht="15.75" customHeight="1" x14ac:dyDescent="0.2">
      <c r="F558" s="114"/>
      <c r="L558" s="114"/>
    </row>
    <row r="559" spans="6:12" ht="15.75" customHeight="1" x14ac:dyDescent="0.2">
      <c r="F559" s="114"/>
      <c r="L559" s="114"/>
    </row>
    <row r="560" spans="6:12" ht="15.75" customHeight="1" x14ac:dyDescent="0.2">
      <c r="F560" s="114"/>
      <c r="L560" s="114"/>
    </row>
    <row r="561" spans="6:12" ht="15.75" customHeight="1" x14ac:dyDescent="0.2">
      <c r="F561" s="114"/>
      <c r="L561" s="114"/>
    </row>
    <row r="562" spans="6:12" ht="15.75" customHeight="1" x14ac:dyDescent="0.2">
      <c r="F562" s="114"/>
      <c r="L562" s="114"/>
    </row>
    <row r="563" spans="6:12" ht="15.75" customHeight="1" x14ac:dyDescent="0.2">
      <c r="F563" s="114"/>
      <c r="L563" s="114"/>
    </row>
    <row r="564" spans="6:12" ht="15.75" customHeight="1" x14ac:dyDescent="0.2">
      <c r="F564" s="114"/>
      <c r="L564" s="114"/>
    </row>
    <row r="565" spans="6:12" ht="15.75" customHeight="1" x14ac:dyDescent="0.2">
      <c r="F565" s="114"/>
      <c r="L565" s="114"/>
    </row>
    <row r="566" spans="6:12" ht="15.75" customHeight="1" x14ac:dyDescent="0.2">
      <c r="F566" s="114"/>
      <c r="L566" s="114"/>
    </row>
    <row r="567" spans="6:12" ht="15.75" customHeight="1" x14ac:dyDescent="0.2">
      <c r="F567" s="114"/>
      <c r="L567" s="114"/>
    </row>
    <row r="568" spans="6:12" ht="15.75" customHeight="1" x14ac:dyDescent="0.2">
      <c r="F568" s="114"/>
      <c r="L568" s="114"/>
    </row>
    <row r="569" spans="6:12" ht="15.75" customHeight="1" x14ac:dyDescent="0.2">
      <c r="F569" s="114"/>
      <c r="L569" s="114"/>
    </row>
    <row r="570" spans="6:12" ht="15.75" customHeight="1" x14ac:dyDescent="0.2">
      <c r="F570" s="114"/>
      <c r="L570" s="114"/>
    </row>
    <row r="571" spans="6:12" ht="15.75" customHeight="1" x14ac:dyDescent="0.2">
      <c r="F571" s="114"/>
      <c r="L571" s="114"/>
    </row>
    <row r="572" spans="6:12" ht="15.75" customHeight="1" x14ac:dyDescent="0.2">
      <c r="F572" s="114"/>
      <c r="L572" s="114"/>
    </row>
    <row r="573" spans="6:12" ht="15.75" customHeight="1" x14ac:dyDescent="0.2">
      <c r="F573" s="114"/>
      <c r="L573" s="114"/>
    </row>
    <row r="574" spans="6:12" ht="15.75" customHeight="1" x14ac:dyDescent="0.2">
      <c r="F574" s="114"/>
      <c r="L574" s="114"/>
    </row>
    <row r="575" spans="6:12" ht="15.75" customHeight="1" x14ac:dyDescent="0.2">
      <c r="F575" s="114"/>
      <c r="L575" s="114"/>
    </row>
    <row r="576" spans="6:12" ht="15.75" customHeight="1" x14ac:dyDescent="0.2">
      <c r="F576" s="114"/>
      <c r="L576" s="114"/>
    </row>
    <row r="577" spans="6:12" ht="15.75" customHeight="1" x14ac:dyDescent="0.2">
      <c r="F577" s="114"/>
      <c r="L577" s="114"/>
    </row>
    <row r="578" spans="6:12" ht="15.75" customHeight="1" x14ac:dyDescent="0.2">
      <c r="F578" s="114"/>
      <c r="L578" s="114"/>
    </row>
    <row r="579" spans="6:12" ht="15.75" customHeight="1" x14ac:dyDescent="0.2">
      <c r="F579" s="114"/>
      <c r="L579" s="114"/>
    </row>
    <row r="580" spans="6:12" ht="15.75" customHeight="1" x14ac:dyDescent="0.2">
      <c r="F580" s="114"/>
      <c r="L580" s="114"/>
    </row>
    <row r="581" spans="6:12" ht="15.75" customHeight="1" x14ac:dyDescent="0.2">
      <c r="F581" s="114"/>
      <c r="L581" s="114"/>
    </row>
    <row r="582" spans="6:12" ht="15.75" customHeight="1" x14ac:dyDescent="0.2">
      <c r="F582" s="114"/>
      <c r="L582" s="114"/>
    </row>
    <row r="583" spans="6:12" ht="15.75" customHeight="1" x14ac:dyDescent="0.2">
      <c r="F583" s="114"/>
      <c r="L583" s="114"/>
    </row>
    <row r="584" spans="6:12" ht="15.75" customHeight="1" x14ac:dyDescent="0.2">
      <c r="F584" s="114"/>
      <c r="L584" s="114"/>
    </row>
    <row r="585" spans="6:12" ht="15.75" customHeight="1" x14ac:dyDescent="0.2">
      <c r="F585" s="114"/>
      <c r="L585" s="114"/>
    </row>
    <row r="586" spans="6:12" ht="15.75" customHeight="1" x14ac:dyDescent="0.2">
      <c r="F586" s="114"/>
      <c r="L586" s="114"/>
    </row>
    <row r="587" spans="6:12" ht="15.75" customHeight="1" x14ac:dyDescent="0.2">
      <c r="F587" s="114"/>
      <c r="L587" s="114"/>
    </row>
    <row r="588" spans="6:12" ht="15.75" customHeight="1" x14ac:dyDescent="0.2">
      <c r="F588" s="114"/>
      <c r="L588" s="114"/>
    </row>
    <row r="589" spans="6:12" ht="15.75" customHeight="1" x14ac:dyDescent="0.2">
      <c r="F589" s="114"/>
      <c r="L589" s="114"/>
    </row>
    <row r="590" spans="6:12" ht="15.75" customHeight="1" x14ac:dyDescent="0.2">
      <c r="F590" s="114"/>
      <c r="L590" s="114"/>
    </row>
    <row r="591" spans="6:12" ht="15.75" customHeight="1" x14ac:dyDescent="0.2">
      <c r="F591" s="114"/>
      <c r="L591" s="114"/>
    </row>
    <row r="592" spans="6:12" ht="15.75" customHeight="1" x14ac:dyDescent="0.2">
      <c r="F592" s="114"/>
      <c r="L592" s="114"/>
    </row>
    <row r="593" spans="6:12" ht="15.75" customHeight="1" x14ac:dyDescent="0.2">
      <c r="F593" s="114"/>
      <c r="L593" s="114"/>
    </row>
    <row r="594" spans="6:12" ht="15.75" customHeight="1" x14ac:dyDescent="0.2">
      <c r="F594" s="114"/>
      <c r="L594" s="114"/>
    </row>
    <row r="595" spans="6:12" ht="15.75" customHeight="1" x14ac:dyDescent="0.2">
      <c r="F595" s="114"/>
      <c r="L595" s="114"/>
    </row>
    <row r="596" spans="6:12" ht="15.75" customHeight="1" x14ac:dyDescent="0.2">
      <c r="F596" s="114"/>
      <c r="L596" s="114"/>
    </row>
    <row r="597" spans="6:12" ht="15.75" customHeight="1" x14ac:dyDescent="0.2">
      <c r="F597" s="114"/>
      <c r="L597" s="114"/>
    </row>
    <row r="598" spans="6:12" ht="15.75" customHeight="1" x14ac:dyDescent="0.2">
      <c r="F598" s="114"/>
      <c r="L598" s="114"/>
    </row>
    <row r="599" spans="6:12" ht="15.75" customHeight="1" x14ac:dyDescent="0.2">
      <c r="F599" s="114"/>
      <c r="L599" s="114"/>
    </row>
    <row r="600" spans="6:12" ht="15.75" customHeight="1" x14ac:dyDescent="0.2">
      <c r="F600" s="114"/>
      <c r="L600" s="114"/>
    </row>
    <row r="601" spans="6:12" ht="15.75" customHeight="1" x14ac:dyDescent="0.2">
      <c r="F601" s="114"/>
      <c r="L601" s="114"/>
    </row>
    <row r="602" spans="6:12" ht="15.75" customHeight="1" x14ac:dyDescent="0.2">
      <c r="F602" s="114"/>
      <c r="L602" s="114"/>
    </row>
    <row r="603" spans="6:12" ht="15.75" customHeight="1" x14ac:dyDescent="0.2">
      <c r="F603" s="114"/>
      <c r="L603" s="114"/>
    </row>
    <row r="604" spans="6:12" ht="15.75" customHeight="1" x14ac:dyDescent="0.2">
      <c r="F604" s="114"/>
      <c r="L604" s="114"/>
    </row>
    <row r="605" spans="6:12" ht="15.75" customHeight="1" x14ac:dyDescent="0.2">
      <c r="F605" s="114"/>
      <c r="L605" s="114"/>
    </row>
    <row r="606" spans="6:12" ht="15.75" customHeight="1" x14ac:dyDescent="0.2">
      <c r="F606" s="114"/>
      <c r="L606" s="114"/>
    </row>
    <row r="607" spans="6:12" ht="15.75" customHeight="1" x14ac:dyDescent="0.2">
      <c r="F607" s="114"/>
      <c r="L607" s="114"/>
    </row>
    <row r="608" spans="6:12" ht="15.75" customHeight="1" x14ac:dyDescent="0.2">
      <c r="F608" s="114"/>
      <c r="L608" s="114"/>
    </row>
    <row r="609" spans="6:12" ht="15.75" customHeight="1" x14ac:dyDescent="0.2">
      <c r="F609" s="114"/>
      <c r="L609" s="114"/>
    </row>
    <row r="610" spans="6:12" ht="15.75" customHeight="1" x14ac:dyDescent="0.2">
      <c r="F610" s="114"/>
      <c r="L610" s="114"/>
    </row>
    <row r="611" spans="6:12" ht="15.75" customHeight="1" x14ac:dyDescent="0.2">
      <c r="F611" s="114"/>
      <c r="L611" s="114"/>
    </row>
    <row r="612" spans="6:12" ht="15.75" customHeight="1" x14ac:dyDescent="0.2">
      <c r="F612" s="114"/>
      <c r="L612" s="114"/>
    </row>
    <row r="613" spans="6:12" ht="15.75" customHeight="1" x14ac:dyDescent="0.2">
      <c r="F613" s="114"/>
      <c r="L613" s="114"/>
    </row>
    <row r="614" spans="6:12" ht="15.75" customHeight="1" x14ac:dyDescent="0.2">
      <c r="F614" s="114"/>
      <c r="L614" s="114"/>
    </row>
    <row r="615" spans="6:12" ht="15.75" customHeight="1" x14ac:dyDescent="0.2">
      <c r="F615" s="114"/>
      <c r="L615" s="114"/>
    </row>
    <row r="616" spans="6:12" ht="15.75" customHeight="1" x14ac:dyDescent="0.2">
      <c r="F616" s="114"/>
      <c r="L616" s="114"/>
    </row>
    <row r="617" spans="6:12" ht="15.75" customHeight="1" x14ac:dyDescent="0.2">
      <c r="F617" s="114"/>
      <c r="L617" s="114"/>
    </row>
    <row r="618" spans="6:12" ht="15.75" customHeight="1" x14ac:dyDescent="0.2">
      <c r="F618" s="114"/>
      <c r="L618" s="114"/>
    </row>
    <row r="619" spans="6:12" ht="15.75" customHeight="1" x14ac:dyDescent="0.2">
      <c r="F619" s="114"/>
      <c r="L619" s="114"/>
    </row>
    <row r="620" spans="6:12" ht="15.75" customHeight="1" x14ac:dyDescent="0.2">
      <c r="F620" s="114"/>
      <c r="L620" s="114"/>
    </row>
    <row r="621" spans="6:12" ht="15.75" customHeight="1" x14ac:dyDescent="0.2">
      <c r="F621" s="114"/>
      <c r="L621" s="114"/>
    </row>
    <row r="622" spans="6:12" ht="15.75" customHeight="1" x14ac:dyDescent="0.2">
      <c r="F622" s="114"/>
      <c r="L622" s="114"/>
    </row>
    <row r="623" spans="6:12" ht="15.75" customHeight="1" x14ac:dyDescent="0.2">
      <c r="F623" s="114"/>
      <c r="L623" s="114"/>
    </row>
    <row r="624" spans="6:12" ht="15.75" customHeight="1" x14ac:dyDescent="0.2">
      <c r="F624" s="114"/>
      <c r="L624" s="114"/>
    </row>
    <row r="625" spans="6:12" ht="15.75" customHeight="1" x14ac:dyDescent="0.2">
      <c r="F625" s="114"/>
      <c r="L625" s="114"/>
    </row>
    <row r="626" spans="6:12" ht="15.75" customHeight="1" x14ac:dyDescent="0.2">
      <c r="F626" s="114"/>
      <c r="L626" s="114"/>
    </row>
    <row r="627" spans="6:12" ht="15.75" customHeight="1" x14ac:dyDescent="0.2">
      <c r="F627" s="114"/>
      <c r="L627" s="114"/>
    </row>
    <row r="628" spans="6:12" ht="15.75" customHeight="1" x14ac:dyDescent="0.2">
      <c r="F628" s="114"/>
      <c r="L628" s="114"/>
    </row>
    <row r="629" spans="6:12" ht="15.75" customHeight="1" x14ac:dyDescent="0.2">
      <c r="F629" s="114"/>
      <c r="L629" s="114"/>
    </row>
    <row r="630" spans="6:12" ht="15.75" customHeight="1" x14ac:dyDescent="0.2">
      <c r="F630" s="114"/>
      <c r="L630" s="114"/>
    </row>
    <row r="631" spans="6:12" ht="15.75" customHeight="1" x14ac:dyDescent="0.2">
      <c r="F631" s="114"/>
      <c r="L631" s="114"/>
    </row>
    <row r="632" spans="6:12" ht="15.75" customHeight="1" x14ac:dyDescent="0.2">
      <c r="F632" s="114"/>
      <c r="L632" s="114"/>
    </row>
    <row r="633" spans="6:12" ht="15.75" customHeight="1" x14ac:dyDescent="0.2">
      <c r="F633" s="114"/>
      <c r="L633" s="114"/>
    </row>
    <row r="634" spans="6:12" ht="15.75" customHeight="1" x14ac:dyDescent="0.2">
      <c r="F634" s="114"/>
      <c r="L634" s="114"/>
    </row>
    <row r="635" spans="6:12" ht="15.75" customHeight="1" x14ac:dyDescent="0.2">
      <c r="F635" s="114"/>
      <c r="L635" s="114"/>
    </row>
    <row r="636" spans="6:12" ht="15.75" customHeight="1" x14ac:dyDescent="0.2">
      <c r="F636" s="114"/>
      <c r="L636" s="114"/>
    </row>
    <row r="637" spans="6:12" ht="15.75" customHeight="1" x14ac:dyDescent="0.2">
      <c r="F637" s="114"/>
      <c r="L637" s="114"/>
    </row>
    <row r="638" spans="6:12" ht="15.75" customHeight="1" x14ac:dyDescent="0.2">
      <c r="F638" s="114"/>
      <c r="L638" s="114"/>
    </row>
    <row r="639" spans="6:12" ht="15.75" customHeight="1" x14ac:dyDescent="0.2">
      <c r="F639" s="114"/>
      <c r="L639" s="114"/>
    </row>
    <row r="640" spans="6:12" ht="15.75" customHeight="1" x14ac:dyDescent="0.2">
      <c r="F640" s="114"/>
      <c r="L640" s="114"/>
    </row>
    <row r="641" spans="6:12" ht="15.75" customHeight="1" x14ac:dyDescent="0.2">
      <c r="F641" s="114"/>
      <c r="L641" s="114"/>
    </row>
    <row r="642" spans="6:12" ht="15.75" customHeight="1" x14ac:dyDescent="0.2">
      <c r="F642" s="114"/>
      <c r="L642" s="114"/>
    </row>
    <row r="643" spans="6:12" ht="15.75" customHeight="1" x14ac:dyDescent="0.2">
      <c r="F643" s="114"/>
      <c r="L643" s="114"/>
    </row>
    <row r="644" spans="6:12" ht="15.75" customHeight="1" x14ac:dyDescent="0.2">
      <c r="F644" s="114"/>
      <c r="L644" s="114"/>
    </row>
    <row r="645" spans="6:12" ht="15.75" customHeight="1" x14ac:dyDescent="0.2">
      <c r="F645" s="114"/>
      <c r="L645" s="114"/>
    </row>
    <row r="646" spans="6:12" ht="15.75" customHeight="1" x14ac:dyDescent="0.2">
      <c r="F646" s="114"/>
      <c r="L646" s="114"/>
    </row>
    <row r="647" spans="6:12" ht="15.75" customHeight="1" x14ac:dyDescent="0.2">
      <c r="F647" s="114"/>
      <c r="L647" s="114"/>
    </row>
    <row r="648" spans="6:12" ht="15.75" customHeight="1" x14ac:dyDescent="0.2">
      <c r="F648" s="114"/>
      <c r="L648" s="114"/>
    </row>
    <row r="649" spans="6:12" ht="15.75" customHeight="1" x14ac:dyDescent="0.2">
      <c r="F649" s="114"/>
      <c r="L649" s="114"/>
    </row>
    <row r="650" spans="6:12" ht="15.75" customHeight="1" x14ac:dyDescent="0.2">
      <c r="F650" s="114"/>
      <c r="L650" s="114"/>
    </row>
    <row r="651" spans="6:12" ht="15.75" customHeight="1" x14ac:dyDescent="0.2">
      <c r="F651" s="114"/>
      <c r="L651" s="114"/>
    </row>
    <row r="652" spans="6:12" ht="15.75" customHeight="1" x14ac:dyDescent="0.2">
      <c r="F652" s="114"/>
      <c r="L652" s="114"/>
    </row>
    <row r="653" spans="6:12" ht="15.75" customHeight="1" x14ac:dyDescent="0.2">
      <c r="F653" s="114"/>
      <c r="L653" s="114"/>
    </row>
    <row r="654" spans="6:12" ht="15.75" customHeight="1" x14ac:dyDescent="0.2">
      <c r="F654" s="114"/>
      <c r="L654" s="114"/>
    </row>
    <row r="655" spans="6:12" ht="15.75" customHeight="1" x14ac:dyDescent="0.2">
      <c r="F655" s="114"/>
      <c r="L655" s="114"/>
    </row>
    <row r="656" spans="6:12" ht="15.75" customHeight="1" x14ac:dyDescent="0.2">
      <c r="F656" s="114"/>
      <c r="L656" s="114"/>
    </row>
    <row r="657" spans="6:12" ht="15.75" customHeight="1" x14ac:dyDescent="0.2">
      <c r="F657" s="114"/>
      <c r="L657" s="114"/>
    </row>
    <row r="658" spans="6:12" ht="15.75" customHeight="1" x14ac:dyDescent="0.2">
      <c r="F658" s="114"/>
      <c r="L658" s="114"/>
    </row>
    <row r="659" spans="6:12" ht="15.75" customHeight="1" x14ac:dyDescent="0.2">
      <c r="F659" s="114"/>
      <c r="L659" s="114"/>
    </row>
    <row r="660" spans="6:12" ht="15.75" customHeight="1" x14ac:dyDescent="0.2">
      <c r="F660" s="114"/>
      <c r="L660" s="114"/>
    </row>
    <row r="661" spans="6:12" ht="15.75" customHeight="1" x14ac:dyDescent="0.2">
      <c r="F661" s="114"/>
      <c r="L661" s="114"/>
    </row>
    <row r="662" spans="6:12" ht="15.75" customHeight="1" x14ac:dyDescent="0.2">
      <c r="F662" s="114"/>
      <c r="L662" s="114"/>
    </row>
    <row r="663" spans="6:12" ht="15.75" customHeight="1" x14ac:dyDescent="0.2">
      <c r="F663" s="114"/>
      <c r="L663" s="114"/>
    </row>
    <row r="664" spans="6:12" ht="15.75" customHeight="1" x14ac:dyDescent="0.2">
      <c r="F664" s="114"/>
      <c r="L664" s="114"/>
    </row>
    <row r="665" spans="6:12" ht="15.75" customHeight="1" x14ac:dyDescent="0.2">
      <c r="F665" s="114"/>
      <c r="L665" s="114"/>
    </row>
    <row r="666" spans="6:12" ht="15.75" customHeight="1" x14ac:dyDescent="0.2">
      <c r="F666" s="114"/>
      <c r="L666" s="114"/>
    </row>
    <row r="667" spans="6:12" ht="15.75" customHeight="1" x14ac:dyDescent="0.2">
      <c r="F667" s="114"/>
      <c r="L667" s="114"/>
    </row>
    <row r="668" spans="6:12" ht="15.75" customHeight="1" x14ac:dyDescent="0.2">
      <c r="F668" s="114"/>
      <c r="L668" s="114"/>
    </row>
    <row r="669" spans="6:12" ht="15.75" customHeight="1" x14ac:dyDescent="0.2">
      <c r="F669" s="114"/>
      <c r="L669" s="114"/>
    </row>
    <row r="670" spans="6:12" ht="15.75" customHeight="1" x14ac:dyDescent="0.2">
      <c r="F670" s="114"/>
      <c r="L670" s="114"/>
    </row>
    <row r="671" spans="6:12" ht="15.75" customHeight="1" x14ac:dyDescent="0.2">
      <c r="F671" s="114"/>
      <c r="L671" s="114"/>
    </row>
    <row r="672" spans="6:12" ht="15.75" customHeight="1" x14ac:dyDescent="0.2">
      <c r="F672" s="114"/>
      <c r="L672" s="114"/>
    </row>
    <row r="673" spans="6:12" ht="15.75" customHeight="1" x14ac:dyDescent="0.2">
      <c r="F673" s="114"/>
      <c r="L673" s="114"/>
    </row>
    <row r="674" spans="6:12" ht="15.75" customHeight="1" x14ac:dyDescent="0.2">
      <c r="F674" s="114"/>
      <c r="L674" s="114"/>
    </row>
    <row r="675" spans="6:12" ht="15.75" customHeight="1" x14ac:dyDescent="0.2">
      <c r="F675" s="114"/>
      <c r="L675" s="114"/>
    </row>
    <row r="676" spans="6:12" ht="15.75" customHeight="1" x14ac:dyDescent="0.2">
      <c r="F676" s="114"/>
      <c r="L676" s="114"/>
    </row>
    <row r="677" spans="6:12" ht="15.75" customHeight="1" x14ac:dyDescent="0.2">
      <c r="F677" s="114"/>
      <c r="L677" s="114"/>
    </row>
    <row r="678" spans="6:12" ht="15.75" customHeight="1" x14ac:dyDescent="0.2">
      <c r="F678" s="114"/>
      <c r="L678" s="114"/>
    </row>
    <row r="679" spans="6:12" ht="15.75" customHeight="1" x14ac:dyDescent="0.2">
      <c r="F679" s="114"/>
      <c r="L679" s="114"/>
    </row>
    <row r="680" spans="6:12" ht="15.75" customHeight="1" x14ac:dyDescent="0.2">
      <c r="F680" s="114"/>
      <c r="L680" s="114"/>
    </row>
    <row r="681" spans="6:12" ht="15.75" customHeight="1" x14ac:dyDescent="0.2">
      <c r="F681" s="114"/>
      <c r="L681" s="114"/>
    </row>
    <row r="682" spans="6:12" ht="15.75" customHeight="1" x14ac:dyDescent="0.2">
      <c r="F682" s="114"/>
      <c r="L682" s="114"/>
    </row>
    <row r="683" spans="6:12" ht="15.75" customHeight="1" x14ac:dyDescent="0.2">
      <c r="F683" s="114"/>
      <c r="L683" s="114"/>
    </row>
    <row r="684" spans="6:12" ht="15.75" customHeight="1" x14ac:dyDescent="0.2">
      <c r="F684" s="114"/>
      <c r="L684" s="114"/>
    </row>
    <row r="685" spans="6:12" ht="15.75" customHeight="1" x14ac:dyDescent="0.2">
      <c r="F685" s="114"/>
      <c r="L685" s="114"/>
    </row>
    <row r="686" spans="6:12" ht="15.75" customHeight="1" x14ac:dyDescent="0.2">
      <c r="F686" s="114"/>
      <c r="L686" s="114"/>
    </row>
    <row r="687" spans="6:12" ht="15.75" customHeight="1" x14ac:dyDescent="0.2">
      <c r="F687" s="114"/>
      <c r="L687" s="114"/>
    </row>
    <row r="688" spans="6:12" ht="15.75" customHeight="1" x14ac:dyDescent="0.2">
      <c r="F688" s="114"/>
      <c r="L688" s="114"/>
    </row>
    <row r="689" spans="6:12" ht="15.75" customHeight="1" x14ac:dyDescent="0.2">
      <c r="F689" s="114"/>
      <c r="L689" s="114"/>
    </row>
    <row r="690" spans="6:12" ht="15.75" customHeight="1" x14ac:dyDescent="0.2">
      <c r="F690" s="114"/>
      <c r="L690" s="114"/>
    </row>
    <row r="691" spans="6:12" ht="15.75" customHeight="1" x14ac:dyDescent="0.2">
      <c r="F691" s="114"/>
      <c r="L691" s="114"/>
    </row>
    <row r="692" spans="6:12" ht="15.75" customHeight="1" x14ac:dyDescent="0.2">
      <c r="F692" s="114"/>
      <c r="L692" s="114"/>
    </row>
    <row r="693" spans="6:12" ht="15.75" customHeight="1" x14ac:dyDescent="0.2">
      <c r="F693" s="114"/>
      <c r="L693" s="114"/>
    </row>
    <row r="694" spans="6:12" ht="15.75" customHeight="1" x14ac:dyDescent="0.2">
      <c r="F694" s="114"/>
      <c r="L694" s="114"/>
    </row>
    <row r="695" spans="6:12" ht="15.75" customHeight="1" x14ac:dyDescent="0.2">
      <c r="F695" s="114"/>
      <c r="L695" s="114"/>
    </row>
    <row r="696" spans="6:12" ht="15.75" customHeight="1" x14ac:dyDescent="0.2">
      <c r="F696" s="114"/>
      <c r="L696" s="114"/>
    </row>
    <row r="697" spans="6:12" ht="15.75" customHeight="1" x14ac:dyDescent="0.2">
      <c r="F697" s="114"/>
      <c r="L697" s="114"/>
    </row>
    <row r="698" spans="6:12" ht="15.75" customHeight="1" x14ac:dyDescent="0.2">
      <c r="F698" s="114"/>
      <c r="L698" s="114"/>
    </row>
    <row r="699" spans="6:12" ht="15.75" customHeight="1" x14ac:dyDescent="0.2">
      <c r="F699" s="114"/>
      <c r="L699" s="114"/>
    </row>
    <row r="700" spans="6:12" ht="15.75" customHeight="1" x14ac:dyDescent="0.2">
      <c r="F700" s="114"/>
      <c r="L700" s="114"/>
    </row>
    <row r="701" spans="6:12" ht="15.75" customHeight="1" x14ac:dyDescent="0.2">
      <c r="F701" s="114"/>
      <c r="L701" s="114"/>
    </row>
    <row r="702" spans="6:12" ht="15.75" customHeight="1" x14ac:dyDescent="0.2">
      <c r="F702" s="114"/>
      <c r="L702" s="114"/>
    </row>
    <row r="703" spans="6:12" ht="15.75" customHeight="1" x14ac:dyDescent="0.2">
      <c r="F703" s="114"/>
      <c r="L703" s="114"/>
    </row>
    <row r="704" spans="6:12" ht="15.75" customHeight="1" x14ac:dyDescent="0.2">
      <c r="F704" s="114"/>
      <c r="L704" s="114"/>
    </row>
    <row r="705" spans="6:12" ht="15.75" customHeight="1" x14ac:dyDescent="0.2">
      <c r="F705" s="114"/>
      <c r="L705" s="114"/>
    </row>
    <row r="706" spans="6:12" ht="15.75" customHeight="1" x14ac:dyDescent="0.2">
      <c r="F706" s="114"/>
      <c r="L706" s="114"/>
    </row>
    <row r="707" spans="6:12" ht="15.75" customHeight="1" x14ac:dyDescent="0.2">
      <c r="F707" s="114"/>
      <c r="L707" s="114"/>
    </row>
    <row r="708" spans="6:12" ht="15.75" customHeight="1" x14ac:dyDescent="0.2">
      <c r="F708" s="114"/>
      <c r="L708" s="114"/>
    </row>
    <row r="709" spans="6:12" ht="15.75" customHeight="1" x14ac:dyDescent="0.2">
      <c r="F709" s="114"/>
      <c r="L709" s="114"/>
    </row>
    <row r="710" spans="6:12" ht="15.75" customHeight="1" x14ac:dyDescent="0.2">
      <c r="F710" s="114"/>
      <c r="L710" s="114"/>
    </row>
    <row r="711" spans="6:12" ht="15.75" customHeight="1" x14ac:dyDescent="0.2">
      <c r="F711" s="114"/>
      <c r="L711" s="114"/>
    </row>
    <row r="712" spans="6:12" ht="15.75" customHeight="1" x14ac:dyDescent="0.2">
      <c r="F712" s="114"/>
      <c r="L712" s="114"/>
    </row>
    <row r="713" spans="6:12" ht="15.75" customHeight="1" x14ac:dyDescent="0.2">
      <c r="F713" s="114"/>
      <c r="L713" s="114"/>
    </row>
    <row r="714" spans="6:12" ht="15.75" customHeight="1" x14ac:dyDescent="0.2">
      <c r="F714" s="114"/>
      <c r="L714" s="114"/>
    </row>
    <row r="715" spans="6:12" ht="15.75" customHeight="1" x14ac:dyDescent="0.2">
      <c r="F715" s="114"/>
      <c r="L715" s="114"/>
    </row>
    <row r="716" spans="6:12" ht="15.75" customHeight="1" x14ac:dyDescent="0.2">
      <c r="F716" s="114"/>
      <c r="L716" s="114"/>
    </row>
    <row r="717" spans="6:12" ht="15.75" customHeight="1" x14ac:dyDescent="0.2">
      <c r="F717" s="114"/>
      <c r="L717" s="114"/>
    </row>
    <row r="718" spans="6:12" ht="15.75" customHeight="1" x14ac:dyDescent="0.2">
      <c r="F718" s="114"/>
      <c r="L718" s="114"/>
    </row>
    <row r="719" spans="6:12" ht="15.75" customHeight="1" x14ac:dyDescent="0.2">
      <c r="F719" s="114"/>
      <c r="L719" s="114"/>
    </row>
    <row r="720" spans="6:12" ht="15.75" customHeight="1" x14ac:dyDescent="0.2">
      <c r="F720" s="114"/>
      <c r="L720" s="114"/>
    </row>
    <row r="721" spans="6:12" ht="15.75" customHeight="1" x14ac:dyDescent="0.2">
      <c r="F721" s="114"/>
      <c r="L721" s="114"/>
    </row>
    <row r="722" spans="6:12" ht="15.75" customHeight="1" x14ac:dyDescent="0.2">
      <c r="F722" s="114"/>
      <c r="L722" s="114"/>
    </row>
    <row r="723" spans="6:12" ht="15.75" customHeight="1" x14ac:dyDescent="0.2">
      <c r="F723" s="114"/>
      <c r="L723" s="114"/>
    </row>
    <row r="724" spans="6:12" ht="15.75" customHeight="1" x14ac:dyDescent="0.2">
      <c r="F724" s="114"/>
      <c r="L724" s="114"/>
    </row>
    <row r="725" spans="6:12" ht="15.75" customHeight="1" x14ac:dyDescent="0.2">
      <c r="F725" s="114"/>
      <c r="L725" s="114"/>
    </row>
    <row r="726" spans="6:12" ht="15.75" customHeight="1" x14ac:dyDescent="0.2">
      <c r="F726" s="114"/>
      <c r="L726" s="114"/>
    </row>
    <row r="727" spans="6:12" ht="15.75" customHeight="1" x14ac:dyDescent="0.2">
      <c r="F727" s="114"/>
      <c r="L727" s="114"/>
    </row>
    <row r="728" spans="6:12" ht="15.75" customHeight="1" x14ac:dyDescent="0.2">
      <c r="F728" s="114"/>
      <c r="L728" s="114"/>
    </row>
    <row r="729" spans="6:12" ht="15.75" customHeight="1" x14ac:dyDescent="0.2">
      <c r="F729" s="114"/>
      <c r="L729" s="114"/>
    </row>
    <row r="730" spans="6:12" ht="15.75" customHeight="1" x14ac:dyDescent="0.2">
      <c r="F730" s="114"/>
      <c r="L730" s="114"/>
    </row>
    <row r="731" spans="6:12" ht="15.75" customHeight="1" x14ac:dyDescent="0.2">
      <c r="F731" s="114"/>
      <c r="L731" s="114"/>
    </row>
    <row r="732" spans="6:12" ht="15.75" customHeight="1" x14ac:dyDescent="0.2">
      <c r="F732" s="114"/>
      <c r="L732" s="114"/>
    </row>
    <row r="733" spans="6:12" ht="15.75" customHeight="1" x14ac:dyDescent="0.2">
      <c r="F733" s="114"/>
      <c r="L733" s="114"/>
    </row>
    <row r="734" spans="6:12" ht="15.75" customHeight="1" x14ac:dyDescent="0.2">
      <c r="F734" s="114"/>
      <c r="L734" s="114"/>
    </row>
    <row r="735" spans="6:12" ht="15.75" customHeight="1" x14ac:dyDescent="0.2">
      <c r="F735" s="114"/>
      <c r="L735" s="114"/>
    </row>
    <row r="736" spans="6:12" ht="15.75" customHeight="1" x14ac:dyDescent="0.2">
      <c r="F736" s="114"/>
      <c r="L736" s="114"/>
    </row>
    <row r="737" spans="6:12" ht="15.75" customHeight="1" x14ac:dyDescent="0.2">
      <c r="F737" s="114"/>
      <c r="L737" s="114"/>
    </row>
    <row r="738" spans="6:12" ht="15.75" customHeight="1" x14ac:dyDescent="0.2">
      <c r="F738" s="114"/>
      <c r="L738" s="114"/>
    </row>
    <row r="739" spans="6:12" ht="15.75" customHeight="1" x14ac:dyDescent="0.2">
      <c r="F739" s="114"/>
      <c r="L739" s="114"/>
    </row>
    <row r="740" spans="6:12" ht="15.75" customHeight="1" x14ac:dyDescent="0.2">
      <c r="F740" s="114"/>
      <c r="L740" s="114"/>
    </row>
    <row r="741" spans="6:12" ht="15.75" customHeight="1" x14ac:dyDescent="0.2">
      <c r="F741" s="114"/>
      <c r="L741" s="114"/>
    </row>
    <row r="742" spans="6:12" ht="15.75" customHeight="1" x14ac:dyDescent="0.2">
      <c r="F742" s="114"/>
      <c r="L742" s="114"/>
    </row>
    <row r="743" spans="6:12" ht="15.75" customHeight="1" x14ac:dyDescent="0.2">
      <c r="F743" s="114"/>
      <c r="L743" s="114"/>
    </row>
    <row r="744" spans="6:12" ht="15.75" customHeight="1" x14ac:dyDescent="0.2">
      <c r="F744" s="114"/>
      <c r="L744" s="114"/>
    </row>
    <row r="745" spans="6:12" ht="15.75" customHeight="1" x14ac:dyDescent="0.2">
      <c r="F745" s="114"/>
      <c r="L745" s="114"/>
    </row>
    <row r="746" spans="6:12" ht="15.75" customHeight="1" x14ac:dyDescent="0.2">
      <c r="F746" s="114"/>
      <c r="L746" s="114"/>
    </row>
    <row r="747" spans="6:12" ht="15.75" customHeight="1" x14ac:dyDescent="0.2">
      <c r="F747" s="114"/>
      <c r="L747" s="114"/>
    </row>
    <row r="748" spans="6:12" ht="15.75" customHeight="1" x14ac:dyDescent="0.2">
      <c r="F748" s="114"/>
      <c r="L748" s="114"/>
    </row>
    <row r="749" spans="6:12" ht="15.75" customHeight="1" x14ac:dyDescent="0.2">
      <c r="F749" s="114"/>
      <c r="L749" s="114"/>
    </row>
    <row r="750" spans="6:12" ht="15.75" customHeight="1" x14ac:dyDescent="0.2">
      <c r="F750" s="114"/>
      <c r="L750" s="114"/>
    </row>
    <row r="751" spans="6:12" ht="15.75" customHeight="1" x14ac:dyDescent="0.2">
      <c r="F751" s="114"/>
      <c r="L751" s="114"/>
    </row>
    <row r="752" spans="6:12" ht="15.75" customHeight="1" x14ac:dyDescent="0.2">
      <c r="F752" s="114"/>
      <c r="L752" s="114"/>
    </row>
    <row r="753" spans="6:12" ht="15.75" customHeight="1" x14ac:dyDescent="0.2">
      <c r="F753" s="114"/>
      <c r="L753" s="114"/>
    </row>
    <row r="754" spans="6:12" ht="15.75" customHeight="1" x14ac:dyDescent="0.2">
      <c r="F754" s="114"/>
      <c r="L754" s="114"/>
    </row>
    <row r="755" spans="6:12" ht="15.75" customHeight="1" x14ac:dyDescent="0.2">
      <c r="F755" s="114"/>
      <c r="L755" s="114"/>
    </row>
    <row r="756" spans="6:12" ht="15.75" customHeight="1" x14ac:dyDescent="0.2">
      <c r="F756" s="114"/>
      <c r="L756" s="114"/>
    </row>
    <row r="757" spans="6:12" ht="15.75" customHeight="1" x14ac:dyDescent="0.2">
      <c r="F757" s="114"/>
      <c r="L757" s="114"/>
    </row>
    <row r="758" spans="6:12" ht="15.75" customHeight="1" x14ac:dyDescent="0.2">
      <c r="F758" s="114"/>
      <c r="L758" s="114"/>
    </row>
    <row r="759" spans="6:12" ht="15.75" customHeight="1" x14ac:dyDescent="0.2">
      <c r="F759" s="114"/>
      <c r="L759" s="114"/>
    </row>
    <row r="760" spans="6:12" ht="15.75" customHeight="1" x14ac:dyDescent="0.2">
      <c r="F760" s="114"/>
      <c r="L760" s="114"/>
    </row>
    <row r="761" spans="6:12" ht="15.75" customHeight="1" x14ac:dyDescent="0.2">
      <c r="F761" s="114"/>
      <c r="L761" s="114"/>
    </row>
    <row r="762" spans="6:12" ht="15.75" customHeight="1" x14ac:dyDescent="0.2">
      <c r="F762" s="114"/>
      <c r="L762" s="114"/>
    </row>
    <row r="763" spans="6:12" ht="15.75" customHeight="1" x14ac:dyDescent="0.2">
      <c r="F763" s="114"/>
      <c r="L763" s="114"/>
    </row>
    <row r="764" spans="6:12" ht="15.75" customHeight="1" x14ac:dyDescent="0.2">
      <c r="F764" s="114"/>
      <c r="L764" s="114"/>
    </row>
    <row r="765" spans="6:12" ht="15.75" customHeight="1" x14ac:dyDescent="0.2">
      <c r="F765" s="114"/>
      <c r="L765" s="114"/>
    </row>
    <row r="766" spans="6:12" ht="15.75" customHeight="1" x14ac:dyDescent="0.2">
      <c r="F766" s="114"/>
      <c r="L766" s="114"/>
    </row>
    <row r="767" spans="6:12" ht="15.75" customHeight="1" x14ac:dyDescent="0.2">
      <c r="F767" s="114"/>
      <c r="L767" s="114"/>
    </row>
    <row r="768" spans="6:12" ht="15.75" customHeight="1" x14ac:dyDescent="0.2">
      <c r="F768" s="114"/>
      <c r="L768" s="114"/>
    </row>
    <row r="769" spans="6:12" ht="15.75" customHeight="1" x14ac:dyDescent="0.2">
      <c r="F769" s="114"/>
      <c r="L769" s="114"/>
    </row>
    <row r="770" spans="6:12" ht="15.75" customHeight="1" x14ac:dyDescent="0.2">
      <c r="F770" s="114"/>
      <c r="L770" s="114"/>
    </row>
    <row r="771" spans="6:12" ht="15.75" customHeight="1" x14ac:dyDescent="0.2">
      <c r="F771" s="114"/>
      <c r="L771" s="114"/>
    </row>
    <row r="772" spans="6:12" ht="15.75" customHeight="1" x14ac:dyDescent="0.2">
      <c r="F772" s="114"/>
      <c r="L772" s="114"/>
    </row>
    <row r="773" spans="6:12" ht="15.75" customHeight="1" x14ac:dyDescent="0.2">
      <c r="F773" s="114"/>
      <c r="L773" s="114"/>
    </row>
    <row r="774" spans="6:12" ht="15.75" customHeight="1" x14ac:dyDescent="0.2">
      <c r="F774" s="114"/>
      <c r="L774" s="114"/>
    </row>
    <row r="775" spans="6:12" ht="15.75" customHeight="1" x14ac:dyDescent="0.2">
      <c r="F775" s="114"/>
      <c r="L775" s="114"/>
    </row>
    <row r="776" spans="6:12" ht="15.75" customHeight="1" x14ac:dyDescent="0.2">
      <c r="F776" s="114"/>
      <c r="L776" s="114"/>
    </row>
    <row r="777" spans="6:12" ht="15.75" customHeight="1" x14ac:dyDescent="0.2">
      <c r="F777" s="114"/>
      <c r="L777" s="114"/>
    </row>
    <row r="778" spans="6:12" ht="15.75" customHeight="1" x14ac:dyDescent="0.2">
      <c r="F778" s="114"/>
      <c r="L778" s="114"/>
    </row>
    <row r="779" spans="6:12" ht="15.75" customHeight="1" x14ac:dyDescent="0.2">
      <c r="F779" s="114"/>
      <c r="L779" s="114"/>
    </row>
    <row r="780" spans="6:12" ht="15.75" customHeight="1" x14ac:dyDescent="0.2">
      <c r="F780" s="114"/>
      <c r="L780" s="114"/>
    </row>
    <row r="781" spans="6:12" ht="15.75" customHeight="1" x14ac:dyDescent="0.2">
      <c r="F781" s="114"/>
      <c r="L781" s="114"/>
    </row>
    <row r="782" spans="6:12" ht="15.75" customHeight="1" x14ac:dyDescent="0.2">
      <c r="F782" s="114"/>
      <c r="L782" s="114"/>
    </row>
    <row r="783" spans="6:12" ht="15.75" customHeight="1" x14ac:dyDescent="0.2">
      <c r="F783" s="114"/>
      <c r="L783" s="114"/>
    </row>
    <row r="784" spans="6:12" ht="15.75" customHeight="1" x14ac:dyDescent="0.2">
      <c r="F784" s="114"/>
      <c r="L784" s="114"/>
    </row>
    <row r="785" spans="6:12" ht="15.75" customHeight="1" x14ac:dyDescent="0.2">
      <c r="F785" s="114"/>
      <c r="L785" s="114"/>
    </row>
    <row r="786" spans="6:12" ht="15.75" customHeight="1" x14ac:dyDescent="0.2">
      <c r="F786" s="114"/>
      <c r="L786" s="114"/>
    </row>
    <row r="787" spans="6:12" ht="15.75" customHeight="1" x14ac:dyDescent="0.2">
      <c r="F787" s="114"/>
      <c r="L787" s="114"/>
    </row>
    <row r="788" spans="6:12" ht="15.75" customHeight="1" x14ac:dyDescent="0.2">
      <c r="F788" s="114"/>
      <c r="L788" s="114"/>
    </row>
    <row r="789" spans="6:12" ht="15.75" customHeight="1" x14ac:dyDescent="0.2">
      <c r="F789" s="114"/>
      <c r="L789" s="114"/>
    </row>
    <row r="790" spans="6:12" ht="15.75" customHeight="1" x14ac:dyDescent="0.2">
      <c r="F790" s="114"/>
      <c r="L790" s="114"/>
    </row>
    <row r="791" spans="6:12" ht="15.75" customHeight="1" x14ac:dyDescent="0.2">
      <c r="F791" s="114"/>
      <c r="L791" s="114"/>
    </row>
    <row r="792" spans="6:12" ht="15.75" customHeight="1" x14ac:dyDescent="0.2">
      <c r="F792" s="114"/>
      <c r="L792" s="114"/>
    </row>
    <row r="793" spans="6:12" ht="15.75" customHeight="1" x14ac:dyDescent="0.2">
      <c r="F793" s="114"/>
      <c r="L793" s="114"/>
    </row>
    <row r="794" spans="6:12" ht="15.75" customHeight="1" x14ac:dyDescent="0.2">
      <c r="F794" s="114"/>
      <c r="L794" s="114"/>
    </row>
    <row r="795" spans="6:12" ht="15.75" customHeight="1" x14ac:dyDescent="0.2">
      <c r="F795" s="114"/>
      <c r="L795" s="114"/>
    </row>
    <row r="796" spans="6:12" ht="15.75" customHeight="1" x14ac:dyDescent="0.2">
      <c r="F796" s="114"/>
      <c r="L796" s="114"/>
    </row>
    <row r="797" spans="6:12" ht="15.75" customHeight="1" x14ac:dyDescent="0.2">
      <c r="F797" s="114"/>
      <c r="L797" s="114"/>
    </row>
    <row r="798" spans="6:12" ht="15.75" customHeight="1" x14ac:dyDescent="0.2">
      <c r="F798" s="114"/>
      <c r="L798" s="114"/>
    </row>
    <row r="799" spans="6:12" ht="15.75" customHeight="1" x14ac:dyDescent="0.2">
      <c r="F799" s="114"/>
      <c r="L799" s="114"/>
    </row>
    <row r="800" spans="6:12" ht="15.75" customHeight="1" x14ac:dyDescent="0.2">
      <c r="F800" s="114"/>
      <c r="L800" s="114"/>
    </row>
    <row r="801" spans="6:12" ht="15.75" customHeight="1" x14ac:dyDescent="0.2">
      <c r="F801" s="114"/>
      <c r="L801" s="114"/>
    </row>
    <row r="802" spans="6:12" ht="15.75" customHeight="1" x14ac:dyDescent="0.2">
      <c r="F802" s="114"/>
      <c r="L802" s="114"/>
    </row>
    <row r="803" spans="6:12" ht="15.75" customHeight="1" x14ac:dyDescent="0.2">
      <c r="F803" s="114"/>
      <c r="L803" s="114"/>
    </row>
    <row r="804" spans="6:12" ht="15.75" customHeight="1" x14ac:dyDescent="0.2">
      <c r="F804" s="114"/>
      <c r="L804" s="114"/>
    </row>
    <row r="805" spans="6:12" ht="15.75" customHeight="1" x14ac:dyDescent="0.2">
      <c r="F805" s="114"/>
      <c r="L805" s="114"/>
    </row>
    <row r="806" spans="6:12" ht="15.75" customHeight="1" x14ac:dyDescent="0.2">
      <c r="F806" s="114"/>
      <c r="L806" s="114"/>
    </row>
    <row r="807" spans="6:12" ht="15.75" customHeight="1" x14ac:dyDescent="0.2">
      <c r="F807" s="114"/>
      <c r="L807" s="114"/>
    </row>
    <row r="808" spans="6:12" ht="15.75" customHeight="1" x14ac:dyDescent="0.2">
      <c r="F808" s="114"/>
      <c r="L808" s="114"/>
    </row>
    <row r="809" spans="6:12" ht="15.75" customHeight="1" x14ac:dyDescent="0.2">
      <c r="F809" s="114"/>
      <c r="L809" s="114"/>
    </row>
    <row r="810" spans="6:12" ht="15.75" customHeight="1" x14ac:dyDescent="0.2">
      <c r="F810" s="114"/>
      <c r="L810" s="114"/>
    </row>
    <row r="811" spans="6:12" ht="15.75" customHeight="1" x14ac:dyDescent="0.2">
      <c r="F811" s="114"/>
      <c r="L811" s="114"/>
    </row>
    <row r="812" spans="6:12" ht="15.75" customHeight="1" x14ac:dyDescent="0.2">
      <c r="F812" s="114"/>
      <c r="L812" s="114"/>
    </row>
    <row r="813" spans="6:12" ht="15.75" customHeight="1" x14ac:dyDescent="0.2">
      <c r="F813" s="114"/>
      <c r="L813" s="114"/>
    </row>
    <row r="814" spans="6:12" ht="15.75" customHeight="1" x14ac:dyDescent="0.2">
      <c r="F814" s="114"/>
      <c r="L814" s="114"/>
    </row>
    <row r="815" spans="6:12" ht="15.75" customHeight="1" x14ac:dyDescent="0.2">
      <c r="F815" s="114"/>
      <c r="L815" s="114"/>
    </row>
    <row r="816" spans="6:12" ht="15.75" customHeight="1" x14ac:dyDescent="0.2">
      <c r="F816" s="114"/>
      <c r="L816" s="114"/>
    </row>
    <row r="817" spans="6:12" ht="15.75" customHeight="1" x14ac:dyDescent="0.2">
      <c r="F817" s="114"/>
      <c r="L817" s="114"/>
    </row>
    <row r="818" spans="6:12" ht="15.75" customHeight="1" x14ac:dyDescent="0.2">
      <c r="F818" s="114"/>
      <c r="L818" s="114"/>
    </row>
    <row r="819" spans="6:12" ht="15.75" customHeight="1" x14ac:dyDescent="0.2">
      <c r="F819" s="114"/>
      <c r="L819" s="114"/>
    </row>
    <row r="820" spans="6:12" ht="15.75" customHeight="1" x14ac:dyDescent="0.2">
      <c r="F820" s="114"/>
      <c r="L820" s="114"/>
    </row>
    <row r="821" spans="6:12" ht="15.75" customHeight="1" x14ac:dyDescent="0.2">
      <c r="F821" s="114"/>
      <c r="L821" s="114"/>
    </row>
    <row r="822" spans="6:12" ht="15.75" customHeight="1" x14ac:dyDescent="0.2">
      <c r="F822" s="114"/>
      <c r="L822" s="114"/>
    </row>
    <row r="823" spans="6:12" ht="15.75" customHeight="1" x14ac:dyDescent="0.2">
      <c r="F823" s="114"/>
      <c r="L823" s="114"/>
    </row>
    <row r="824" spans="6:12" ht="15.75" customHeight="1" x14ac:dyDescent="0.2">
      <c r="F824" s="114"/>
      <c r="L824" s="114"/>
    </row>
    <row r="825" spans="6:12" ht="15.75" customHeight="1" x14ac:dyDescent="0.2">
      <c r="F825" s="114"/>
      <c r="L825" s="114"/>
    </row>
    <row r="826" spans="6:12" ht="15.75" customHeight="1" x14ac:dyDescent="0.2">
      <c r="F826" s="114"/>
      <c r="L826" s="114"/>
    </row>
    <row r="827" spans="6:12" ht="15.75" customHeight="1" x14ac:dyDescent="0.2">
      <c r="F827" s="114"/>
      <c r="L827" s="114"/>
    </row>
    <row r="828" spans="6:12" ht="15.75" customHeight="1" x14ac:dyDescent="0.2">
      <c r="F828" s="114"/>
      <c r="L828" s="114"/>
    </row>
    <row r="829" spans="6:12" ht="15.75" customHeight="1" x14ac:dyDescent="0.2">
      <c r="F829" s="114"/>
      <c r="L829" s="114"/>
    </row>
    <row r="830" spans="6:12" ht="15.75" customHeight="1" x14ac:dyDescent="0.2">
      <c r="F830" s="114"/>
      <c r="L830" s="114"/>
    </row>
    <row r="831" spans="6:12" ht="15.75" customHeight="1" x14ac:dyDescent="0.2">
      <c r="F831" s="114"/>
      <c r="L831" s="114"/>
    </row>
    <row r="832" spans="6:12" ht="15.75" customHeight="1" x14ac:dyDescent="0.2">
      <c r="F832" s="114"/>
      <c r="L832" s="114"/>
    </row>
    <row r="833" spans="6:12" ht="15.75" customHeight="1" x14ac:dyDescent="0.2">
      <c r="F833" s="114"/>
      <c r="L833" s="114"/>
    </row>
    <row r="834" spans="6:12" ht="15.75" customHeight="1" x14ac:dyDescent="0.2">
      <c r="F834" s="114"/>
      <c r="L834" s="114"/>
    </row>
    <row r="835" spans="6:12" ht="15.75" customHeight="1" x14ac:dyDescent="0.2">
      <c r="F835" s="114"/>
      <c r="L835" s="114"/>
    </row>
    <row r="836" spans="6:12" ht="15.75" customHeight="1" x14ac:dyDescent="0.2">
      <c r="F836" s="114"/>
      <c r="L836" s="114"/>
    </row>
    <row r="837" spans="6:12" ht="15.75" customHeight="1" x14ac:dyDescent="0.2">
      <c r="F837" s="114"/>
      <c r="L837" s="114"/>
    </row>
    <row r="838" spans="6:12" ht="15.75" customHeight="1" x14ac:dyDescent="0.2">
      <c r="F838" s="114"/>
      <c r="L838" s="114"/>
    </row>
    <row r="839" spans="6:12" ht="15.75" customHeight="1" x14ac:dyDescent="0.2">
      <c r="F839" s="114"/>
      <c r="L839" s="114"/>
    </row>
    <row r="840" spans="6:12" ht="15.75" customHeight="1" x14ac:dyDescent="0.2">
      <c r="F840" s="114"/>
      <c r="L840" s="114"/>
    </row>
    <row r="841" spans="6:12" ht="15.75" customHeight="1" x14ac:dyDescent="0.2">
      <c r="F841" s="114"/>
      <c r="L841" s="114"/>
    </row>
    <row r="842" spans="6:12" ht="15.75" customHeight="1" x14ac:dyDescent="0.2">
      <c r="F842" s="114"/>
      <c r="L842" s="114"/>
    </row>
    <row r="843" spans="6:12" ht="15.75" customHeight="1" x14ac:dyDescent="0.2">
      <c r="F843" s="114"/>
      <c r="L843" s="114"/>
    </row>
    <row r="844" spans="6:12" ht="15.75" customHeight="1" x14ac:dyDescent="0.2">
      <c r="F844" s="114"/>
      <c r="L844" s="114"/>
    </row>
    <row r="845" spans="6:12" ht="15.75" customHeight="1" x14ac:dyDescent="0.2">
      <c r="F845" s="114"/>
      <c r="L845" s="114"/>
    </row>
    <row r="846" spans="6:12" ht="15.75" customHeight="1" x14ac:dyDescent="0.2">
      <c r="F846" s="114"/>
      <c r="L846" s="114"/>
    </row>
    <row r="847" spans="6:12" ht="15.75" customHeight="1" x14ac:dyDescent="0.2">
      <c r="F847" s="114"/>
      <c r="L847" s="114"/>
    </row>
    <row r="848" spans="6:12" ht="15.75" customHeight="1" x14ac:dyDescent="0.2">
      <c r="F848" s="114"/>
      <c r="L848" s="114"/>
    </row>
    <row r="849" spans="6:12" ht="15.75" customHeight="1" x14ac:dyDescent="0.2">
      <c r="F849" s="114"/>
      <c r="L849" s="114"/>
    </row>
    <row r="850" spans="6:12" ht="15.75" customHeight="1" x14ac:dyDescent="0.2">
      <c r="F850" s="114"/>
      <c r="L850" s="114"/>
    </row>
    <row r="851" spans="6:12" ht="15.75" customHeight="1" x14ac:dyDescent="0.2">
      <c r="F851" s="114"/>
      <c r="L851" s="114"/>
    </row>
    <row r="852" spans="6:12" ht="15.75" customHeight="1" x14ac:dyDescent="0.2">
      <c r="F852" s="114"/>
      <c r="L852" s="114"/>
    </row>
    <row r="853" spans="6:12" ht="15.75" customHeight="1" x14ac:dyDescent="0.2">
      <c r="F853" s="114"/>
      <c r="L853" s="114"/>
    </row>
    <row r="854" spans="6:12" ht="15.75" customHeight="1" x14ac:dyDescent="0.2">
      <c r="F854" s="114"/>
      <c r="L854" s="114"/>
    </row>
    <row r="855" spans="6:12" ht="15.75" customHeight="1" x14ac:dyDescent="0.2">
      <c r="F855" s="114"/>
      <c r="L855" s="114"/>
    </row>
    <row r="856" spans="6:12" ht="15.75" customHeight="1" x14ac:dyDescent="0.2">
      <c r="F856" s="114"/>
      <c r="L856" s="114"/>
    </row>
    <row r="857" spans="6:12" ht="15.75" customHeight="1" x14ac:dyDescent="0.2">
      <c r="F857" s="114"/>
      <c r="L857" s="114"/>
    </row>
    <row r="858" spans="6:12" ht="15.75" customHeight="1" x14ac:dyDescent="0.2">
      <c r="F858" s="114"/>
      <c r="L858" s="114"/>
    </row>
    <row r="859" spans="6:12" ht="15.75" customHeight="1" x14ac:dyDescent="0.2">
      <c r="F859" s="114"/>
      <c r="L859" s="114"/>
    </row>
    <row r="860" spans="6:12" ht="15.75" customHeight="1" x14ac:dyDescent="0.2">
      <c r="F860" s="114"/>
      <c r="L860" s="114"/>
    </row>
    <row r="861" spans="6:12" ht="15.75" customHeight="1" x14ac:dyDescent="0.2">
      <c r="F861" s="114"/>
      <c r="L861" s="114"/>
    </row>
    <row r="862" spans="6:12" ht="15.75" customHeight="1" x14ac:dyDescent="0.2">
      <c r="F862" s="114"/>
      <c r="L862" s="114"/>
    </row>
    <row r="863" spans="6:12" ht="15.75" customHeight="1" x14ac:dyDescent="0.2">
      <c r="F863" s="114"/>
      <c r="L863" s="114"/>
    </row>
    <row r="864" spans="6:12" ht="15.75" customHeight="1" x14ac:dyDescent="0.2">
      <c r="F864" s="114"/>
      <c r="L864" s="114"/>
    </row>
    <row r="865" spans="6:12" ht="15.75" customHeight="1" x14ac:dyDescent="0.2">
      <c r="F865" s="114"/>
      <c r="L865" s="114"/>
    </row>
    <row r="866" spans="6:12" ht="15.75" customHeight="1" x14ac:dyDescent="0.2">
      <c r="F866" s="114"/>
      <c r="L866" s="114"/>
    </row>
    <row r="867" spans="6:12" ht="15.75" customHeight="1" x14ac:dyDescent="0.2">
      <c r="F867" s="114"/>
      <c r="L867" s="114"/>
    </row>
    <row r="868" spans="6:12" ht="15.75" customHeight="1" x14ac:dyDescent="0.2">
      <c r="F868" s="114"/>
      <c r="L868" s="114"/>
    </row>
    <row r="869" spans="6:12" ht="15.75" customHeight="1" x14ac:dyDescent="0.2">
      <c r="F869" s="114"/>
      <c r="L869" s="114"/>
    </row>
    <row r="870" spans="6:12" ht="15.75" customHeight="1" x14ac:dyDescent="0.2">
      <c r="F870" s="114"/>
      <c r="L870" s="114"/>
    </row>
    <row r="871" spans="6:12" ht="15.75" customHeight="1" x14ac:dyDescent="0.2">
      <c r="F871" s="114"/>
      <c r="L871" s="114"/>
    </row>
    <row r="872" spans="6:12" ht="15.75" customHeight="1" x14ac:dyDescent="0.2">
      <c r="F872" s="114"/>
      <c r="L872" s="114"/>
    </row>
    <row r="873" spans="6:12" ht="15.75" customHeight="1" x14ac:dyDescent="0.2">
      <c r="F873" s="114"/>
      <c r="L873" s="114"/>
    </row>
    <row r="874" spans="6:12" ht="15.75" customHeight="1" x14ac:dyDescent="0.2">
      <c r="F874" s="114"/>
      <c r="L874" s="114"/>
    </row>
    <row r="875" spans="6:12" ht="15.75" customHeight="1" x14ac:dyDescent="0.2">
      <c r="F875" s="114"/>
      <c r="L875" s="114"/>
    </row>
    <row r="876" spans="6:12" ht="15.75" customHeight="1" x14ac:dyDescent="0.2">
      <c r="F876" s="114"/>
      <c r="L876" s="114"/>
    </row>
    <row r="877" spans="6:12" ht="15.75" customHeight="1" x14ac:dyDescent="0.2">
      <c r="F877" s="114"/>
      <c r="L877" s="114"/>
    </row>
    <row r="878" spans="6:12" ht="15.75" customHeight="1" x14ac:dyDescent="0.2">
      <c r="F878" s="114"/>
      <c r="L878" s="114"/>
    </row>
    <row r="879" spans="6:12" ht="15.75" customHeight="1" x14ac:dyDescent="0.2">
      <c r="F879" s="114"/>
      <c r="L879" s="114"/>
    </row>
    <row r="880" spans="6:12" ht="15.75" customHeight="1" x14ac:dyDescent="0.2">
      <c r="F880" s="114"/>
      <c r="L880" s="114"/>
    </row>
    <row r="881" spans="6:12" ht="15.75" customHeight="1" x14ac:dyDescent="0.2">
      <c r="F881" s="114"/>
      <c r="L881" s="114"/>
    </row>
    <row r="882" spans="6:12" ht="15.75" customHeight="1" x14ac:dyDescent="0.2">
      <c r="F882" s="114"/>
      <c r="L882" s="114"/>
    </row>
    <row r="883" spans="6:12" ht="15.75" customHeight="1" x14ac:dyDescent="0.2">
      <c r="F883" s="114"/>
      <c r="L883" s="114"/>
    </row>
    <row r="884" spans="6:12" ht="15.75" customHeight="1" x14ac:dyDescent="0.2">
      <c r="F884" s="114"/>
      <c r="L884" s="114"/>
    </row>
    <row r="885" spans="6:12" ht="15.75" customHeight="1" x14ac:dyDescent="0.2">
      <c r="F885" s="114"/>
      <c r="L885" s="114"/>
    </row>
    <row r="886" spans="6:12" ht="15.75" customHeight="1" x14ac:dyDescent="0.2">
      <c r="F886" s="114"/>
      <c r="L886" s="114"/>
    </row>
    <row r="887" spans="6:12" ht="15.75" customHeight="1" x14ac:dyDescent="0.2">
      <c r="F887" s="114"/>
      <c r="L887" s="114"/>
    </row>
    <row r="888" spans="6:12" ht="15.75" customHeight="1" x14ac:dyDescent="0.2">
      <c r="F888" s="114"/>
      <c r="L888" s="114"/>
    </row>
    <row r="889" spans="6:12" ht="15.75" customHeight="1" x14ac:dyDescent="0.2">
      <c r="F889" s="114"/>
      <c r="L889" s="114"/>
    </row>
    <row r="890" spans="6:12" ht="15.75" customHeight="1" x14ac:dyDescent="0.2">
      <c r="F890" s="114"/>
      <c r="L890" s="114"/>
    </row>
    <row r="891" spans="6:12" ht="15.75" customHeight="1" x14ac:dyDescent="0.2">
      <c r="F891" s="114"/>
      <c r="L891" s="114"/>
    </row>
    <row r="892" spans="6:12" ht="15.75" customHeight="1" x14ac:dyDescent="0.2">
      <c r="F892" s="114"/>
      <c r="L892" s="114"/>
    </row>
    <row r="893" spans="6:12" ht="15.75" customHeight="1" x14ac:dyDescent="0.2">
      <c r="F893" s="114"/>
      <c r="L893" s="114"/>
    </row>
    <row r="894" spans="6:12" ht="15.75" customHeight="1" x14ac:dyDescent="0.2">
      <c r="F894" s="114"/>
      <c r="L894" s="114"/>
    </row>
    <row r="895" spans="6:12" ht="15.75" customHeight="1" x14ac:dyDescent="0.2">
      <c r="F895" s="114"/>
      <c r="L895" s="114"/>
    </row>
    <row r="896" spans="6:12" ht="15.75" customHeight="1" x14ac:dyDescent="0.2">
      <c r="F896" s="114"/>
      <c r="L896" s="114"/>
    </row>
    <row r="897" spans="6:12" ht="15.75" customHeight="1" x14ac:dyDescent="0.2">
      <c r="F897" s="114"/>
      <c r="L897" s="114"/>
    </row>
    <row r="898" spans="6:12" ht="15.75" customHeight="1" x14ac:dyDescent="0.2">
      <c r="F898" s="114"/>
      <c r="L898" s="114"/>
    </row>
    <row r="899" spans="6:12" ht="15.75" customHeight="1" x14ac:dyDescent="0.2">
      <c r="F899" s="114"/>
      <c r="L899" s="114"/>
    </row>
    <row r="900" spans="6:12" ht="15.75" customHeight="1" x14ac:dyDescent="0.2">
      <c r="F900" s="114"/>
      <c r="L900" s="114"/>
    </row>
    <row r="901" spans="6:12" ht="15.75" customHeight="1" x14ac:dyDescent="0.2">
      <c r="F901" s="114"/>
      <c r="L901" s="114"/>
    </row>
    <row r="902" spans="6:12" ht="15.75" customHeight="1" x14ac:dyDescent="0.2">
      <c r="F902" s="114"/>
      <c r="L902" s="114"/>
    </row>
    <row r="903" spans="6:12" ht="15.75" customHeight="1" x14ac:dyDescent="0.2">
      <c r="F903" s="114"/>
      <c r="L903" s="114"/>
    </row>
    <row r="904" spans="6:12" ht="15.75" customHeight="1" x14ac:dyDescent="0.2">
      <c r="F904" s="114"/>
      <c r="L904" s="114"/>
    </row>
    <row r="905" spans="6:12" ht="15.75" customHeight="1" x14ac:dyDescent="0.2">
      <c r="F905" s="114"/>
      <c r="L905" s="114"/>
    </row>
    <row r="906" spans="6:12" ht="15.75" customHeight="1" x14ac:dyDescent="0.2">
      <c r="F906" s="114"/>
      <c r="L906" s="114"/>
    </row>
    <row r="907" spans="6:12" ht="15.75" customHeight="1" x14ac:dyDescent="0.2">
      <c r="F907" s="114"/>
      <c r="L907" s="114"/>
    </row>
    <row r="908" spans="6:12" ht="15.75" customHeight="1" x14ac:dyDescent="0.2">
      <c r="F908" s="114"/>
      <c r="L908" s="114"/>
    </row>
    <row r="909" spans="6:12" ht="15.75" customHeight="1" x14ac:dyDescent="0.2">
      <c r="F909" s="114"/>
      <c r="L909" s="114"/>
    </row>
    <row r="910" spans="6:12" ht="15.75" customHeight="1" x14ac:dyDescent="0.2">
      <c r="F910" s="114"/>
      <c r="L910" s="114"/>
    </row>
    <row r="911" spans="6:12" ht="15.75" customHeight="1" x14ac:dyDescent="0.2">
      <c r="F911" s="114"/>
      <c r="L911" s="114"/>
    </row>
    <row r="912" spans="6:12" ht="15.75" customHeight="1" x14ac:dyDescent="0.2">
      <c r="F912" s="114"/>
      <c r="L912" s="114"/>
    </row>
    <row r="913" spans="6:12" ht="15.75" customHeight="1" x14ac:dyDescent="0.2">
      <c r="F913" s="114"/>
      <c r="L913" s="114"/>
    </row>
    <row r="914" spans="6:12" ht="15.75" customHeight="1" x14ac:dyDescent="0.2">
      <c r="F914" s="114"/>
      <c r="L914" s="114"/>
    </row>
    <row r="915" spans="6:12" ht="15.75" customHeight="1" x14ac:dyDescent="0.2">
      <c r="F915" s="114"/>
      <c r="L915" s="114"/>
    </row>
    <row r="916" spans="6:12" ht="15.75" customHeight="1" x14ac:dyDescent="0.2">
      <c r="F916" s="114"/>
      <c r="L916" s="114"/>
    </row>
    <row r="917" spans="6:12" ht="15.75" customHeight="1" x14ac:dyDescent="0.2">
      <c r="F917" s="114"/>
      <c r="L917" s="114"/>
    </row>
    <row r="918" spans="6:12" ht="15.75" customHeight="1" x14ac:dyDescent="0.2">
      <c r="F918" s="114"/>
      <c r="L918" s="114"/>
    </row>
    <row r="919" spans="6:12" ht="15.75" customHeight="1" x14ac:dyDescent="0.2">
      <c r="F919" s="114"/>
      <c r="L919" s="114"/>
    </row>
    <row r="920" spans="6:12" ht="15.75" customHeight="1" x14ac:dyDescent="0.2">
      <c r="F920" s="114"/>
      <c r="L920" s="114"/>
    </row>
    <row r="921" spans="6:12" ht="15.75" customHeight="1" x14ac:dyDescent="0.2">
      <c r="F921" s="114"/>
      <c r="L921" s="114"/>
    </row>
    <row r="922" spans="6:12" ht="15.75" customHeight="1" x14ac:dyDescent="0.2">
      <c r="F922" s="114"/>
      <c r="L922" s="114"/>
    </row>
    <row r="923" spans="6:12" ht="15.75" customHeight="1" x14ac:dyDescent="0.2">
      <c r="F923" s="114"/>
      <c r="L923" s="114"/>
    </row>
    <row r="924" spans="6:12" ht="15.75" customHeight="1" x14ac:dyDescent="0.2">
      <c r="F924" s="114"/>
      <c r="L924" s="114"/>
    </row>
    <row r="925" spans="6:12" ht="15.75" customHeight="1" x14ac:dyDescent="0.2">
      <c r="F925" s="114"/>
      <c r="L925" s="114"/>
    </row>
    <row r="926" spans="6:12" ht="15.75" customHeight="1" x14ac:dyDescent="0.2">
      <c r="F926" s="114"/>
      <c r="L926" s="114"/>
    </row>
    <row r="927" spans="6:12" ht="15.75" customHeight="1" x14ac:dyDescent="0.2">
      <c r="F927" s="114"/>
      <c r="L927" s="114"/>
    </row>
    <row r="928" spans="6:12" ht="15.75" customHeight="1" x14ac:dyDescent="0.2">
      <c r="F928" s="114"/>
      <c r="L928" s="114"/>
    </row>
    <row r="929" spans="6:12" ht="15.75" customHeight="1" x14ac:dyDescent="0.2">
      <c r="F929" s="114"/>
      <c r="L929" s="114"/>
    </row>
    <row r="930" spans="6:12" ht="15.75" customHeight="1" x14ac:dyDescent="0.2">
      <c r="F930" s="114"/>
      <c r="L930" s="114"/>
    </row>
    <row r="931" spans="6:12" ht="15.75" customHeight="1" x14ac:dyDescent="0.2">
      <c r="F931" s="114"/>
      <c r="L931" s="114"/>
    </row>
    <row r="932" spans="6:12" ht="15.75" customHeight="1" x14ac:dyDescent="0.2">
      <c r="F932" s="114"/>
      <c r="L932" s="114"/>
    </row>
    <row r="933" spans="6:12" ht="15.75" customHeight="1" x14ac:dyDescent="0.2">
      <c r="F933" s="114"/>
      <c r="L933" s="114"/>
    </row>
    <row r="934" spans="6:12" ht="15.75" customHeight="1" x14ac:dyDescent="0.2">
      <c r="F934" s="114"/>
      <c r="L934" s="114"/>
    </row>
    <row r="935" spans="6:12" ht="15.75" customHeight="1" x14ac:dyDescent="0.2">
      <c r="F935" s="114"/>
      <c r="L935" s="114"/>
    </row>
    <row r="936" spans="6:12" ht="15.75" customHeight="1" x14ac:dyDescent="0.2">
      <c r="F936" s="114"/>
      <c r="L936" s="114"/>
    </row>
    <row r="937" spans="6:12" ht="15.75" customHeight="1" x14ac:dyDescent="0.2">
      <c r="F937" s="114"/>
      <c r="L937" s="114"/>
    </row>
    <row r="938" spans="6:12" ht="15.75" customHeight="1" x14ac:dyDescent="0.2">
      <c r="F938" s="114"/>
      <c r="L938" s="114"/>
    </row>
    <row r="939" spans="6:12" ht="15.75" customHeight="1" x14ac:dyDescent="0.2">
      <c r="F939" s="114"/>
      <c r="L939" s="114"/>
    </row>
    <row r="940" spans="6:12" ht="15.75" customHeight="1" x14ac:dyDescent="0.2">
      <c r="F940" s="114"/>
      <c r="L940" s="114"/>
    </row>
    <row r="941" spans="6:12" ht="15.75" customHeight="1" x14ac:dyDescent="0.2">
      <c r="F941" s="114"/>
      <c r="L941" s="114"/>
    </row>
    <row r="942" spans="6:12" ht="15.75" customHeight="1" x14ac:dyDescent="0.2">
      <c r="F942" s="114"/>
      <c r="L942" s="114"/>
    </row>
    <row r="943" spans="6:12" ht="15.75" customHeight="1" x14ac:dyDescent="0.2">
      <c r="F943" s="114"/>
      <c r="L943" s="114"/>
    </row>
    <row r="944" spans="6:12" ht="15.75" customHeight="1" x14ac:dyDescent="0.2">
      <c r="F944" s="114"/>
      <c r="L944" s="114"/>
    </row>
    <row r="945" spans="6:12" ht="15.75" customHeight="1" x14ac:dyDescent="0.2">
      <c r="F945" s="114"/>
      <c r="L945" s="114"/>
    </row>
    <row r="946" spans="6:12" ht="15.75" customHeight="1" x14ac:dyDescent="0.2">
      <c r="F946" s="114"/>
      <c r="L946" s="114"/>
    </row>
    <row r="947" spans="6:12" ht="15.75" customHeight="1" x14ac:dyDescent="0.2">
      <c r="F947" s="114"/>
      <c r="L947" s="114"/>
    </row>
    <row r="948" spans="6:12" ht="15.75" customHeight="1" x14ac:dyDescent="0.2">
      <c r="F948" s="114"/>
      <c r="L948" s="114"/>
    </row>
    <row r="949" spans="6:12" ht="15.75" customHeight="1" x14ac:dyDescent="0.2">
      <c r="F949" s="114"/>
      <c r="L949" s="114"/>
    </row>
    <row r="950" spans="6:12" ht="15.75" customHeight="1" x14ac:dyDescent="0.2">
      <c r="F950" s="114"/>
      <c r="L950" s="114"/>
    </row>
    <row r="951" spans="6:12" ht="15.75" customHeight="1" x14ac:dyDescent="0.2">
      <c r="F951" s="114"/>
      <c r="L951" s="114"/>
    </row>
    <row r="952" spans="6:12" ht="15.75" customHeight="1" x14ac:dyDescent="0.2">
      <c r="F952" s="114"/>
      <c r="L952" s="114"/>
    </row>
    <row r="953" spans="6:12" ht="15.75" customHeight="1" x14ac:dyDescent="0.2">
      <c r="F953" s="114"/>
      <c r="L953" s="114"/>
    </row>
    <row r="954" spans="6:12" ht="15.75" customHeight="1" x14ac:dyDescent="0.2">
      <c r="F954" s="114"/>
      <c r="L954" s="114"/>
    </row>
    <row r="955" spans="6:12" ht="15.75" customHeight="1" x14ac:dyDescent="0.2">
      <c r="F955" s="114"/>
      <c r="L955" s="114"/>
    </row>
    <row r="956" spans="6:12" ht="15.75" customHeight="1" x14ac:dyDescent="0.2">
      <c r="F956" s="114"/>
      <c r="L956" s="114"/>
    </row>
    <row r="957" spans="6:12" ht="15.75" customHeight="1" x14ac:dyDescent="0.2">
      <c r="F957" s="114"/>
      <c r="L957" s="114"/>
    </row>
    <row r="958" spans="6:12" ht="15.75" customHeight="1" x14ac:dyDescent="0.2">
      <c r="F958" s="114"/>
      <c r="L958" s="114"/>
    </row>
    <row r="959" spans="6:12" ht="15.75" customHeight="1" x14ac:dyDescent="0.2">
      <c r="F959" s="114"/>
      <c r="L959" s="114"/>
    </row>
    <row r="960" spans="6:12" ht="15.75" customHeight="1" x14ac:dyDescent="0.2">
      <c r="F960" s="114"/>
      <c r="L960" s="114"/>
    </row>
    <row r="961" spans="6:12" ht="15.75" customHeight="1" x14ac:dyDescent="0.2">
      <c r="F961" s="114"/>
      <c r="L961" s="114"/>
    </row>
    <row r="962" spans="6:12" ht="15.75" customHeight="1" x14ac:dyDescent="0.2">
      <c r="F962" s="114"/>
      <c r="L962" s="114"/>
    </row>
    <row r="963" spans="6:12" ht="15.75" customHeight="1" x14ac:dyDescent="0.2">
      <c r="F963" s="114"/>
      <c r="L963" s="114"/>
    </row>
    <row r="964" spans="6:12" ht="15.75" customHeight="1" x14ac:dyDescent="0.2">
      <c r="F964" s="114"/>
      <c r="L964" s="114"/>
    </row>
    <row r="965" spans="6:12" ht="15.75" customHeight="1" x14ac:dyDescent="0.2">
      <c r="F965" s="114"/>
      <c r="L965" s="114"/>
    </row>
    <row r="966" spans="6:12" ht="15.75" customHeight="1" x14ac:dyDescent="0.2">
      <c r="F966" s="114"/>
      <c r="L966" s="114"/>
    </row>
    <row r="967" spans="6:12" ht="15.75" customHeight="1" x14ac:dyDescent="0.2">
      <c r="F967" s="114"/>
      <c r="L967" s="114"/>
    </row>
    <row r="968" spans="6:12" ht="15.75" customHeight="1" x14ac:dyDescent="0.2">
      <c r="F968" s="114"/>
      <c r="L968" s="114"/>
    </row>
    <row r="969" spans="6:12" ht="15.75" customHeight="1" x14ac:dyDescent="0.2">
      <c r="F969" s="114"/>
      <c r="L969" s="114"/>
    </row>
    <row r="970" spans="6:12" ht="15.75" customHeight="1" x14ac:dyDescent="0.2">
      <c r="F970" s="114"/>
      <c r="L970" s="114"/>
    </row>
    <row r="971" spans="6:12" ht="15.75" customHeight="1" x14ac:dyDescent="0.2">
      <c r="F971" s="114"/>
      <c r="L971" s="114"/>
    </row>
    <row r="972" spans="6:12" ht="15.75" customHeight="1" x14ac:dyDescent="0.2">
      <c r="F972" s="114"/>
      <c r="L972" s="114"/>
    </row>
    <row r="973" spans="6:12" ht="15.75" customHeight="1" x14ac:dyDescent="0.2">
      <c r="F973" s="114"/>
      <c r="L973" s="114"/>
    </row>
    <row r="974" spans="6:12" ht="15.75" customHeight="1" x14ac:dyDescent="0.2">
      <c r="F974" s="114"/>
      <c r="L974" s="114"/>
    </row>
    <row r="975" spans="6:12" ht="15.75" customHeight="1" x14ac:dyDescent="0.2">
      <c r="F975" s="114"/>
      <c r="L975" s="114"/>
    </row>
    <row r="976" spans="6:12" ht="15.75" customHeight="1" x14ac:dyDescent="0.2">
      <c r="F976" s="114"/>
      <c r="L976" s="114"/>
    </row>
    <row r="977" spans="6:12" ht="15.75" customHeight="1" x14ac:dyDescent="0.2">
      <c r="F977" s="114"/>
      <c r="L977" s="114"/>
    </row>
    <row r="978" spans="6:12" ht="15.75" customHeight="1" x14ac:dyDescent="0.2">
      <c r="F978" s="114"/>
      <c r="L978" s="114"/>
    </row>
    <row r="979" spans="6:12" ht="15.75" customHeight="1" x14ac:dyDescent="0.2">
      <c r="F979" s="114"/>
      <c r="L979" s="114"/>
    </row>
    <row r="980" spans="6:12" ht="15.75" customHeight="1" x14ac:dyDescent="0.2">
      <c r="F980" s="114"/>
      <c r="L980" s="114"/>
    </row>
    <row r="981" spans="6:12" ht="15.75" customHeight="1" x14ac:dyDescent="0.2">
      <c r="F981" s="114"/>
      <c r="L981" s="114"/>
    </row>
    <row r="982" spans="6:12" ht="15.75" customHeight="1" x14ac:dyDescent="0.2">
      <c r="F982" s="114"/>
      <c r="L982" s="114"/>
    </row>
    <row r="983" spans="6:12" ht="15.75" customHeight="1" x14ac:dyDescent="0.2">
      <c r="F983" s="114"/>
      <c r="L983" s="114"/>
    </row>
    <row r="984" spans="6:12" ht="15.75" customHeight="1" x14ac:dyDescent="0.2">
      <c r="F984" s="114"/>
      <c r="L984" s="114"/>
    </row>
    <row r="985" spans="6:12" ht="15.75" customHeight="1" x14ac:dyDescent="0.2">
      <c r="F985" s="114"/>
      <c r="L985" s="114"/>
    </row>
    <row r="986" spans="6:12" ht="15.75" customHeight="1" x14ac:dyDescent="0.2">
      <c r="F986" s="114"/>
      <c r="L986" s="114"/>
    </row>
  </sheetData>
  <mergeCells count="2">
    <mergeCell ref="D4:I4"/>
    <mergeCell ref="J4:O4"/>
  </mergeCells>
  <pageMargins left="0.7" right="0.7" top="0.75" bottom="0.75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987"/>
  <sheetViews>
    <sheetView workbookViewId="0">
      <pane xSplit="3" ySplit="5" topLeftCell="D122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2.5703125" defaultRowHeight="15" customHeight="1" x14ac:dyDescent="0.2"/>
  <cols>
    <col min="1" max="1" width="11.28515625" customWidth="1"/>
    <col min="2" max="2" width="9.7109375" customWidth="1"/>
    <col min="3" max="3" width="41.42578125" customWidth="1"/>
    <col min="4" max="4" width="13.140625" customWidth="1"/>
    <col min="5" max="5" width="8.28515625" hidden="1" customWidth="1"/>
    <col min="6" max="6" width="16" hidden="1" customWidth="1"/>
    <col min="7" max="7" width="8.28515625" hidden="1" customWidth="1"/>
    <col min="8" max="8" width="11.5703125" hidden="1" customWidth="1"/>
    <col min="9" max="9" width="14.140625" hidden="1" customWidth="1"/>
    <col min="10" max="10" width="16" customWidth="1"/>
    <col min="11" max="11" width="8.28515625" hidden="1" customWidth="1"/>
    <col min="12" max="12" width="16" hidden="1" customWidth="1"/>
    <col min="13" max="13" width="8.28515625" hidden="1" customWidth="1"/>
    <col min="14" max="14" width="13.140625" hidden="1" customWidth="1"/>
    <col min="15" max="15" width="9.5703125" hidden="1" customWidth="1"/>
    <col min="16" max="29" width="12.5703125" customWidth="1"/>
  </cols>
  <sheetData>
    <row r="1" spans="1:29" ht="15.75" customHeight="1" x14ac:dyDescent="0.25">
      <c r="A1" s="245"/>
      <c r="B1" s="245" t="s">
        <v>0</v>
      </c>
      <c r="C1" s="244"/>
      <c r="D1" s="244"/>
      <c r="E1" s="535"/>
      <c r="F1" s="303"/>
      <c r="G1" s="244"/>
      <c r="H1" s="303"/>
      <c r="I1" s="244"/>
      <c r="J1" s="244"/>
      <c r="K1" s="535"/>
      <c r="L1" s="303"/>
      <c r="M1" s="244"/>
      <c r="N1" s="303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</row>
    <row r="2" spans="1:29" ht="15.75" customHeight="1" x14ac:dyDescent="0.25">
      <c r="A2" s="244"/>
      <c r="B2" s="246" t="s">
        <v>312</v>
      </c>
      <c r="C2" s="244"/>
      <c r="D2" s="244"/>
      <c r="E2" s="244"/>
      <c r="F2" s="303"/>
      <c r="G2" s="244"/>
      <c r="H2" s="303"/>
      <c r="I2" s="244"/>
      <c r="J2" s="244"/>
      <c r="K2" s="244"/>
      <c r="L2" s="303"/>
      <c r="M2" s="244"/>
      <c r="N2" s="303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</row>
    <row r="3" spans="1:29" ht="15.75" customHeight="1" x14ac:dyDescent="0.25">
      <c r="A3" s="244"/>
      <c r="B3" s="244"/>
      <c r="C3" s="244"/>
      <c r="D3" s="244"/>
      <c r="E3" s="244"/>
      <c r="F3" s="303"/>
      <c r="G3" s="244"/>
      <c r="H3" s="303"/>
      <c r="I3" s="244"/>
      <c r="J3" s="244"/>
      <c r="K3" s="244"/>
      <c r="L3" s="303"/>
      <c r="M3" s="244"/>
      <c r="N3" s="303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</row>
    <row r="4" spans="1:29" ht="15.75" customHeight="1" x14ac:dyDescent="0.25">
      <c r="A4" s="244"/>
      <c r="B4" s="960" t="s">
        <v>167</v>
      </c>
      <c r="C4" s="961" t="s">
        <v>46</v>
      </c>
      <c r="D4" s="962" t="s">
        <v>168</v>
      </c>
      <c r="E4" s="930"/>
      <c r="F4" s="930"/>
      <c r="G4" s="930"/>
      <c r="H4" s="930"/>
      <c r="I4" s="931"/>
      <c r="J4" s="962" t="s">
        <v>169</v>
      </c>
      <c r="K4" s="930"/>
      <c r="L4" s="930"/>
      <c r="M4" s="930"/>
      <c r="N4" s="930"/>
      <c r="O4" s="931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5"/>
    </row>
    <row r="5" spans="1:29" ht="15.75" customHeight="1" x14ac:dyDescent="0.2">
      <c r="A5" s="306"/>
      <c r="B5" s="957"/>
      <c r="C5" s="959"/>
      <c r="D5" s="545" t="s">
        <v>170</v>
      </c>
      <c r="E5" s="546" t="s">
        <v>18</v>
      </c>
      <c r="F5" s="547" t="s">
        <v>171</v>
      </c>
      <c r="G5" s="546" t="s">
        <v>18</v>
      </c>
      <c r="H5" s="547" t="s">
        <v>172</v>
      </c>
      <c r="I5" s="548" t="s">
        <v>260</v>
      </c>
      <c r="J5" s="545" t="s">
        <v>170</v>
      </c>
      <c r="K5" s="546" t="s">
        <v>18</v>
      </c>
      <c r="L5" s="547" t="s">
        <v>171</v>
      </c>
      <c r="M5" s="546" t="s">
        <v>18</v>
      </c>
      <c r="N5" s="547" t="s">
        <v>172</v>
      </c>
      <c r="O5" s="548" t="s">
        <v>260</v>
      </c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</row>
    <row r="6" spans="1:29" ht="15.75" hidden="1" customHeight="1" x14ac:dyDescent="0.25">
      <c r="A6" s="244"/>
      <c r="B6" s="324"/>
      <c r="C6" s="393" t="s">
        <v>78</v>
      </c>
      <c r="D6" s="466">
        <v>7363</v>
      </c>
      <c r="E6" s="372"/>
      <c r="F6" s="327"/>
      <c r="G6" s="372"/>
      <c r="H6" s="327"/>
      <c r="I6" s="373"/>
      <c r="J6" s="466">
        <v>7363</v>
      </c>
      <c r="K6" s="372"/>
      <c r="L6" s="327"/>
      <c r="M6" s="372"/>
      <c r="N6" s="327"/>
      <c r="O6" s="373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</row>
    <row r="7" spans="1:29" ht="15.75" hidden="1" customHeight="1" x14ac:dyDescent="0.25">
      <c r="A7" s="244"/>
      <c r="B7" s="270"/>
      <c r="C7" s="339" t="s">
        <v>85</v>
      </c>
      <c r="D7" s="467">
        <v>2241</v>
      </c>
      <c r="E7" s="313"/>
      <c r="F7" s="296"/>
      <c r="G7" s="313"/>
      <c r="H7" s="296"/>
      <c r="I7" s="271"/>
      <c r="J7" s="467">
        <v>2241</v>
      </c>
      <c r="K7" s="313"/>
      <c r="L7" s="296"/>
      <c r="M7" s="313"/>
      <c r="N7" s="296"/>
      <c r="O7" s="271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</row>
    <row r="8" spans="1:29" ht="15.75" hidden="1" customHeight="1" x14ac:dyDescent="0.25">
      <c r="A8" s="244"/>
      <c r="B8" s="270"/>
      <c r="C8" s="339" t="s">
        <v>92</v>
      </c>
      <c r="D8" s="467">
        <f>D16+D24+D25+D28</f>
        <v>12441648</v>
      </c>
      <c r="E8" s="313"/>
      <c r="F8" s="296"/>
      <c r="G8" s="313"/>
      <c r="H8" s="296"/>
      <c r="I8" s="271"/>
      <c r="J8" s="467">
        <f>J16+J24+J25+J28</f>
        <v>12245518</v>
      </c>
      <c r="K8" s="313"/>
      <c r="L8" s="296"/>
      <c r="M8" s="313"/>
      <c r="N8" s="296"/>
      <c r="O8" s="271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</row>
    <row r="9" spans="1:29" ht="15.75" hidden="1" customHeight="1" x14ac:dyDescent="0.25">
      <c r="A9" s="244"/>
      <c r="B9" s="270"/>
      <c r="C9" s="339" t="s">
        <v>99</v>
      </c>
      <c r="D9" s="467">
        <f>D17+D19+D20+D21</f>
        <v>4904513.2500000009</v>
      </c>
      <c r="E9" s="313"/>
      <c r="F9" s="296"/>
      <c r="G9" s="313"/>
      <c r="H9" s="296"/>
      <c r="I9" s="271"/>
      <c r="J9" s="467">
        <f>J17+J19+J20+J21</f>
        <v>4613598</v>
      </c>
      <c r="K9" s="313"/>
      <c r="L9" s="296"/>
      <c r="M9" s="313"/>
      <c r="N9" s="296"/>
      <c r="O9" s="271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</row>
    <row r="10" spans="1:29" ht="15.75" hidden="1" customHeight="1" x14ac:dyDescent="0.25">
      <c r="A10" s="244"/>
      <c r="B10" s="270"/>
      <c r="C10" s="339" t="s">
        <v>106</v>
      </c>
      <c r="D10" s="467">
        <f>SUM(D8:D9)-D29</f>
        <v>0</v>
      </c>
      <c r="E10" s="313"/>
      <c r="F10" s="296"/>
      <c r="G10" s="313"/>
      <c r="H10" s="296"/>
      <c r="I10" s="271"/>
      <c r="J10" s="467">
        <f>SUM(J8:J9)-J29</f>
        <v>-27462</v>
      </c>
      <c r="K10" s="313"/>
      <c r="L10" s="296"/>
      <c r="M10" s="313"/>
      <c r="N10" s="296"/>
      <c r="O10" s="271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</row>
    <row r="11" spans="1:29" ht="15.75" hidden="1" customHeight="1" x14ac:dyDescent="0.25">
      <c r="A11" s="244"/>
      <c r="B11" s="270"/>
      <c r="C11" s="339" t="s">
        <v>113</v>
      </c>
      <c r="D11" s="467">
        <f t="shared" ref="D11:D12" si="0">D8/D6</f>
        <v>1689.7525465163656</v>
      </c>
      <c r="E11" s="313"/>
      <c r="F11" s="296"/>
      <c r="G11" s="313"/>
      <c r="H11" s="296"/>
      <c r="I11" s="271"/>
      <c r="J11" s="467">
        <f t="shared" ref="J11:J12" si="1">J8/J6</f>
        <v>1663.1153062610349</v>
      </c>
      <c r="K11" s="313"/>
      <c r="L11" s="296"/>
      <c r="M11" s="313"/>
      <c r="N11" s="296"/>
      <c r="O11" s="271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</row>
    <row r="12" spans="1:29" ht="15.75" hidden="1" customHeight="1" x14ac:dyDescent="0.25">
      <c r="A12" s="244"/>
      <c r="B12" s="270"/>
      <c r="C12" s="339" t="s">
        <v>120</v>
      </c>
      <c r="D12" s="467">
        <f t="shared" si="0"/>
        <v>2188.5378179384206</v>
      </c>
      <c r="E12" s="313"/>
      <c r="F12" s="296"/>
      <c r="G12" s="313"/>
      <c r="H12" s="296"/>
      <c r="I12" s="271"/>
      <c r="J12" s="467">
        <f t="shared" si="1"/>
        <v>2058.7228915662649</v>
      </c>
      <c r="K12" s="313"/>
      <c r="L12" s="296"/>
      <c r="M12" s="313"/>
      <c r="N12" s="296"/>
      <c r="O12" s="271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</row>
    <row r="13" spans="1:29" ht="15.75" hidden="1" customHeight="1" x14ac:dyDescent="0.25">
      <c r="A13" s="244"/>
      <c r="B13" s="270"/>
      <c r="C13" s="339"/>
      <c r="D13" s="467"/>
      <c r="E13" s="186"/>
      <c r="F13" s="296"/>
      <c r="G13" s="332"/>
      <c r="H13" s="296"/>
      <c r="I13" s="339"/>
      <c r="J13" s="467"/>
      <c r="K13" s="186"/>
      <c r="L13" s="296"/>
      <c r="M13" s="332"/>
      <c r="N13" s="296"/>
      <c r="O13" s="339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</row>
    <row r="14" spans="1:29" ht="15.75" hidden="1" customHeight="1" x14ac:dyDescent="0.25">
      <c r="A14" s="244"/>
      <c r="B14" s="270"/>
      <c r="C14" s="339"/>
      <c r="D14" s="467"/>
      <c r="E14" s="186"/>
      <c r="F14" s="296"/>
      <c r="G14" s="332"/>
      <c r="H14" s="296"/>
      <c r="I14" s="339"/>
      <c r="J14" s="467"/>
      <c r="K14" s="186"/>
      <c r="L14" s="296"/>
      <c r="M14" s="332"/>
      <c r="N14" s="296"/>
      <c r="O14" s="339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</row>
    <row r="15" spans="1:29" ht="15.75" customHeight="1" x14ac:dyDescent="0.25">
      <c r="A15" s="244"/>
      <c r="B15" s="549" t="s">
        <v>173</v>
      </c>
      <c r="C15" s="525" t="s">
        <v>294</v>
      </c>
      <c r="D15" s="526">
        <f>SUM(D16:D21)</f>
        <v>12642063.25</v>
      </c>
      <c r="E15" s="527"/>
      <c r="F15" s="528">
        <f>SUM(F16:F21)</f>
        <v>0</v>
      </c>
      <c r="G15" s="527"/>
      <c r="H15" s="296"/>
      <c r="I15" s="271"/>
      <c r="J15" s="526">
        <f>SUM(J16:J21)</f>
        <v>13102274</v>
      </c>
      <c r="K15" s="527"/>
      <c r="L15" s="528">
        <f>SUM(L16:L21)</f>
        <v>0</v>
      </c>
      <c r="M15" s="527"/>
      <c r="N15" s="296"/>
      <c r="O15" s="271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</row>
    <row r="16" spans="1:29" ht="15.75" customHeight="1" x14ac:dyDescent="0.25">
      <c r="A16" s="244"/>
      <c r="B16" s="270"/>
      <c r="C16" s="339" t="s">
        <v>175</v>
      </c>
      <c r="D16" s="467">
        <v>7737550</v>
      </c>
      <c r="E16" s="332" t="e">
        <f t="shared" ref="E16:E18" si="2">D16/#REF!</f>
        <v>#REF!</v>
      </c>
      <c r="F16" s="296"/>
      <c r="G16" s="332" t="e">
        <f t="shared" ref="G16:G21" si="3">F16/#REF!</f>
        <v>#REF!</v>
      </c>
      <c r="H16" s="296">
        <f>D16-F16</f>
        <v>7737550</v>
      </c>
      <c r="I16" s="343" t="str">
        <f t="shared" ref="I16:I22" si="4">IFERROR(H16/F16,"")</f>
        <v/>
      </c>
      <c r="J16" s="467">
        <v>8488676</v>
      </c>
      <c r="K16" s="332" t="e">
        <f t="shared" ref="K16:K21" si="5">J16/#REF!</f>
        <v>#REF!</v>
      </c>
      <c r="L16" s="296"/>
      <c r="M16" s="332" t="e">
        <f t="shared" ref="M16:M21" si="6">L16/#REF!</f>
        <v>#REF!</v>
      </c>
      <c r="N16" s="296">
        <f>J16-L16</f>
        <v>8488676</v>
      </c>
      <c r="O16" s="343" t="str">
        <f t="shared" ref="O16:O22" si="7">IFERROR(N16/L16,"")</f>
        <v/>
      </c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</row>
    <row r="17" spans="1:29" ht="15.75" customHeight="1" x14ac:dyDescent="0.25">
      <c r="A17" s="244"/>
      <c r="B17" s="331"/>
      <c r="C17" s="339" t="s">
        <v>176</v>
      </c>
      <c r="D17" s="467">
        <f>259488+2302715+1539499+220514+69929</f>
        <v>4392145</v>
      </c>
      <c r="E17" s="332" t="e">
        <f t="shared" si="2"/>
        <v>#REF!</v>
      </c>
      <c r="F17" s="296"/>
      <c r="G17" s="332" t="e">
        <f t="shared" si="3"/>
        <v>#REF!</v>
      </c>
      <c r="H17" s="296">
        <f>D17-SUM(F17:F18)</f>
        <v>4392145</v>
      </c>
      <c r="I17" s="343" t="str">
        <f t="shared" si="4"/>
        <v/>
      </c>
      <c r="J17" s="467">
        <f>4190976+304453</f>
        <v>4495429</v>
      </c>
      <c r="K17" s="332" t="e">
        <f t="shared" si="5"/>
        <v>#REF!</v>
      </c>
      <c r="L17" s="296"/>
      <c r="M17" s="332" t="e">
        <f t="shared" si="6"/>
        <v>#REF!</v>
      </c>
      <c r="N17" s="296">
        <f>J17-SUM(L17:L18)</f>
        <v>4495429</v>
      </c>
      <c r="O17" s="343" t="str">
        <f t="shared" si="7"/>
        <v/>
      </c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</row>
    <row r="18" spans="1:29" ht="15.75" customHeight="1" x14ac:dyDescent="0.25">
      <c r="A18" s="244"/>
      <c r="B18" s="331"/>
      <c r="C18" s="339" t="s">
        <v>261</v>
      </c>
      <c r="D18" s="467"/>
      <c r="E18" s="467" t="e">
        <f t="shared" si="2"/>
        <v>#REF!</v>
      </c>
      <c r="F18" s="467"/>
      <c r="G18" s="467" t="e">
        <f t="shared" si="3"/>
        <v>#REF!</v>
      </c>
      <c r="H18" s="467"/>
      <c r="I18" s="467" t="str">
        <f t="shared" si="4"/>
        <v/>
      </c>
      <c r="J18" s="467"/>
      <c r="K18" s="332" t="e">
        <f t="shared" si="5"/>
        <v>#REF!</v>
      </c>
      <c r="L18" s="296"/>
      <c r="M18" s="332" t="e">
        <f t="shared" si="6"/>
        <v>#REF!</v>
      </c>
      <c r="N18" s="296"/>
      <c r="O18" s="343" t="str">
        <f t="shared" si="7"/>
        <v/>
      </c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</row>
    <row r="19" spans="1:29" ht="15.75" customHeight="1" x14ac:dyDescent="0.25">
      <c r="A19" s="244"/>
      <c r="B19" s="331"/>
      <c r="C19" s="339" t="s">
        <v>177</v>
      </c>
      <c r="D19" s="467">
        <f>290443.45</f>
        <v>290443.45</v>
      </c>
      <c r="E19" s="467">
        <v>118169</v>
      </c>
      <c r="F19" s="467"/>
      <c r="G19" s="467" t="e">
        <f t="shared" si="3"/>
        <v>#REF!</v>
      </c>
      <c r="H19" s="467">
        <f t="shared" ref="H19:H21" si="8">D19-F19</f>
        <v>290443.45</v>
      </c>
      <c r="I19" s="467" t="str">
        <f t="shared" si="4"/>
        <v/>
      </c>
      <c r="J19" s="467">
        <v>118169</v>
      </c>
      <c r="K19" s="332" t="e">
        <f t="shared" si="5"/>
        <v>#REF!</v>
      </c>
      <c r="L19" s="296"/>
      <c r="M19" s="332" t="e">
        <f t="shared" si="6"/>
        <v>#REF!</v>
      </c>
      <c r="N19" s="296">
        <f t="shared" ref="N19:N21" si="9">J19-L19</f>
        <v>118169</v>
      </c>
      <c r="O19" s="343" t="str">
        <f t="shared" si="7"/>
        <v/>
      </c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</row>
    <row r="20" spans="1:29" ht="15.75" customHeight="1" x14ac:dyDescent="0.25">
      <c r="A20" s="244"/>
      <c r="B20" s="331"/>
      <c r="C20" s="339" t="s">
        <v>178</v>
      </c>
      <c r="D20" s="467">
        <v>12919.4</v>
      </c>
      <c r="E20" s="332" t="e">
        <f t="shared" ref="E20:E21" si="10">D20/#REF!</f>
        <v>#REF!</v>
      </c>
      <c r="F20" s="296"/>
      <c r="G20" s="332" t="e">
        <f t="shared" si="3"/>
        <v>#REF!</v>
      </c>
      <c r="H20" s="296">
        <f t="shared" si="8"/>
        <v>12919.4</v>
      </c>
      <c r="I20" s="343" t="str">
        <f t="shared" si="4"/>
        <v/>
      </c>
      <c r="J20" s="467"/>
      <c r="K20" s="332" t="e">
        <f t="shared" si="5"/>
        <v>#REF!</v>
      </c>
      <c r="L20" s="296"/>
      <c r="M20" s="332" t="e">
        <f t="shared" si="6"/>
        <v>#REF!</v>
      </c>
      <c r="N20" s="296">
        <f t="shared" si="9"/>
        <v>0</v>
      </c>
      <c r="O20" s="343" t="str">
        <f t="shared" si="7"/>
        <v/>
      </c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</row>
    <row r="21" spans="1:29" ht="15.75" customHeight="1" x14ac:dyDescent="0.25">
      <c r="A21" s="244"/>
      <c r="B21" s="331"/>
      <c r="C21" s="339" t="s">
        <v>179</v>
      </c>
      <c r="D21" s="467">
        <v>209005.40000000002</v>
      </c>
      <c r="E21" s="332" t="e">
        <f t="shared" si="10"/>
        <v>#REF!</v>
      </c>
      <c r="F21" s="296"/>
      <c r="G21" s="332" t="e">
        <f t="shared" si="3"/>
        <v>#REF!</v>
      </c>
      <c r="H21" s="296">
        <f t="shared" si="8"/>
        <v>209005.40000000002</v>
      </c>
      <c r="I21" s="343" t="str">
        <f t="shared" si="4"/>
        <v/>
      </c>
      <c r="J21" s="467"/>
      <c r="K21" s="332" t="e">
        <f t="shared" si="5"/>
        <v>#REF!</v>
      </c>
      <c r="L21" s="296"/>
      <c r="M21" s="332" t="e">
        <f t="shared" si="6"/>
        <v>#REF!</v>
      </c>
      <c r="N21" s="296">
        <f t="shared" si="9"/>
        <v>0</v>
      </c>
      <c r="O21" s="343" t="str">
        <f t="shared" si="7"/>
        <v/>
      </c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</row>
    <row r="22" spans="1:29" ht="15.75" customHeight="1" x14ac:dyDescent="0.25">
      <c r="A22" s="244"/>
      <c r="B22" s="331"/>
      <c r="C22" s="339" t="s">
        <v>263</v>
      </c>
      <c r="D22" s="467"/>
      <c r="E22" s="332"/>
      <c r="F22" s="296"/>
      <c r="G22" s="332"/>
      <c r="H22" s="296"/>
      <c r="I22" s="343" t="str">
        <f t="shared" si="4"/>
        <v/>
      </c>
      <c r="J22" s="467">
        <v>13731</v>
      </c>
      <c r="K22" s="332"/>
      <c r="L22" s="296"/>
      <c r="M22" s="332"/>
      <c r="N22" s="296"/>
      <c r="O22" s="343" t="str">
        <f t="shared" si="7"/>
        <v/>
      </c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</row>
    <row r="23" spans="1:29" ht="15.75" customHeight="1" x14ac:dyDescent="0.25">
      <c r="A23" s="244"/>
      <c r="B23" s="270"/>
      <c r="C23" s="339"/>
      <c r="D23" s="467"/>
      <c r="E23" s="332"/>
      <c r="F23" s="296"/>
      <c r="G23" s="332"/>
      <c r="H23" s="296"/>
      <c r="I23" s="343"/>
      <c r="J23" s="467"/>
      <c r="K23" s="332"/>
      <c r="L23" s="296"/>
      <c r="M23" s="332"/>
      <c r="N23" s="296"/>
      <c r="O23" s="343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</row>
    <row r="24" spans="1:29" ht="15.75" customHeight="1" x14ac:dyDescent="0.25">
      <c r="A24" s="244"/>
      <c r="B24" s="270" t="s">
        <v>21</v>
      </c>
      <c r="C24" s="339" t="s">
        <v>21</v>
      </c>
      <c r="D24" s="467">
        <v>1555917.5</v>
      </c>
      <c r="E24" s="332">
        <f t="shared" ref="E24:E26" si="11">D24/D$29</f>
        <v>8.9698088100039999E-2</v>
      </c>
      <c r="F24" s="296"/>
      <c r="G24" s="332" t="e">
        <f t="shared" ref="G24:G26" si="12">F24/F$29</f>
        <v>#DIV/0!</v>
      </c>
      <c r="H24" s="296">
        <f t="shared" ref="H24:H26" si="13">D24-F24</f>
        <v>1555917.5</v>
      </c>
      <c r="I24" s="343" t="str">
        <f t="shared" ref="I24:I28" si="14">IFERROR(H24/F24,"")</f>
        <v/>
      </c>
      <c r="J24" s="467">
        <v>1681871</v>
      </c>
      <c r="K24" s="332">
        <f t="shared" ref="K24:K26" si="15">J24/J$29</f>
        <v>9.9598095007762968E-2</v>
      </c>
      <c r="L24" s="296"/>
      <c r="M24" s="332" t="e">
        <f t="shared" ref="M24:M26" si="16">L24/L$29</f>
        <v>#DIV/0!</v>
      </c>
      <c r="N24" s="296">
        <f t="shared" ref="N24:N26" si="17">J24-L24</f>
        <v>1681871</v>
      </c>
      <c r="O24" s="343" t="str">
        <f t="shared" ref="O24:O28" si="18">IFERROR(N24/L24,"")</f>
        <v/>
      </c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</row>
    <row r="25" spans="1:29" ht="15.75" customHeight="1" x14ac:dyDescent="0.25">
      <c r="A25" s="244"/>
      <c r="B25" s="270" t="s">
        <v>22</v>
      </c>
      <c r="C25" s="339" t="s">
        <v>22</v>
      </c>
      <c r="D25" s="467">
        <v>2119471.5</v>
      </c>
      <c r="E25" s="332">
        <f t="shared" si="11"/>
        <v>0.12218677489810606</v>
      </c>
      <c r="F25" s="296"/>
      <c r="G25" s="332" t="e">
        <f t="shared" si="12"/>
        <v>#DIV/0!</v>
      </c>
      <c r="H25" s="296">
        <f t="shared" si="13"/>
        <v>2119471.5</v>
      </c>
      <c r="I25" s="343" t="str">
        <f t="shared" si="14"/>
        <v/>
      </c>
      <c r="J25" s="467">
        <v>2074971</v>
      </c>
      <c r="K25" s="332">
        <f t="shared" si="15"/>
        <v>0.1228769381220991</v>
      </c>
      <c r="L25" s="296"/>
      <c r="M25" s="332" t="e">
        <f t="shared" si="16"/>
        <v>#DIV/0!</v>
      </c>
      <c r="N25" s="296">
        <f t="shared" si="17"/>
        <v>2074971</v>
      </c>
      <c r="O25" s="343" t="str">
        <f t="shared" si="18"/>
        <v/>
      </c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</row>
    <row r="26" spans="1:29" ht="15.75" customHeight="1" x14ac:dyDescent="0.25">
      <c r="A26" s="244"/>
      <c r="B26" s="270" t="s">
        <v>23</v>
      </c>
      <c r="C26" s="339" t="s">
        <v>180</v>
      </c>
      <c r="D26" s="268">
        <f>SUM(D16:D22)</f>
        <v>12642063.25</v>
      </c>
      <c r="E26" s="332">
        <f t="shared" si="11"/>
        <v>0.72881043060752126</v>
      </c>
      <c r="F26" s="345"/>
      <c r="G26" s="332" t="e">
        <f t="shared" si="12"/>
        <v>#DIV/0!</v>
      </c>
      <c r="H26" s="296">
        <f t="shared" si="13"/>
        <v>12642063.25</v>
      </c>
      <c r="I26" s="343" t="str">
        <f t="shared" si="14"/>
        <v/>
      </c>
      <c r="J26" s="467">
        <f>SUM(J16:J22)</f>
        <v>13116005</v>
      </c>
      <c r="K26" s="332">
        <f t="shared" si="15"/>
        <v>0.77671183587343751</v>
      </c>
      <c r="L26" s="345"/>
      <c r="M26" s="332" t="e">
        <f t="shared" si="16"/>
        <v>#DIV/0!</v>
      </c>
      <c r="N26" s="296">
        <f t="shared" si="17"/>
        <v>13116005</v>
      </c>
      <c r="O26" s="343" t="str">
        <f t="shared" si="18"/>
        <v/>
      </c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  <c r="AC26" s="244"/>
    </row>
    <row r="27" spans="1:29" ht="15.75" customHeight="1" x14ac:dyDescent="0.25">
      <c r="A27" s="244"/>
      <c r="B27" s="331"/>
      <c r="C27" s="339"/>
      <c r="D27" s="467"/>
      <c r="E27" s="332"/>
      <c r="F27" s="296"/>
      <c r="G27" s="332"/>
      <c r="H27" s="451"/>
      <c r="I27" s="343" t="str">
        <f t="shared" si="14"/>
        <v/>
      </c>
      <c r="J27" s="467"/>
      <c r="K27" s="332"/>
      <c r="L27" s="296"/>
      <c r="M27" s="332"/>
      <c r="N27" s="451"/>
      <c r="O27" s="343" t="str">
        <f t="shared" si="18"/>
        <v/>
      </c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244"/>
      <c r="AC27" s="244"/>
    </row>
    <row r="28" spans="1:29" ht="15.75" customHeight="1" x14ac:dyDescent="0.25">
      <c r="A28" s="244"/>
      <c r="B28" s="346"/>
      <c r="C28" s="404" t="s">
        <v>181</v>
      </c>
      <c r="D28" s="468">
        <v>1028709</v>
      </c>
      <c r="E28" s="337"/>
      <c r="F28" s="317">
        <f>G28*SUM(F24:F26)</f>
        <v>0</v>
      </c>
      <c r="G28" s="337"/>
      <c r="H28" s="317">
        <f t="shared" ref="H28:H29" si="19">D28-F28</f>
        <v>1028709</v>
      </c>
      <c r="I28" s="550" t="str">
        <f t="shared" si="14"/>
        <v/>
      </c>
      <c r="J28" s="468"/>
      <c r="K28" s="337"/>
      <c r="L28" s="317">
        <f>M28*SUM(L24:L26)</f>
        <v>0</v>
      </c>
      <c r="M28" s="337"/>
      <c r="N28" s="317">
        <f t="shared" ref="N28:N29" si="20">J28-L28</f>
        <v>0</v>
      </c>
      <c r="O28" s="550" t="str">
        <f t="shared" si="18"/>
        <v/>
      </c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</row>
    <row r="29" spans="1:29" ht="15.75" customHeight="1" x14ac:dyDescent="0.25">
      <c r="A29" s="244"/>
      <c r="B29" s="551"/>
      <c r="C29" s="552" t="s">
        <v>182</v>
      </c>
      <c r="D29" s="257">
        <f>D24+D25+D26+D28+D22</f>
        <v>17346161.25</v>
      </c>
      <c r="E29" s="553"/>
      <c r="F29" s="322">
        <f>F24+F25+F26+F28</f>
        <v>0</v>
      </c>
      <c r="G29" s="322"/>
      <c r="H29" s="322">
        <f t="shared" si="19"/>
        <v>17346161.25</v>
      </c>
      <c r="I29" s="552"/>
      <c r="J29" s="257">
        <f>J24+J25+J26+J28+J22</f>
        <v>16886578</v>
      </c>
      <c r="K29" s="553"/>
      <c r="L29" s="322">
        <f>L24+L25+L26+L28</f>
        <v>0</v>
      </c>
      <c r="M29" s="322"/>
      <c r="N29" s="322">
        <f t="shared" si="20"/>
        <v>16886578</v>
      </c>
      <c r="O29" s="552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</row>
    <row r="30" spans="1:29" ht="15.75" hidden="1" customHeight="1" x14ac:dyDescent="0.25">
      <c r="A30" s="244"/>
      <c r="B30" s="324"/>
      <c r="C30" s="393"/>
      <c r="D30" s="466"/>
      <c r="E30" s="372"/>
      <c r="F30" s="327"/>
      <c r="G30" s="372"/>
      <c r="H30" s="327"/>
      <c r="I30" s="373"/>
      <c r="J30" s="466"/>
      <c r="K30" s="372"/>
      <c r="L30" s="327"/>
      <c r="M30" s="372"/>
      <c r="N30" s="327"/>
      <c r="O30" s="373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  <c r="AC30" s="244"/>
    </row>
    <row r="31" spans="1:29" ht="15.75" hidden="1" customHeight="1" x14ac:dyDescent="0.25">
      <c r="A31" s="244"/>
      <c r="B31" s="331"/>
      <c r="C31" s="339"/>
      <c r="D31" s="467"/>
      <c r="E31" s="332"/>
      <c r="F31" s="296"/>
      <c r="G31" s="415"/>
      <c r="H31" s="296"/>
      <c r="I31" s="486"/>
      <c r="J31" s="467"/>
      <c r="K31" s="332"/>
      <c r="L31" s="296"/>
      <c r="M31" s="415"/>
      <c r="N31" s="296"/>
      <c r="O31" s="486"/>
      <c r="P31" s="244"/>
      <c r="Q31" s="244"/>
      <c r="R31" s="244"/>
      <c r="S31" s="244"/>
      <c r="T31" s="244"/>
      <c r="U31" s="244"/>
      <c r="V31" s="244"/>
      <c r="W31" s="244"/>
      <c r="X31" s="244"/>
      <c r="Y31" s="244"/>
      <c r="Z31" s="244"/>
      <c r="AA31" s="244"/>
      <c r="AB31" s="244"/>
      <c r="AC31" s="244"/>
    </row>
    <row r="32" spans="1:29" ht="15.75" hidden="1" customHeight="1" x14ac:dyDescent="0.25">
      <c r="A32" s="244"/>
      <c r="B32" s="331"/>
      <c r="C32" s="339"/>
      <c r="D32" s="467"/>
      <c r="E32" s="332"/>
      <c r="F32" s="296"/>
      <c r="G32" s="415"/>
      <c r="H32" s="296"/>
      <c r="I32" s="486"/>
      <c r="J32" s="467"/>
      <c r="K32" s="332"/>
      <c r="L32" s="296"/>
      <c r="M32" s="415"/>
      <c r="N32" s="296"/>
      <c r="O32" s="486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</row>
    <row r="33" spans="1:29" ht="15.75" hidden="1" customHeight="1" x14ac:dyDescent="0.25">
      <c r="A33" s="244"/>
      <c r="B33" s="331"/>
      <c r="C33" s="339"/>
      <c r="D33" s="467"/>
      <c r="E33" s="332"/>
      <c r="F33" s="296"/>
      <c r="G33" s="415"/>
      <c r="H33" s="296"/>
      <c r="I33" s="486"/>
      <c r="J33" s="467"/>
      <c r="K33" s="332"/>
      <c r="L33" s="296"/>
      <c r="M33" s="415"/>
      <c r="N33" s="296"/>
      <c r="O33" s="486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  <c r="AC33" s="244"/>
    </row>
    <row r="34" spans="1:29" ht="15.75" hidden="1" customHeight="1" x14ac:dyDescent="0.25">
      <c r="A34" s="244"/>
      <c r="B34" s="331"/>
      <c r="C34" s="339"/>
      <c r="D34" s="467"/>
      <c r="E34" s="332"/>
      <c r="F34" s="296"/>
      <c r="G34" s="415"/>
      <c r="H34" s="296"/>
      <c r="I34" s="486"/>
      <c r="J34" s="467"/>
      <c r="K34" s="332"/>
      <c r="L34" s="296"/>
      <c r="M34" s="415"/>
      <c r="N34" s="296"/>
      <c r="O34" s="486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</row>
    <row r="35" spans="1:29" ht="15.75" hidden="1" customHeight="1" x14ac:dyDescent="0.25">
      <c r="A35" s="244"/>
      <c r="B35" s="331"/>
      <c r="C35" s="339"/>
      <c r="D35" s="467"/>
      <c r="E35" s="332"/>
      <c r="F35" s="296"/>
      <c r="G35" s="415"/>
      <c r="H35" s="296"/>
      <c r="I35" s="486"/>
      <c r="J35" s="467"/>
      <c r="K35" s="332"/>
      <c r="L35" s="296"/>
      <c r="M35" s="415"/>
      <c r="N35" s="296"/>
      <c r="O35" s="486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</row>
    <row r="36" spans="1:29" ht="15.75" hidden="1" customHeight="1" x14ac:dyDescent="0.25">
      <c r="A36" s="244"/>
      <c r="B36" s="331"/>
      <c r="C36" s="339"/>
      <c r="D36" s="467"/>
      <c r="E36" s="332"/>
      <c r="F36" s="296"/>
      <c r="G36" s="415"/>
      <c r="H36" s="296"/>
      <c r="I36" s="486"/>
      <c r="J36" s="467"/>
      <c r="K36" s="332"/>
      <c r="L36" s="296"/>
      <c r="M36" s="415"/>
      <c r="N36" s="296"/>
      <c r="O36" s="486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244"/>
    </row>
    <row r="37" spans="1:29" ht="15.75" hidden="1" customHeight="1" x14ac:dyDescent="0.25">
      <c r="A37" s="244"/>
      <c r="B37" s="331"/>
      <c r="C37" s="339" t="s">
        <v>185</v>
      </c>
      <c r="D37" s="467">
        <f>SUM(D31:D36)</f>
        <v>0</v>
      </c>
      <c r="E37" s="332">
        <f>D37/D29</f>
        <v>0</v>
      </c>
      <c r="F37" s="296">
        <f>SUM(F30:F31)</f>
        <v>0</v>
      </c>
      <c r="G37" s="415"/>
      <c r="H37" s="296">
        <f>SUM(H30:H31)</f>
        <v>0</v>
      </c>
      <c r="I37" s="486"/>
      <c r="J37" s="467">
        <f>SUM(J31:J36)</f>
        <v>0</v>
      </c>
      <c r="K37" s="332">
        <f>J37/J29</f>
        <v>0</v>
      </c>
      <c r="L37" s="296">
        <f>SUM(L30:L31)</f>
        <v>0</v>
      </c>
      <c r="M37" s="415"/>
      <c r="N37" s="296">
        <f>SUM(N30:N31)</f>
        <v>0</v>
      </c>
      <c r="O37" s="48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</row>
    <row r="38" spans="1:29" ht="15.75" hidden="1" customHeight="1" x14ac:dyDescent="0.25">
      <c r="A38" s="244"/>
      <c r="B38" s="270"/>
      <c r="C38" s="271"/>
      <c r="D38" s="467"/>
      <c r="E38" s="186"/>
      <c r="F38" s="451"/>
      <c r="G38" s="332"/>
      <c r="H38" s="451"/>
      <c r="I38" s="339"/>
      <c r="J38" s="467"/>
      <c r="K38" s="186"/>
      <c r="L38" s="451"/>
      <c r="M38" s="332"/>
      <c r="N38" s="451"/>
      <c r="O38" s="339"/>
      <c r="P38" s="244"/>
      <c r="Q38" s="244"/>
      <c r="R38" s="244"/>
      <c r="S38" s="244"/>
      <c r="T38" s="244"/>
      <c r="U38" s="244"/>
      <c r="V38" s="244"/>
      <c r="W38" s="244"/>
      <c r="X38" s="244"/>
      <c r="Y38" s="244"/>
      <c r="Z38" s="244"/>
      <c r="AA38" s="244"/>
      <c r="AB38" s="244"/>
      <c r="AC38" s="244"/>
    </row>
    <row r="39" spans="1:29" ht="15.75" customHeight="1" x14ac:dyDescent="0.25">
      <c r="A39" s="244"/>
      <c r="B39" s="487" t="s">
        <v>313</v>
      </c>
      <c r="C39" s="422"/>
      <c r="D39" s="467"/>
      <c r="E39" s="186"/>
      <c r="F39" s="451"/>
      <c r="G39" s="332"/>
      <c r="H39" s="451"/>
      <c r="I39" s="339"/>
      <c r="J39" s="467"/>
      <c r="K39" s="186"/>
      <c r="L39" s="451"/>
      <c r="M39" s="332"/>
      <c r="N39" s="451"/>
      <c r="O39" s="339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B39" s="244"/>
      <c r="AC39" s="244"/>
    </row>
    <row r="40" spans="1:29" ht="15.75" customHeight="1" x14ac:dyDescent="0.25">
      <c r="A40" s="244"/>
      <c r="B40" s="270" t="s">
        <v>28</v>
      </c>
      <c r="C40" s="339"/>
      <c r="D40" s="467"/>
      <c r="E40" s="186"/>
      <c r="F40" s="451"/>
      <c r="G40" s="332"/>
      <c r="H40" s="451"/>
      <c r="I40" s="339"/>
      <c r="J40" s="467"/>
      <c r="K40" s="186"/>
      <c r="L40" s="451"/>
      <c r="M40" s="332"/>
      <c r="N40" s="451"/>
      <c r="O40" s="339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</row>
    <row r="41" spans="1:29" ht="15.75" customHeight="1" x14ac:dyDescent="0.25">
      <c r="A41" s="244"/>
      <c r="B41" s="331"/>
      <c r="C41" s="423" t="s">
        <v>187</v>
      </c>
      <c r="D41" s="467"/>
      <c r="E41" s="186"/>
      <c r="F41" s="451"/>
      <c r="G41" s="332"/>
      <c r="H41" s="451"/>
      <c r="I41" s="339"/>
      <c r="J41" s="467"/>
      <c r="K41" s="186"/>
      <c r="L41" s="451"/>
      <c r="M41" s="332"/>
      <c r="N41" s="451"/>
      <c r="O41" s="339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  <c r="AC41" s="244"/>
    </row>
    <row r="42" spans="1:29" ht="15.75" customHeight="1" x14ac:dyDescent="0.25">
      <c r="A42" s="244"/>
      <c r="B42" s="331"/>
      <c r="C42" s="339" t="s">
        <v>188</v>
      </c>
      <c r="D42" s="265">
        <f>'MSBC CK Allocation'!C34</f>
        <v>703040.9944055971</v>
      </c>
      <c r="E42" s="332">
        <f>D42/D26</f>
        <v>5.5611254310533299E-2</v>
      </c>
      <c r="F42" s="296"/>
      <c r="G42" s="332">
        <v>0.02</v>
      </c>
      <c r="H42" s="296">
        <f t="shared" ref="H42:H46" si="21">D42-F42</f>
        <v>703040.9944055971</v>
      </c>
      <c r="I42" s="343" t="str">
        <f t="shared" ref="I42:I46" si="22">IFERROR(H42/F42,"")</f>
        <v/>
      </c>
      <c r="J42" s="265">
        <f>'MSBC CK Allocation'!D34</f>
        <v>785691.4316712094</v>
      </c>
      <c r="K42" s="332">
        <f>J42/J26</f>
        <v>5.9903258017300953E-2</v>
      </c>
      <c r="L42" s="296"/>
      <c r="M42" s="332">
        <v>0.02</v>
      </c>
      <c r="N42" s="296">
        <f t="shared" ref="N42:N46" si="23">J42-L42</f>
        <v>785691.4316712094</v>
      </c>
      <c r="O42" s="343" t="str">
        <f t="shared" ref="O42:O46" si="24">IFERROR(N42/L42,"")</f>
        <v/>
      </c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244"/>
      <c r="AA42" s="244"/>
      <c r="AB42" s="244"/>
      <c r="AC42" s="244"/>
    </row>
    <row r="43" spans="1:29" ht="15.75" customHeight="1" x14ac:dyDescent="0.25">
      <c r="A43" s="244"/>
      <c r="B43" s="331"/>
      <c r="C43" s="339" t="s">
        <v>189</v>
      </c>
      <c r="D43" s="265">
        <v>3619317.3420610041</v>
      </c>
      <c r="E43" s="332">
        <v>0.26490000000000002</v>
      </c>
      <c r="F43" s="296"/>
      <c r="G43" s="332">
        <v>0.2928</v>
      </c>
      <c r="H43" s="296">
        <f t="shared" si="21"/>
        <v>3619317.3420610041</v>
      </c>
      <c r="I43" s="343" t="str">
        <f t="shared" si="22"/>
        <v/>
      </c>
      <c r="J43" s="265">
        <f>3638741.32+323374.34</f>
        <v>3962115.6599999997</v>
      </c>
      <c r="K43" s="332">
        <v>0.26490000000000002</v>
      </c>
      <c r="L43" s="296"/>
      <c r="M43" s="332">
        <v>0.2928</v>
      </c>
      <c r="N43" s="296">
        <f t="shared" si="23"/>
        <v>3962115.6599999997</v>
      </c>
      <c r="O43" s="343" t="str">
        <f t="shared" si="24"/>
        <v/>
      </c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</row>
    <row r="44" spans="1:29" ht="15.75" customHeight="1" x14ac:dyDescent="0.25">
      <c r="A44" s="244"/>
      <c r="B44" s="331"/>
      <c r="C44" s="339" t="s">
        <v>21</v>
      </c>
      <c r="D44" s="265">
        <v>292646.73356728576</v>
      </c>
      <c r="E44" s="332">
        <v>0.2147</v>
      </c>
      <c r="F44" s="296"/>
      <c r="G44" s="332">
        <v>0.19470000000000001</v>
      </c>
      <c r="H44" s="296">
        <f t="shared" si="21"/>
        <v>292646.73356728576</v>
      </c>
      <c r="I44" s="343" t="str">
        <f t="shared" si="22"/>
        <v/>
      </c>
      <c r="J44" s="265">
        <f>219591.4+117560.65</f>
        <v>337152.05</v>
      </c>
      <c r="K44" s="332">
        <v>0.2147</v>
      </c>
      <c r="L44" s="296"/>
      <c r="M44" s="332">
        <v>0.19470000000000001</v>
      </c>
      <c r="N44" s="296">
        <f t="shared" si="23"/>
        <v>337152.05</v>
      </c>
      <c r="O44" s="343" t="str">
        <f t="shared" si="24"/>
        <v/>
      </c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</row>
    <row r="45" spans="1:29" ht="15.75" customHeight="1" x14ac:dyDescent="0.25">
      <c r="A45" s="244"/>
      <c r="B45" s="331"/>
      <c r="C45" s="339" t="s">
        <v>22</v>
      </c>
      <c r="D45" s="265">
        <v>741378.10000000009</v>
      </c>
      <c r="E45" s="332">
        <v>0.2142</v>
      </c>
      <c r="F45" s="296"/>
      <c r="G45" s="332">
        <v>0.2492</v>
      </c>
      <c r="H45" s="296">
        <f t="shared" si="21"/>
        <v>741378.10000000009</v>
      </c>
      <c r="I45" s="343" t="str">
        <f t="shared" si="22"/>
        <v/>
      </c>
      <c r="J45" s="265">
        <v>585281.74</v>
      </c>
      <c r="K45" s="332">
        <v>0.2142</v>
      </c>
      <c r="L45" s="296"/>
      <c r="M45" s="332">
        <v>0.2492</v>
      </c>
      <c r="N45" s="296">
        <f t="shared" si="23"/>
        <v>585281.74</v>
      </c>
      <c r="O45" s="343" t="str">
        <f t="shared" si="24"/>
        <v/>
      </c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</row>
    <row r="46" spans="1:29" ht="15.75" customHeight="1" x14ac:dyDescent="0.25">
      <c r="A46" s="535"/>
      <c r="B46" s="331"/>
      <c r="C46" s="339" t="s">
        <v>190</v>
      </c>
      <c r="D46" s="265">
        <f>'Calculation Sheet for GST on Pu'!C25</f>
        <v>195615.0933725393</v>
      </c>
      <c r="E46" s="332">
        <f t="shared" ref="E46:E50" si="25">D46/D$29</f>
        <v>1.1277140259061024E-2</v>
      </c>
      <c r="F46" s="296"/>
      <c r="G46" s="332">
        <v>9.2499999999999999E-2</v>
      </c>
      <c r="H46" s="296">
        <f t="shared" si="21"/>
        <v>195615.0933725393</v>
      </c>
      <c r="I46" s="343" t="str">
        <f t="shared" si="22"/>
        <v/>
      </c>
      <c r="J46" s="265">
        <f>'Calculation Sheet for GST on Pu'!D25</f>
        <v>200898.39869379421</v>
      </c>
      <c r="K46" s="332">
        <f t="shared" ref="K46:K50" si="26">J46/J$29</f>
        <v>1.1896927766762112E-2</v>
      </c>
      <c r="L46" s="296"/>
      <c r="M46" s="332">
        <v>9.2499999999999999E-2</v>
      </c>
      <c r="N46" s="296">
        <f t="shared" si="23"/>
        <v>200898.39869379421</v>
      </c>
      <c r="O46" s="343" t="str">
        <f t="shared" si="24"/>
        <v/>
      </c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  <c r="AC46" s="244"/>
    </row>
    <row r="47" spans="1:29" ht="15.75" customHeight="1" x14ac:dyDescent="0.25">
      <c r="A47" s="244"/>
      <c r="B47" s="331"/>
      <c r="C47" s="455" t="s">
        <v>191</v>
      </c>
      <c r="D47" s="445">
        <f>SUM(D42:D46)</f>
        <v>5551998.2634064266</v>
      </c>
      <c r="E47" s="446">
        <f t="shared" si="25"/>
        <v>0.32007071670721537</v>
      </c>
      <c r="F47" s="447">
        <f>SUM(F42:F46)</f>
        <v>0</v>
      </c>
      <c r="G47" s="446" t="e">
        <f>F47/F$29</f>
        <v>#DIV/0!</v>
      </c>
      <c r="H47" s="456">
        <f>SUM(H42:H46)</f>
        <v>5551998.2634064266</v>
      </c>
      <c r="I47" s="455"/>
      <c r="J47" s="554">
        <f>SUM(J42:J46)</f>
        <v>5871139.2803650033</v>
      </c>
      <c r="K47" s="446">
        <f t="shared" si="26"/>
        <v>0.34768081966429215</v>
      </c>
      <c r="L47" s="447">
        <f>SUM(L42:L46)</f>
        <v>0</v>
      </c>
      <c r="M47" s="446" t="e">
        <f>L47/L$29</f>
        <v>#DIV/0!</v>
      </c>
      <c r="N47" s="456">
        <f>SUM(N42:N46)</f>
        <v>5871139.2803650033</v>
      </c>
      <c r="O47" s="455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</row>
    <row r="48" spans="1:29" ht="15.75" customHeight="1" x14ac:dyDescent="0.25">
      <c r="A48" s="244"/>
      <c r="B48" s="346"/>
      <c r="C48" s="404" t="s">
        <v>192</v>
      </c>
      <c r="D48" s="555">
        <v>202872.5</v>
      </c>
      <c r="E48" s="556">
        <f t="shared" si="25"/>
        <v>1.1695527158782753E-2</v>
      </c>
      <c r="F48" s="317"/>
      <c r="G48" s="337">
        <v>5.4999999999999997E-3</v>
      </c>
      <c r="H48" s="317">
        <f>D48-F48</f>
        <v>202872.5</v>
      </c>
      <c r="I48" s="557" t="str">
        <f>IFERROR(H48/F48,"")</f>
        <v/>
      </c>
      <c r="J48" s="558">
        <f>293045+3424.52+12903</f>
        <v>309372.52</v>
      </c>
      <c r="K48" s="556">
        <f t="shared" si="26"/>
        <v>1.8320616527516705E-2</v>
      </c>
      <c r="L48" s="317"/>
      <c r="M48" s="337">
        <v>5.4999999999999997E-3</v>
      </c>
      <c r="N48" s="317">
        <f>J48-L48</f>
        <v>309372.52</v>
      </c>
      <c r="O48" s="550" t="str">
        <f>IFERROR(N48/L48,"")</f>
        <v/>
      </c>
      <c r="P48" s="244"/>
      <c r="Q48" s="244"/>
      <c r="R48" s="244"/>
      <c r="S48" s="244"/>
      <c r="T48" s="244"/>
      <c r="U48" s="244"/>
      <c r="V48" s="244"/>
      <c r="W48" s="244"/>
      <c r="X48" s="244"/>
      <c r="Y48" s="244"/>
      <c r="Z48" s="244"/>
      <c r="AA48" s="244"/>
      <c r="AB48" s="244"/>
      <c r="AC48" s="244"/>
    </row>
    <row r="49" spans="1:29" ht="15.75" customHeight="1" x14ac:dyDescent="0.25">
      <c r="A49" s="244"/>
      <c r="B49" s="347"/>
      <c r="C49" s="410" t="s">
        <v>193</v>
      </c>
      <c r="D49" s="257">
        <f>D47+D48</f>
        <v>5754870.7634064266</v>
      </c>
      <c r="E49" s="321">
        <f t="shared" si="25"/>
        <v>0.33176624386599812</v>
      </c>
      <c r="F49" s="322">
        <f>F47+F48</f>
        <v>0</v>
      </c>
      <c r="G49" s="321" t="e">
        <f t="shared" ref="G49:G50" si="27">F49/F$29</f>
        <v>#DIV/0!</v>
      </c>
      <c r="H49" s="553">
        <f>H47+H48</f>
        <v>5754870.7634064266</v>
      </c>
      <c r="I49" s="410"/>
      <c r="J49" s="367">
        <f>J47+J48</f>
        <v>6180511.8003650028</v>
      </c>
      <c r="K49" s="369">
        <f t="shared" si="26"/>
        <v>0.36600143619180886</v>
      </c>
      <c r="L49" s="322">
        <f>L47+L48</f>
        <v>0</v>
      </c>
      <c r="M49" s="321" t="e">
        <f t="shared" ref="M49:M50" si="28">L49/L$29</f>
        <v>#DIV/0!</v>
      </c>
      <c r="N49" s="553">
        <f>N47+N48</f>
        <v>6180511.8003650028</v>
      </c>
      <c r="O49" s="410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</row>
    <row r="50" spans="1:29" ht="15.75" customHeight="1" x14ac:dyDescent="0.25">
      <c r="A50" s="244"/>
      <c r="B50" s="559" t="s">
        <v>32</v>
      </c>
      <c r="C50" s="493" t="s">
        <v>32</v>
      </c>
      <c r="D50" s="257">
        <f>D29-D49</f>
        <v>11591290.486593574</v>
      </c>
      <c r="E50" s="321">
        <f t="shared" si="25"/>
        <v>0.66823375613400193</v>
      </c>
      <c r="F50" s="322" t="e">
        <f>F29-F49-#REF!</f>
        <v>#REF!</v>
      </c>
      <c r="G50" s="321" t="e">
        <f t="shared" si="27"/>
        <v>#REF!</v>
      </c>
      <c r="H50" s="322" t="e">
        <f>H29-H49-#REF!</f>
        <v>#REF!</v>
      </c>
      <c r="I50" s="323" t="e">
        <f>H50/H$29</f>
        <v>#REF!</v>
      </c>
      <c r="J50" s="257">
        <f>J29-J49</f>
        <v>10706066.199634997</v>
      </c>
      <c r="K50" s="321">
        <f t="shared" si="26"/>
        <v>0.6339985638081912</v>
      </c>
      <c r="L50" s="322" t="e">
        <f>L29-L49-#REF!</f>
        <v>#REF!</v>
      </c>
      <c r="M50" s="321" t="e">
        <f t="shared" si="28"/>
        <v>#REF!</v>
      </c>
      <c r="N50" s="322" t="e">
        <f>N29-N49-#REF!</f>
        <v>#REF!</v>
      </c>
      <c r="O50" s="323" t="e">
        <f>N50/N$29</f>
        <v>#REF!</v>
      </c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</row>
    <row r="51" spans="1:29" ht="15.75" customHeight="1" x14ac:dyDescent="0.25">
      <c r="A51" s="244"/>
      <c r="B51" s="371"/>
      <c r="C51" s="393"/>
      <c r="D51" s="261"/>
      <c r="E51" s="560"/>
      <c r="F51" s="561"/>
      <c r="G51" s="326"/>
      <c r="H51" s="561"/>
      <c r="I51" s="393"/>
      <c r="J51" s="261"/>
      <c r="K51" s="560"/>
      <c r="L51" s="561"/>
      <c r="M51" s="326"/>
      <c r="N51" s="561"/>
      <c r="O51" s="393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</row>
    <row r="52" spans="1:29" ht="15.75" customHeight="1" x14ac:dyDescent="0.25">
      <c r="A52" s="244"/>
      <c r="B52" s="331"/>
      <c r="C52" s="428" t="s">
        <v>194</v>
      </c>
      <c r="D52" s="265"/>
      <c r="E52" s="186"/>
      <c r="F52" s="451"/>
      <c r="G52" s="332"/>
      <c r="H52" s="451"/>
      <c r="I52" s="339"/>
      <c r="J52" s="265"/>
      <c r="K52" s="186"/>
      <c r="L52" s="451"/>
      <c r="M52" s="332"/>
      <c r="N52" s="451"/>
      <c r="O52" s="339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  <c r="AA52" s="244"/>
      <c r="AB52" s="244"/>
      <c r="AC52" s="244"/>
    </row>
    <row r="53" spans="1:29" ht="15.75" customHeight="1" x14ac:dyDescent="0.25">
      <c r="A53" s="244"/>
      <c r="B53" s="331"/>
      <c r="C53" s="339" t="s">
        <v>195</v>
      </c>
      <c r="D53" s="265">
        <v>76321</v>
      </c>
      <c r="E53" s="332">
        <f t="shared" ref="E53:E58" si="29">D53/D$29</f>
        <v>4.3998783880785149E-3</v>
      </c>
      <c r="F53" s="296"/>
      <c r="G53" s="332">
        <v>4.1999999999999997E-3</v>
      </c>
      <c r="H53" s="296">
        <f t="shared" ref="H53:H57" si="30">D53-F53</f>
        <v>76321</v>
      </c>
      <c r="I53" s="343" t="str">
        <f t="shared" ref="I53:I57" si="31">IFERROR(H53/F53,"")</f>
        <v/>
      </c>
      <c r="J53" s="265">
        <v>74161</v>
      </c>
      <c r="K53" s="332">
        <f t="shared" ref="K53:K58" si="32">J53/J$29</f>
        <v>4.3917127555387478E-3</v>
      </c>
      <c r="L53" s="296"/>
      <c r="M53" s="332">
        <v>4.1999999999999997E-3</v>
      </c>
      <c r="N53" s="296">
        <f t="shared" ref="N53:N57" si="33">J53-L53</f>
        <v>74161</v>
      </c>
      <c r="O53" s="343" t="str">
        <f t="shared" ref="O53:O57" si="34">IFERROR(N53/L53,"")</f>
        <v/>
      </c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  <c r="AC53" s="244"/>
    </row>
    <row r="54" spans="1:29" ht="15.75" customHeight="1" x14ac:dyDescent="0.25">
      <c r="A54" s="244"/>
      <c r="B54" s="331"/>
      <c r="C54" s="339" t="s">
        <v>196</v>
      </c>
      <c r="D54" s="265">
        <v>109361.52</v>
      </c>
      <c r="E54" s="332">
        <f t="shared" si="29"/>
        <v>6.3046525639786728E-3</v>
      </c>
      <c r="F54" s="296"/>
      <c r="G54" s="332">
        <v>1.0699999999999999E-2</v>
      </c>
      <c r="H54" s="296">
        <f t="shared" si="30"/>
        <v>109361.52</v>
      </c>
      <c r="I54" s="343" t="str">
        <f t="shared" si="31"/>
        <v/>
      </c>
      <c r="J54" s="265">
        <v>353482</v>
      </c>
      <c r="K54" s="332">
        <f t="shared" si="32"/>
        <v>2.0932719465127866E-2</v>
      </c>
      <c r="L54" s="296"/>
      <c r="M54" s="332">
        <v>1.0699999999999999E-2</v>
      </c>
      <c r="N54" s="296">
        <f t="shared" si="33"/>
        <v>353482</v>
      </c>
      <c r="O54" s="343" t="str">
        <f t="shared" si="34"/>
        <v/>
      </c>
      <c r="P54" s="244"/>
      <c r="Q54" s="244"/>
      <c r="R54" s="244"/>
      <c r="S54" s="244"/>
      <c r="T54" s="244"/>
      <c r="U54" s="244"/>
      <c r="V54" s="244"/>
      <c r="W54" s="244"/>
      <c r="X54" s="244"/>
      <c r="Y54" s="244"/>
      <c r="Z54" s="244"/>
      <c r="AA54" s="244"/>
      <c r="AB54" s="244"/>
      <c r="AC54" s="244"/>
    </row>
    <row r="55" spans="1:29" ht="15.75" customHeight="1" x14ac:dyDescent="0.25">
      <c r="A55" s="244"/>
      <c r="B55" s="331"/>
      <c r="C55" s="339" t="s">
        <v>198</v>
      </c>
      <c r="D55" s="265">
        <v>219816</v>
      </c>
      <c r="E55" s="332">
        <f t="shared" si="29"/>
        <v>1.267231388155117E-2</v>
      </c>
      <c r="F55" s="296"/>
      <c r="G55" s="332">
        <v>3.3E-3</v>
      </c>
      <c r="H55" s="296">
        <f t="shared" si="30"/>
        <v>219816</v>
      </c>
      <c r="I55" s="343" t="str">
        <f t="shared" si="31"/>
        <v/>
      </c>
      <c r="J55" s="265">
        <v>74235</v>
      </c>
      <c r="K55" s="332">
        <f t="shared" si="32"/>
        <v>4.3960949340949955E-3</v>
      </c>
      <c r="L55" s="296"/>
      <c r="M55" s="332">
        <v>3.3E-3</v>
      </c>
      <c r="N55" s="296">
        <f t="shared" si="33"/>
        <v>74235</v>
      </c>
      <c r="O55" s="343" t="str">
        <f t="shared" si="34"/>
        <v/>
      </c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B55" s="244"/>
      <c r="AC55" s="244"/>
    </row>
    <row r="56" spans="1:29" ht="15.75" customHeight="1" x14ac:dyDescent="0.25">
      <c r="A56" s="244"/>
      <c r="B56" s="331"/>
      <c r="C56" s="339" t="s">
        <v>197</v>
      </c>
      <c r="D56" s="265">
        <v>32475.599999999999</v>
      </c>
      <c r="E56" s="332">
        <f t="shared" si="29"/>
        <v>1.8722067396900279E-3</v>
      </c>
      <c r="F56" s="296"/>
      <c r="G56" s="332">
        <v>2.5999999999999999E-3</v>
      </c>
      <c r="H56" s="296">
        <f t="shared" si="30"/>
        <v>32475.599999999999</v>
      </c>
      <c r="I56" s="343" t="str">
        <f t="shared" si="31"/>
        <v/>
      </c>
      <c r="J56" s="265">
        <v>44854</v>
      </c>
      <c r="K56" s="332">
        <f t="shared" si="32"/>
        <v>2.6561923913773411E-3</v>
      </c>
      <c r="L56" s="296"/>
      <c r="M56" s="332">
        <v>2.5999999999999999E-3</v>
      </c>
      <c r="N56" s="296">
        <f t="shared" si="33"/>
        <v>44854</v>
      </c>
      <c r="O56" s="343" t="str">
        <f t="shared" si="34"/>
        <v/>
      </c>
      <c r="P56" s="244"/>
      <c r="Q56" s="244"/>
      <c r="R56" s="244"/>
      <c r="S56" s="244"/>
      <c r="T56" s="244"/>
      <c r="U56" s="244"/>
      <c r="V56" s="244"/>
      <c r="W56" s="244"/>
      <c r="X56" s="244"/>
      <c r="Y56" s="244"/>
      <c r="Z56" s="244"/>
      <c r="AA56" s="244"/>
      <c r="AB56" s="244"/>
      <c r="AC56" s="244"/>
    </row>
    <row r="57" spans="1:29" ht="15.75" customHeight="1" x14ac:dyDescent="0.25">
      <c r="A57" s="244"/>
      <c r="B57" s="346"/>
      <c r="C57" s="404" t="s">
        <v>199</v>
      </c>
      <c r="D57" s="276">
        <v>1225.3333333333333</v>
      </c>
      <c r="E57" s="337">
        <f t="shared" si="29"/>
        <v>7.0640028976632117E-5</v>
      </c>
      <c r="F57" s="317"/>
      <c r="G57" s="337">
        <v>2.9999999999999997E-4</v>
      </c>
      <c r="H57" s="317">
        <f t="shared" si="30"/>
        <v>1225.3333333333333</v>
      </c>
      <c r="I57" s="550" t="str">
        <f t="shared" si="31"/>
        <v/>
      </c>
      <c r="J57" s="276">
        <v>3247</v>
      </c>
      <c r="K57" s="337">
        <f t="shared" si="32"/>
        <v>1.9228288881264162E-4</v>
      </c>
      <c r="L57" s="317"/>
      <c r="M57" s="337">
        <v>2.9999999999999997E-4</v>
      </c>
      <c r="N57" s="317">
        <f t="shared" si="33"/>
        <v>3247</v>
      </c>
      <c r="O57" s="550" t="str">
        <f t="shared" si="34"/>
        <v/>
      </c>
      <c r="P57" s="244"/>
      <c r="Q57" s="244"/>
      <c r="R57" s="244"/>
      <c r="S57" s="244"/>
      <c r="T57" s="244"/>
      <c r="U57" s="244"/>
      <c r="V57" s="244"/>
      <c r="W57" s="244"/>
      <c r="X57" s="244"/>
      <c r="Y57" s="244"/>
      <c r="Z57" s="244"/>
      <c r="AA57" s="244"/>
      <c r="AB57" s="244"/>
      <c r="AC57" s="244"/>
    </row>
    <row r="58" spans="1:29" ht="15.75" customHeight="1" x14ac:dyDescent="0.25">
      <c r="A58" s="244"/>
      <c r="B58" s="497"/>
      <c r="C58" s="410" t="s">
        <v>200</v>
      </c>
      <c r="D58" s="257">
        <f>SUM(D53:D57)</f>
        <v>439199.45333333331</v>
      </c>
      <c r="E58" s="321">
        <f t="shared" si="29"/>
        <v>2.5319691602275016E-2</v>
      </c>
      <c r="F58" s="322">
        <f>SUM(F53:F57)</f>
        <v>0</v>
      </c>
      <c r="G58" s="321" t="e">
        <f>F58/F$29</f>
        <v>#DIV/0!</v>
      </c>
      <c r="H58" s="322">
        <f>SUM(H53:H57)</f>
        <v>439199.45333333331</v>
      </c>
      <c r="I58" s="323"/>
      <c r="J58" s="257">
        <f>SUM(J53:J57)</f>
        <v>549979</v>
      </c>
      <c r="K58" s="321">
        <f t="shared" si="32"/>
        <v>3.2569002434951595E-2</v>
      </c>
      <c r="L58" s="322">
        <f>SUM(L53:L57)</f>
        <v>0</v>
      </c>
      <c r="M58" s="321" t="e">
        <f>L58/L$29</f>
        <v>#DIV/0!</v>
      </c>
      <c r="N58" s="322">
        <f>SUM(N53:N57)</f>
        <v>549979</v>
      </c>
      <c r="O58" s="323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  <c r="AA58" s="246"/>
      <c r="AB58" s="246"/>
      <c r="AC58" s="246"/>
    </row>
    <row r="59" spans="1:29" ht="15.75" hidden="1" customHeight="1" x14ac:dyDescent="0.25">
      <c r="A59" s="244"/>
      <c r="B59" s="371"/>
      <c r="C59" s="393"/>
      <c r="D59" s="261"/>
      <c r="E59" s="560"/>
      <c r="F59" s="561"/>
      <c r="G59" s="326"/>
      <c r="H59" s="561"/>
      <c r="I59" s="393"/>
      <c r="J59" s="261"/>
      <c r="K59" s="560"/>
      <c r="L59" s="561"/>
      <c r="M59" s="326"/>
      <c r="N59" s="561"/>
      <c r="O59" s="393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</row>
    <row r="60" spans="1:29" ht="15.75" hidden="1" customHeight="1" x14ac:dyDescent="0.25">
      <c r="A60" s="244"/>
      <c r="B60" s="331"/>
      <c r="C60" s="339"/>
      <c r="D60" s="265"/>
      <c r="E60" s="332"/>
      <c r="F60" s="296"/>
      <c r="G60" s="313"/>
      <c r="H60" s="296"/>
      <c r="I60" s="271"/>
      <c r="J60" s="265"/>
      <c r="K60" s="332"/>
      <c r="L60" s="296"/>
      <c r="M60" s="313"/>
      <c r="N60" s="296"/>
      <c r="O60" s="271"/>
      <c r="P60" s="244"/>
      <c r="Q60" s="244"/>
      <c r="R60" s="244"/>
      <c r="S60" s="244"/>
      <c r="T60" s="244"/>
      <c r="U60" s="244"/>
      <c r="V60" s="244"/>
      <c r="W60" s="244"/>
      <c r="X60" s="244"/>
      <c r="Y60" s="244"/>
      <c r="Z60" s="244"/>
      <c r="AA60" s="244"/>
      <c r="AB60" s="244"/>
      <c r="AC60" s="244"/>
    </row>
    <row r="61" spans="1:29" ht="15.75" hidden="1" customHeight="1" x14ac:dyDescent="0.25">
      <c r="A61" s="244"/>
      <c r="B61" s="331"/>
      <c r="C61" s="339"/>
      <c r="D61" s="265"/>
      <c r="E61" s="332"/>
      <c r="F61" s="296"/>
      <c r="G61" s="313"/>
      <c r="H61" s="296"/>
      <c r="I61" s="271"/>
      <c r="J61" s="265"/>
      <c r="K61" s="332"/>
      <c r="L61" s="296"/>
      <c r="M61" s="313"/>
      <c r="N61" s="296"/>
      <c r="O61" s="271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</row>
    <row r="62" spans="1:29" ht="15.75" hidden="1" customHeight="1" x14ac:dyDescent="0.25">
      <c r="A62" s="244"/>
      <c r="B62" s="331"/>
      <c r="C62" s="339"/>
      <c r="D62" s="265"/>
      <c r="E62" s="332"/>
      <c r="F62" s="296"/>
      <c r="G62" s="313"/>
      <c r="H62" s="296"/>
      <c r="I62" s="271"/>
      <c r="J62" s="265"/>
      <c r="K62" s="332"/>
      <c r="L62" s="296"/>
      <c r="M62" s="313"/>
      <c r="N62" s="296"/>
      <c r="O62" s="271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  <c r="AC62" s="244"/>
    </row>
    <row r="63" spans="1:29" ht="15.75" hidden="1" customHeight="1" x14ac:dyDescent="0.25">
      <c r="A63" s="244"/>
      <c r="B63" s="331"/>
      <c r="C63" s="339"/>
      <c r="D63" s="265"/>
      <c r="E63" s="332"/>
      <c r="F63" s="296"/>
      <c r="G63" s="313"/>
      <c r="H63" s="296"/>
      <c r="I63" s="271"/>
      <c r="J63" s="265"/>
      <c r="K63" s="332"/>
      <c r="L63" s="296"/>
      <c r="M63" s="313"/>
      <c r="N63" s="296"/>
      <c r="O63" s="271"/>
      <c r="P63" s="244"/>
      <c r="Q63" s="244"/>
      <c r="R63" s="244"/>
      <c r="S63" s="244"/>
      <c r="T63" s="244"/>
      <c r="U63" s="244"/>
      <c r="V63" s="244"/>
      <c r="W63" s="244"/>
      <c r="X63" s="244"/>
      <c r="Y63" s="244"/>
      <c r="Z63" s="244"/>
      <c r="AA63" s="244"/>
      <c r="AB63" s="244"/>
      <c r="AC63" s="244"/>
    </row>
    <row r="64" spans="1:29" ht="15.75" hidden="1" customHeight="1" x14ac:dyDescent="0.25">
      <c r="A64" s="244"/>
      <c r="B64" s="331"/>
      <c r="C64" s="339"/>
      <c r="D64" s="265"/>
      <c r="E64" s="332"/>
      <c r="F64" s="296"/>
      <c r="G64" s="313"/>
      <c r="H64" s="296"/>
      <c r="I64" s="271"/>
      <c r="J64" s="265"/>
      <c r="K64" s="332"/>
      <c r="L64" s="296"/>
      <c r="M64" s="313"/>
      <c r="N64" s="296"/>
      <c r="O64" s="271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4"/>
    </row>
    <row r="65" spans="1:29" ht="15.75" hidden="1" customHeight="1" x14ac:dyDescent="0.25">
      <c r="A65" s="244"/>
      <c r="B65" s="331"/>
      <c r="C65" s="339"/>
      <c r="D65" s="265"/>
      <c r="E65" s="332"/>
      <c r="F65" s="296"/>
      <c r="G65" s="313"/>
      <c r="H65" s="296"/>
      <c r="I65" s="271"/>
      <c r="J65" s="265"/>
      <c r="K65" s="332"/>
      <c r="L65" s="296"/>
      <c r="M65" s="313"/>
      <c r="N65" s="296"/>
      <c r="O65" s="271"/>
      <c r="P65" s="244"/>
      <c r="Q65" s="244"/>
      <c r="R65" s="244"/>
      <c r="S65" s="244"/>
      <c r="T65" s="244"/>
      <c r="U65" s="244"/>
      <c r="V65" s="244"/>
      <c r="W65" s="244"/>
      <c r="X65" s="244"/>
      <c r="Y65" s="244"/>
      <c r="Z65" s="244"/>
      <c r="AA65" s="244"/>
      <c r="AB65" s="244"/>
      <c r="AC65" s="244"/>
    </row>
    <row r="66" spans="1:29" ht="15.75" customHeight="1" x14ac:dyDescent="0.25">
      <c r="A66" s="244"/>
      <c r="B66" s="331"/>
      <c r="C66" s="339"/>
      <c r="D66" s="265"/>
      <c r="E66" s="313"/>
      <c r="F66" s="296"/>
      <c r="G66" s="313"/>
      <c r="H66" s="296"/>
      <c r="I66" s="271"/>
      <c r="J66" s="265"/>
      <c r="K66" s="313"/>
      <c r="L66" s="296"/>
      <c r="M66" s="313"/>
      <c r="N66" s="296"/>
      <c r="O66" s="271"/>
      <c r="P66" s="244"/>
      <c r="Q66" s="244"/>
      <c r="R66" s="244"/>
      <c r="S66" s="244"/>
      <c r="T66" s="244"/>
      <c r="U66" s="244"/>
      <c r="V66" s="244"/>
      <c r="W66" s="244"/>
      <c r="X66" s="244"/>
      <c r="Y66" s="244"/>
      <c r="Z66" s="244"/>
      <c r="AA66" s="244"/>
      <c r="AB66" s="244"/>
      <c r="AC66" s="244"/>
    </row>
    <row r="67" spans="1:29" ht="15.75" customHeight="1" x14ac:dyDescent="0.25">
      <c r="A67" s="244"/>
      <c r="B67" s="331"/>
      <c r="C67" s="339"/>
      <c r="D67" s="265"/>
      <c r="E67" s="332"/>
      <c r="F67" s="296"/>
      <c r="G67" s="332"/>
      <c r="H67" s="296"/>
      <c r="I67" s="336"/>
      <c r="J67" s="265"/>
      <c r="K67" s="332"/>
      <c r="L67" s="296"/>
      <c r="M67" s="332"/>
      <c r="N67" s="296"/>
      <c r="O67" s="336"/>
      <c r="P67" s="244"/>
      <c r="Q67" s="244"/>
      <c r="R67" s="244"/>
      <c r="S67" s="244"/>
      <c r="T67" s="244"/>
      <c r="U67" s="244"/>
      <c r="V67" s="244"/>
      <c r="W67" s="244"/>
      <c r="X67" s="244"/>
      <c r="Y67" s="244"/>
      <c r="Z67" s="244"/>
      <c r="AA67" s="244"/>
      <c r="AB67" s="244"/>
      <c r="AC67" s="244"/>
    </row>
    <row r="68" spans="1:29" ht="15.75" customHeight="1" x14ac:dyDescent="0.25">
      <c r="A68" s="244"/>
      <c r="B68" s="331"/>
      <c r="C68" s="339"/>
      <c r="D68" s="265"/>
      <c r="E68" s="186"/>
      <c r="F68" s="451"/>
      <c r="G68" s="332"/>
      <c r="H68" s="451"/>
      <c r="I68" s="339"/>
      <c r="J68" s="265"/>
      <c r="K68" s="186"/>
      <c r="L68" s="451"/>
      <c r="M68" s="332"/>
      <c r="N68" s="451"/>
      <c r="O68" s="339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  <c r="AC68" s="244"/>
    </row>
    <row r="69" spans="1:29" ht="15.75" customHeight="1" x14ac:dyDescent="0.25">
      <c r="A69" s="244"/>
      <c r="B69" s="963" t="s">
        <v>204</v>
      </c>
      <c r="C69" s="964"/>
      <c r="D69" s="276"/>
      <c r="E69" s="458"/>
      <c r="F69" s="562"/>
      <c r="G69" s="337"/>
      <c r="H69" s="562"/>
      <c r="I69" s="404"/>
      <c r="J69" s="276"/>
      <c r="K69" s="458"/>
      <c r="L69" s="562"/>
      <c r="M69" s="337"/>
      <c r="N69" s="562"/>
      <c r="O69" s="404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  <c r="AC69" s="244"/>
    </row>
    <row r="70" spans="1:29" ht="15.75" customHeight="1" x14ac:dyDescent="0.25">
      <c r="A70" s="244"/>
      <c r="B70" s="347"/>
      <c r="C70" s="498" t="s">
        <v>205</v>
      </c>
      <c r="D70" s="257">
        <f>SUM(D71:D79)</f>
        <v>86882</v>
      </c>
      <c r="E70" s="321">
        <f t="shared" ref="E70:E79" si="35">D70/D$29</f>
        <v>5.0087162656809727E-3</v>
      </c>
      <c r="F70" s="322">
        <f>SUM(F71:F79)</f>
        <v>0</v>
      </c>
      <c r="G70" s="321" t="e">
        <f t="shared" ref="G70:G77" si="36">F70/F$29</f>
        <v>#DIV/0!</v>
      </c>
      <c r="H70" s="322">
        <f>SUM(H71:H79)</f>
        <v>86882</v>
      </c>
      <c r="I70" s="323">
        <f>H70/H$29</f>
        <v>5.0087162656809727E-3</v>
      </c>
      <c r="J70" s="257">
        <f>SUM(J71:J79)</f>
        <v>100602</v>
      </c>
      <c r="K70" s="321">
        <f t="shared" ref="K70:K79" si="37">J70/J$29</f>
        <v>5.9575125285892738E-3</v>
      </c>
      <c r="L70" s="322">
        <f>SUM(L71:L79)</f>
        <v>0</v>
      </c>
      <c r="M70" s="321" t="e">
        <f t="shared" ref="M70:M77" si="38">L70/L$29</f>
        <v>#DIV/0!</v>
      </c>
      <c r="N70" s="322">
        <f>SUM(N71:N79)</f>
        <v>100602</v>
      </c>
      <c r="O70" s="323">
        <f>N70/N$29</f>
        <v>5.9575125285892738E-3</v>
      </c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  <c r="AB70" s="246"/>
      <c r="AC70" s="246"/>
    </row>
    <row r="71" spans="1:29" ht="15.75" customHeight="1" x14ac:dyDescent="0.25">
      <c r="A71" s="244"/>
      <c r="B71" s="371"/>
      <c r="C71" s="393" t="s">
        <v>268</v>
      </c>
      <c r="D71" s="261">
        <v>0</v>
      </c>
      <c r="E71" s="326">
        <f t="shared" si="35"/>
        <v>0</v>
      </c>
      <c r="F71" s="327"/>
      <c r="G71" s="326" t="e">
        <f t="shared" si="36"/>
        <v>#DIV/0!</v>
      </c>
      <c r="H71" s="327">
        <f t="shared" ref="H71:H77" si="39">D71-F71</f>
        <v>0</v>
      </c>
      <c r="I71" s="342" t="str">
        <f t="shared" ref="I71:I77" si="40">IFERROR(H71/F71,"")</f>
        <v/>
      </c>
      <c r="J71" s="261">
        <v>0</v>
      </c>
      <c r="K71" s="326">
        <f t="shared" si="37"/>
        <v>0</v>
      </c>
      <c r="L71" s="327"/>
      <c r="M71" s="326" t="e">
        <f t="shared" si="38"/>
        <v>#DIV/0!</v>
      </c>
      <c r="N71" s="327">
        <f t="shared" ref="N71:N77" si="41">J71-L71</f>
        <v>0</v>
      </c>
      <c r="O71" s="342" t="str">
        <f t="shared" ref="O71:O77" si="42">IFERROR(N71/L71,"")</f>
        <v/>
      </c>
      <c r="P71" s="244"/>
      <c r="Q71" s="244"/>
      <c r="R71" s="244"/>
      <c r="S71" s="244"/>
      <c r="T71" s="244"/>
      <c r="U71" s="244"/>
      <c r="V71" s="244"/>
      <c r="W71" s="244"/>
      <c r="X71" s="244"/>
      <c r="Y71" s="244"/>
      <c r="Z71" s="244"/>
      <c r="AA71" s="244"/>
      <c r="AB71" s="244"/>
      <c r="AC71" s="244"/>
    </row>
    <row r="72" spans="1:29" ht="15.75" customHeight="1" x14ac:dyDescent="0.25">
      <c r="A72" s="244"/>
      <c r="B72" s="331"/>
      <c r="C72" s="339" t="s">
        <v>212</v>
      </c>
      <c r="D72" s="265">
        <v>0</v>
      </c>
      <c r="E72" s="332">
        <f t="shared" si="35"/>
        <v>0</v>
      </c>
      <c r="F72" s="296"/>
      <c r="G72" s="332" t="e">
        <f t="shared" si="36"/>
        <v>#DIV/0!</v>
      </c>
      <c r="H72" s="296">
        <f t="shared" si="39"/>
        <v>0</v>
      </c>
      <c r="I72" s="343" t="str">
        <f t="shared" si="40"/>
        <v/>
      </c>
      <c r="J72" s="265">
        <v>0</v>
      </c>
      <c r="K72" s="332">
        <f t="shared" si="37"/>
        <v>0</v>
      </c>
      <c r="L72" s="296"/>
      <c r="M72" s="332" t="e">
        <f t="shared" si="38"/>
        <v>#DIV/0!</v>
      </c>
      <c r="N72" s="296">
        <f t="shared" si="41"/>
        <v>0</v>
      </c>
      <c r="O72" s="343" t="str">
        <f t="shared" si="42"/>
        <v/>
      </c>
      <c r="P72" s="244"/>
      <c r="Q72" s="244"/>
      <c r="R72" s="244"/>
      <c r="S72" s="244"/>
      <c r="T72" s="244"/>
      <c r="U72" s="244"/>
      <c r="V72" s="244"/>
      <c r="W72" s="244"/>
      <c r="X72" s="244"/>
      <c r="Y72" s="244"/>
      <c r="Z72" s="244"/>
      <c r="AA72" s="244"/>
      <c r="AB72" s="244"/>
      <c r="AC72" s="244"/>
    </row>
    <row r="73" spans="1:29" ht="15.75" customHeight="1" x14ac:dyDescent="0.25">
      <c r="A73" s="244"/>
      <c r="B73" s="331"/>
      <c r="C73" s="339" t="s">
        <v>213</v>
      </c>
      <c r="D73" s="265">
        <v>0</v>
      </c>
      <c r="E73" s="332">
        <f t="shared" si="35"/>
        <v>0</v>
      </c>
      <c r="F73" s="296"/>
      <c r="G73" s="332" t="e">
        <f t="shared" si="36"/>
        <v>#DIV/0!</v>
      </c>
      <c r="H73" s="296">
        <f t="shared" si="39"/>
        <v>0</v>
      </c>
      <c r="I73" s="343" t="str">
        <f t="shared" si="40"/>
        <v/>
      </c>
      <c r="J73" s="265">
        <v>0</v>
      </c>
      <c r="K73" s="332">
        <f t="shared" si="37"/>
        <v>0</v>
      </c>
      <c r="L73" s="296"/>
      <c r="M73" s="332" t="e">
        <f t="shared" si="38"/>
        <v>#DIV/0!</v>
      </c>
      <c r="N73" s="296">
        <f t="shared" si="41"/>
        <v>0</v>
      </c>
      <c r="O73" s="343" t="str">
        <f t="shared" si="42"/>
        <v/>
      </c>
      <c r="P73" s="244"/>
      <c r="Q73" s="244"/>
      <c r="R73" s="244"/>
      <c r="S73" s="244"/>
      <c r="T73" s="244"/>
      <c r="U73" s="244"/>
      <c r="V73" s="244"/>
      <c r="W73" s="244"/>
      <c r="X73" s="244"/>
      <c r="Y73" s="244"/>
      <c r="Z73" s="244"/>
      <c r="AA73" s="244"/>
      <c r="AB73" s="244"/>
      <c r="AC73" s="244"/>
    </row>
    <row r="74" spans="1:29" ht="15.75" customHeight="1" x14ac:dyDescent="0.25">
      <c r="A74" s="244"/>
      <c r="B74" s="331"/>
      <c r="C74" s="339" t="s">
        <v>314</v>
      </c>
      <c r="D74" s="265">
        <v>0</v>
      </c>
      <c r="E74" s="332">
        <f t="shared" si="35"/>
        <v>0</v>
      </c>
      <c r="F74" s="296"/>
      <c r="G74" s="332" t="e">
        <f t="shared" si="36"/>
        <v>#DIV/0!</v>
      </c>
      <c r="H74" s="296">
        <f t="shared" si="39"/>
        <v>0</v>
      </c>
      <c r="I74" s="343" t="str">
        <f t="shared" si="40"/>
        <v/>
      </c>
      <c r="J74" s="265">
        <v>0</v>
      </c>
      <c r="K74" s="332">
        <f t="shared" si="37"/>
        <v>0</v>
      </c>
      <c r="L74" s="296"/>
      <c r="M74" s="332" t="e">
        <f t="shared" si="38"/>
        <v>#DIV/0!</v>
      </c>
      <c r="N74" s="296">
        <f t="shared" si="41"/>
        <v>0</v>
      </c>
      <c r="O74" s="343" t="str">
        <f t="shared" si="42"/>
        <v/>
      </c>
      <c r="P74" s="244"/>
      <c r="Q74" s="244"/>
      <c r="R74" s="244"/>
      <c r="S74" s="244"/>
      <c r="T74" s="244"/>
      <c r="U74" s="244"/>
      <c r="V74" s="244"/>
      <c r="W74" s="244"/>
      <c r="X74" s="244"/>
      <c r="Y74" s="244"/>
      <c r="Z74" s="244"/>
      <c r="AA74" s="244"/>
      <c r="AB74" s="244"/>
      <c r="AC74" s="244"/>
    </row>
    <row r="75" spans="1:29" ht="15.75" customHeight="1" x14ac:dyDescent="0.25">
      <c r="A75" s="244"/>
      <c r="B75" s="331"/>
      <c r="C75" s="339" t="s">
        <v>297</v>
      </c>
      <c r="D75" s="265">
        <v>0</v>
      </c>
      <c r="E75" s="332">
        <f t="shared" si="35"/>
        <v>0</v>
      </c>
      <c r="F75" s="296"/>
      <c r="G75" s="332" t="e">
        <f t="shared" si="36"/>
        <v>#DIV/0!</v>
      </c>
      <c r="H75" s="296">
        <f t="shared" si="39"/>
        <v>0</v>
      </c>
      <c r="I75" s="343" t="str">
        <f t="shared" si="40"/>
        <v/>
      </c>
      <c r="J75" s="265">
        <v>0</v>
      </c>
      <c r="K75" s="332">
        <f t="shared" si="37"/>
        <v>0</v>
      </c>
      <c r="L75" s="296"/>
      <c r="M75" s="332" t="e">
        <f t="shared" si="38"/>
        <v>#DIV/0!</v>
      </c>
      <c r="N75" s="296">
        <f t="shared" si="41"/>
        <v>0</v>
      </c>
      <c r="O75" s="343" t="str">
        <f t="shared" si="42"/>
        <v/>
      </c>
      <c r="P75" s="244"/>
      <c r="Q75" s="244"/>
      <c r="R75" s="244"/>
      <c r="S75" s="244"/>
      <c r="T75" s="244"/>
      <c r="U75" s="244"/>
      <c r="V75" s="244"/>
      <c r="W75" s="244"/>
      <c r="X75" s="244"/>
      <c r="Y75" s="244"/>
      <c r="Z75" s="244"/>
      <c r="AA75" s="244"/>
      <c r="AB75" s="244"/>
      <c r="AC75" s="244"/>
    </row>
    <row r="76" spans="1:29" ht="15.75" customHeight="1" x14ac:dyDescent="0.25">
      <c r="A76" s="244"/>
      <c r="B76" s="331"/>
      <c r="C76" s="339" t="s">
        <v>307</v>
      </c>
      <c r="D76" s="265">
        <v>0</v>
      </c>
      <c r="E76" s="332">
        <f t="shared" si="35"/>
        <v>0</v>
      </c>
      <c r="F76" s="296"/>
      <c r="G76" s="332" t="e">
        <f t="shared" si="36"/>
        <v>#DIV/0!</v>
      </c>
      <c r="H76" s="296">
        <f t="shared" si="39"/>
        <v>0</v>
      </c>
      <c r="I76" s="343" t="str">
        <f t="shared" si="40"/>
        <v/>
      </c>
      <c r="J76" s="265">
        <v>0</v>
      </c>
      <c r="K76" s="332">
        <f t="shared" si="37"/>
        <v>0</v>
      </c>
      <c r="L76" s="296"/>
      <c r="M76" s="332" t="e">
        <f t="shared" si="38"/>
        <v>#DIV/0!</v>
      </c>
      <c r="N76" s="296">
        <f t="shared" si="41"/>
        <v>0</v>
      </c>
      <c r="O76" s="343" t="str">
        <f t="shared" si="42"/>
        <v/>
      </c>
      <c r="P76" s="244"/>
      <c r="Q76" s="244"/>
      <c r="R76" s="244"/>
      <c r="S76" s="244"/>
      <c r="T76" s="244"/>
      <c r="U76" s="244"/>
      <c r="V76" s="244"/>
      <c r="W76" s="244"/>
      <c r="X76" s="244"/>
      <c r="Y76" s="244"/>
      <c r="Z76" s="244"/>
      <c r="AA76" s="244"/>
      <c r="AB76" s="244"/>
      <c r="AC76" s="244"/>
    </row>
    <row r="77" spans="1:29" ht="15.75" customHeight="1" x14ac:dyDescent="0.25">
      <c r="A77" s="244"/>
      <c r="B77" s="331"/>
      <c r="C77" s="339" t="s">
        <v>299</v>
      </c>
      <c r="D77" s="265">
        <v>0</v>
      </c>
      <c r="E77" s="332">
        <f t="shared" si="35"/>
        <v>0</v>
      </c>
      <c r="F77" s="296"/>
      <c r="G77" s="332" t="e">
        <f t="shared" si="36"/>
        <v>#DIV/0!</v>
      </c>
      <c r="H77" s="296">
        <f t="shared" si="39"/>
        <v>0</v>
      </c>
      <c r="I77" s="343" t="str">
        <f t="shared" si="40"/>
        <v/>
      </c>
      <c r="J77" s="265">
        <v>0</v>
      </c>
      <c r="K77" s="332">
        <f t="shared" si="37"/>
        <v>0</v>
      </c>
      <c r="L77" s="296"/>
      <c r="M77" s="332" t="e">
        <f t="shared" si="38"/>
        <v>#DIV/0!</v>
      </c>
      <c r="N77" s="296">
        <f t="shared" si="41"/>
        <v>0</v>
      </c>
      <c r="O77" s="343" t="str">
        <f t="shared" si="42"/>
        <v/>
      </c>
      <c r="P77" s="244"/>
      <c r="Q77" s="244"/>
      <c r="R77" s="244"/>
      <c r="S77" s="244"/>
      <c r="T77" s="244"/>
      <c r="U77" s="244"/>
      <c r="V77" s="244"/>
      <c r="W77" s="244"/>
      <c r="X77" s="244"/>
      <c r="Y77" s="244"/>
      <c r="Z77" s="244"/>
      <c r="AA77" s="244"/>
      <c r="AB77" s="244"/>
      <c r="AC77" s="244"/>
    </row>
    <row r="78" spans="1:29" ht="15.75" customHeight="1" x14ac:dyDescent="0.25">
      <c r="A78" s="244"/>
      <c r="B78" s="331"/>
      <c r="C78" s="339" t="s">
        <v>270</v>
      </c>
      <c r="D78" s="265">
        <v>0</v>
      </c>
      <c r="E78" s="332">
        <f t="shared" si="35"/>
        <v>0</v>
      </c>
      <c r="F78" s="296"/>
      <c r="G78" s="332"/>
      <c r="H78" s="296"/>
      <c r="I78" s="343"/>
      <c r="J78" s="265">
        <v>0</v>
      </c>
      <c r="K78" s="332">
        <f t="shared" si="37"/>
        <v>0</v>
      </c>
      <c r="L78" s="296"/>
      <c r="M78" s="332"/>
      <c r="N78" s="296"/>
      <c r="O78" s="343"/>
      <c r="P78" s="244"/>
      <c r="Q78" s="244"/>
      <c r="R78" s="244"/>
      <c r="S78" s="244"/>
      <c r="T78" s="244"/>
      <c r="U78" s="244"/>
      <c r="V78" s="244"/>
      <c r="W78" s="244"/>
      <c r="X78" s="244"/>
      <c r="Y78" s="244"/>
      <c r="Z78" s="244"/>
      <c r="AA78" s="244"/>
      <c r="AB78" s="244"/>
      <c r="AC78" s="244"/>
    </row>
    <row r="79" spans="1:29" ht="15.75" customHeight="1" x14ac:dyDescent="0.25">
      <c r="A79" s="244"/>
      <c r="B79" s="331"/>
      <c r="C79" s="339" t="s">
        <v>271</v>
      </c>
      <c r="D79" s="265">
        <v>86882</v>
      </c>
      <c r="E79" s="332">
        <f t="shared" si="35"/>
        <v>5.0087162656809727E-3</v>
      </c>
      <c r="F79" s="296"/>
      <c r="G79" s="332" t="e">
        <f>F79/F$29</f>
        <v>#DIV/0!</v>
      </c>
      <c r="H79" s="296">
        <f>D79-F79</f>
        <v>86882</v>
      </c>
      <c r="I79" s="343" t="str">
        <f>IFERROR(H79/F79,"")</f>
        <v/>
      </c>
      <c r="J79" s="265">
        <v>100602</v>
      </c>
      <c r="K79" s="332">
        <f t="shared" si="37"/>
        <v>5.9575125285892738E-3</v>
      </c>
      <c r="L79" s="296"/>
      <c r="M79" s="332" t="e">
        <f>L79/L$29</f>
        <v>#DIV/0!</v>
      </c>
      <c r="N79" s="296">
        <f>J79-L79</f>
        <v>100602</v>
      </c>
      <c r="O79" s="343" t="str">
        <f>IFERROR(N79/L79,"")</f>
        <v/>
      </c>
      <c r="P79" s="244"/>
      <c r="Q79" s="244"/>
      <c r="R79" s="244"/>
      <c r="S79" s="244"/>
      <c r="T79" s="244"/>
      <c r="U79" s="244"/>
      <c r="V79" s="244"/>
      <c r="W79" s="244"/>
      <c r="X79" s="244"/>
      <c r="Y79" s="244"/>
      <c r="Z79" s="244"/>
      <c r="AA79" s="244"/>
      <c r="AB79" s="244"/>
      <c r="AC79" s="244"/>
    </row>
    <row r="80" spans="1:29" ht="15.75" customHeight="1" x14ac:dyDescent="0.25">
      <c r="A80" s="244"/>
      <c r="B80" s="346"/>
      <c r="C80" s="563"/>
      <c r="D80" s="276"/>
      <c r="E80" s="458"/>
      <c r="F80" s="562"/>
      <c r="G80" s="337"/>
      <c r="H80" s="562"/>
      <c r="I80" s="404"/>
      <c r="J80" s="276"/>
      <c r="K80" s="458"/>
      <c r="L80" s="562"/>
      <c r="M80" s="337"/>
      <c r="N80" s="562"/>
      <c r="O80" s="404"/>
      <c r="P80" s="244"/>
      <c r="Q80" s="244"/>
      <c r="R80" s="244"/>
      <c r="S80" s="244"/>
      <c r="T80" s="244"/>
      <c r="U80" s="244"/>
      <c r="V80" s="244"/>
      <c r="W80" s="244"/>
      <c r="X80" s="244"/>
      <c r="Y80" s="244"/>
      <c r="Z80" s="244"/>
      <c r="AA80" s="244"/>
      <c r="AB80" s="244"/>
      <c r="AC80" s="244"/>
    </row>
    <row r="81" spans="1:29" ht="15.75" customHeight="1" x14ac:dyDescent="0.25">
      <c r="A81" s="244"/>
      <c r="B81" s="347"/>
      <c r="C81" s="498" t="s">
        <v>35</v>
      </c>
      <c r="D81" s="257">
        <f>SUM(D82:D85)</f>
        <v>628442</v>
      </c>
      <c r="E81" s="321">
        <f t="shared" ref="E81:E85" si="43">D81/D$29</f>
        <v>3.6229456820021204E-2</v>
      </c>
      <c r="F81" s="322">
        <f>SUM(F82:F85)</f>
        <v>0</v>
      </c>
      <c r="G81" s="321" t="e">
        <f t="shared" ref="G81:G85" si="44">F81/F$29</f>
        <v>#DIV/0!</v>
      </c>
      <c r="H81" s="322">
        <f>SUM(H82:H85)</f>
        <v>628442</v>
      </c>
      <c r="I81" s="323">
        <f>H81/H$29</f>
        <v>3.6229456820021204E-2</v>
      </c>
      <c r="J81" s="257">
        <f>SUM(J82:J85)</f>
        <v>679501</v>
      </c>
      <c r="K81" s="321">
        <f t="shared" ref="K81:K85" si="45">J81/J$29</f>
        <v>4.0239117718225685E-2</v>
      </c>
      <c r="L81" s="322">
        <f>SUM(L82:L85)</f>
        <v>0</v>
      </c>
      <c r="M81" s="321" t="e">
        <f t="shared" ref="M81:M85" si="46">L81/L$29</f>
        <v>#DIV/0!</v>
      </c>
      <c r="N81" s="322">
        <f>SUM(N82:N85)</f>
        <v>679501</v>
      </c>
      <c r="O81" s="323">
        <f>N81/N$29</f>
        <v>4.0239117718225685E-2</v>
      </c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</row>
    <row r="82" spans="1:29" ht="15.75" customHeight="1" x14ac:dyDescent="0.25">
      <c r="A82" s="244"/>
      <c r="B82" s="371"/>
      <c r="C82" s="393" t="s">
        <v>215</v>
      </c>
      <c r="D82" s="261">
        <v>11175</v>
      </c>
      <c r="E82" s="326">
        <f t="shared" si="43"/>
        <v>6.4423475828117303E-4</v>
      </c>
      <c r="F82" s="327"/>
      <c r="G82" s="326" t="e">
        <f t="shared" si="44"/>
        <v>#DIV/0!</v>
      </c>
      <c r="H82" s="327">
        <f t="shared" ref="H82:H85" si="47">D82-F82</f>
        <v>11175</v>
      </c>
      <c r="I82" s="342" t="str">
        <f t="shared" ref="I82:I85" si="48">IFERROR(H82/F82,"")</f>
        <v/>
      </c>
      <c r="J82" s="261">
        <v>12833</v>
      </c>
      <c r="K82" s="326">
        <f t="shared" si="45"/>
        <v>7.5995266773410221E-4</v>
      </c>
      <c r="L82" s="327"/>
      <c r="M82" s="326" t="e">
        <f t="shared" si="46"/>
        <v>#DIV/0!</v>
      </c>
      <c r="N82" s="327">
        <f t="shared" ref="N82:N85" si="49">J82-L82</f>
        <v>12833</v>
      </c>
      <c r="O82" s="342" t="str">
        <f t="shared" ref="O82:O85" si="50">IFERROR(N82/L82,"")</f>
        <v/>
      </c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  <c r="AA82" s="244"/>
      <c r="AB82" s="244"/>
      <c r="AC82" s="244"/>
    </row>
    <row r="83" spans="1:29" ht="15.75" customHeight="1" x14ac:dyDescent="0.25">
      <c r="A83" s="244"/>
      <c r="B83" s="331"/>
      <c r="C83" s="339" t="s">
        <v>216</v>
      </c>
      <c r="D83" s="265">
        <v>0</v>
      </c>
      <c r="E83" s="332">
        <f t="shared" si="43"/>
        <v>0</v>
      </c>
      <c r="F83" s="296"/>
      <c r="G83" s="332" t="e">
        <f t="shared" si="44"/>
        <v>#DIV/0!</v>
      </c>
      <c r="H83" s="296">
        <f t="shared" si="47"/>
        <v>0</v>
      </c>
      <c r="I83" s="343" t="str">
        <f t="shared" si="48"/>
        <v/>
      </c>
      <c r="J83" s="276">
        <v>0</v>
      </c>
      <c r="K83" s="332">
        <f t="shared" si="45"/>
        <v>0</v>
      </c>
      <c r="L83" s="296"/>
      <c r="M83" s="332" t="e">
        <f t="shared" si="46"/>
        <v>#DIV/0!</v>
      </c>
      <c r="N83" s="296">
        <f t="shared" si="49"/>
        <v>0</v>
      </c>
      <c r="O83" s="343" t="str">
        <f t="shared" si="50"/>
        <v/>
      </c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</row>
    <row r="84" spans="1:29" ht="15.75" customHeight="1" x14ac:dyDescent="0.25">
      <c r="A84" s="244"/>
      <c r="B84" s="331"/>
      <c r="C84" s="339" t="s">
        <v>315</v>
      </c>
      <c r="D84" s="265">
        <v>379080</v>
      </c>
      <c r="E84" s="332">
        <f t="shared" si="43"/>
        <v>2.1853826592324571E-2</v>
      </c>
      <c r="F84" s="296"/>
      <c r="G84" s="332" t="e">
        <f t="shared" si="44"/>
        <v>#DIV/0!</v>
      </c>
      <c r="H84" s="296">
        <f t="shared" si="47"/>
        <v>379080</v>
      </c>
      <c r="I84" s="564" t="str">
        <f t="shared" si="48"/>
        <v/>
      </c>
      <c r="J84" s="341">
        <v>407089</v>
      </c>
      <c r="K84" s="335">
        <f t="shared" si="45"/>
        <v>2.4107252517354315E-2</v>
      </c>
      <c r="L84" s="296"/>
      <c r="M84" s="332" t="e">
        <f t="shared" si="46"/>
        <v>#DIV/0!</v>
      </c>
      <c r="N84" s="296">
        <f t="shared" si="49"/>
        <v>407089</v>
      </c>
      <c r="O84" s="343" t="str">
        <f t="shared" si="50"/>
        <v/>
      </c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Z84" s="244"/>
      <c r="AA84" s="244"/>
      <c r="AB84" s="244"/>
      <c r="AC84" s="244"/>
    </row>
    <row r="85" spans="1:29" ht="15.75" customHeight="1" x14ac:dyDescent="0.25">
      <c r="A85" s="244"/>
      <c r="B85" s="331"/>
      <c r="C85" s="339" t="s">
        <v>308</v>
      </c>
      <c r="D85" s="265">
        <v>238187</v>
      </c>
      <c r="E85" s="332">
        <f t="shared" si="43"/>
        <v>1.373139546941546E-2</v>
      </c>
      <c r="F85" s="296"/>
      <c r="G85" s="332" t="e">
        <f t="shared" si="44"/>
        <v>#DIV/0!</v>
      </c>
      <c r="H85" s="296">
        <f t="shared" si="47"/>
        <v>238187</v>
      </c>
      <c r="I85" s="564" t="str">
        <f t="shared" si="48"/>
        <v/>
      </c>
      <c r="J85" s="341">
        <f>9852+249727</f>
        <v>259579</v>
      </c>
      <c r="K85" s="335">
        <f t="shared" si="45"/>
        <v>1.5371912533137265E-2</v>
      </c>
      <c r="L85" s="296"/>
      <c r="M85" s="332" t="e">
        <f t="shared" si="46"/>
        <v>#DIV/0!</v>
      </c>
      <c r="N85" s="296">
        <f t="shared" si="49"/>
        <v>259579</v>
      </c>
      <c r="O85" s="343" t="str">
        <f t="shared" si="50"/>
        <v/>
      </c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</row>
    <row r="86" spans="1:29" ht="15.75" customHeight="1" x14ac:dyDescent="0.25">
      <c r="A86" s="244"/>
      <c r="B86" s="331"/>
      <c r="C86" s="339"/>
      <c r="D86" s="265"/>
      <c r="E86" s="186"/>
      <c r="F86" s="451"/>
      <c r="G86" s="332"/>
      <c r="H86" s="451"/>
      <c r="I86" s="339"/>
      <c r="J86" s="261"/>
      <c r="K86" s="186"/>
      <c r="L86" s="451"/>
      <c r="M86" s="332"/>
      <c r="N86" s="451"/>
      <c r="O86" s="339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Z86" s="244"/>
      <c r="AA86" s="244"/>
      <c r="AB86" s="244"/>
      <c r="AC86" s="244"/>
    </row>
    <row r="87" spans="1:29" ht="15.75" customHeight="1" x14ac:dyDescent="0.25">
      <c r="A87" s="244"/>
      <c r="B87" s="346"/>
      <c r="C87" s="404"/>
      <c r="D87" s="276"/>
      <c r="E87" s="458"/>
      <c r="F87" s="562"/>
      <c r="G87" s="337"/>
      <c r="H87" s="562"/>
      <c r="I87" s="404"/>
      <c r="J87" s="276"/>
      <c r="K87" s="458"/>
      <c r="L87" s="562"/>
      <c r="M87" s="337"/>
      <c r="N87" s="562"/>
      <c r="O87" s="404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244"/>
      <c r="AB87" s="244"/>
      <c r="AC87" s="244"/>
    </row>
    <row r="88" spans="1:29" ht="15.75" customHeight="1" x14ac:dyDescent="0.25">
      <c r="A88" s="244"/>
      <c r="B88" s="347"/>
      <c r="C88" s="498" t="s">
        <v>36</v>
      </c>
      <c r="D88" s="257">
        <f>SUM(D89:D94)</f>
        <v>1542823</v>
      </c>
      <c r="E88" s="321">
        <f t="shared" ref="E88:E94" si="51">D88/D$29</f>
        <v>8.8943194852405746E-2</v>
      </c>
      <c r="F88" s="322">
        <f>SUM(F89:F94)</f>
        <v>0</v>
      </c>
      <c r="G88" s="321" t="e">
        <f t="shared" ref="G88:G89" si="52">F88/F$29</f>
        <v>#DIV/0!</v>
      </c>
      <c r="H88" s="322">
        <f>SUM(H89:H94)</f>
        <v>1415826</v>
      </c>
      <c r="I88" s="323">
        <f t="shared" ref="I88:I92" si="53">H88/H$29</f>
        <v>8.162186316583446E-2</v>
      </c>
      <c r="J88" s="257">
        <f>SUM(J89:J94)</f>
        <v>808420</v>
      </c>
      <c r="K88" s="321">
        <f t="shared" ref="K88:K94" si="54">J88/J$29</f>
        <v>4.7873524168129268E-2</v>
      </c>
      <c r="L88" s="322">
        <f>SUM(L89:L94)</f>
        <v>0</v>
      </c>
      <c r="M88" s="321" t="e">
        <f t="shared" ref="M88:M89" si="55">L88/L$29</f>
        <v>#DIV/0!</v>
      </c>
      <c r="N88" s="322">
        <f>SUM(N89:N94)</f>
        <v>678324</v>
      </c>
      <c r="O88" s="323">
        <f t="shared" ref="O88:O92" si="56">N88/N$29</f>
        <v>4.0169417391729689E-2</v>
      </c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  <c r="AA88" s="246"/>
      <c r="AB88" s="246"/>
      <c r="AC88" s="246"/>
    </row>
    <row r="89" spans="1:29" ht="15.75" customHeight="1" x14ac:dyDescent="0.25">
      <c r="A89" s="244"/>
      <c r="B89" s="371"/>
      <c r="C89" s="393" t="s">
        <v>220</v>
      </c>
      <c r="D89" s="261">
        <v>991200</v>
      </c>
      <c r="E89" s="326">
        <f t="shared" si="51"/>
        <v>5.7142325942577066E-2</v>
      </c>
      <c r="F89" s="327"/>
      <c r="G89" s="326" t="e">
        <f t="shared" si="52"/>
        <v>#DIV/0!</v>
      </c>
      <c r="H89" s="327">
        <f>D89-F89</f>
        <v>991200</v>
      </c>
      <c r="I89" s="330">
        <f t="shared" si="53"/>
        <v>5.7142325942577066E-2</v>
      </c>
      <c r="J89" s="261">
        <v>588328</v>
      </c>
      <c r="K89" s="326">
        <f t="shared" si="54"/>
        <v>3.4839977643783125E-2</v>
      </c>
      <c r="L89" s="327"/>
      <c r="M89" s="326" t="e">
        <f t="shared" si="55"/>
        <v>#DIV/0!</v>
      </c>
      <c r="N89" s="327">
        <f>J89-L89</f>
        <v>588328</v>
      </c>
      <c r="O89" s="330">
        <f t="shared" si="56"/>
        <v>3.4839977643783125E-2</v>
      </c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</row>
    <row r="90" spans="1:29" ht="15.75" customHeight="1" x14ac:dyDescent="0.25">
      <c r="A90" s="244"/>
      <c r="B90" s="331"/>
      <c r="C90" s="339" t="s">
        <v>316</v>
      </c>
      <c r="D90" s="265">
        <v>126997</v>
      </c>
      <c r="E90" s="332">
        <f t="shared" si="51"/>
        <v>7.3213316865712872E-3</v>
      </c>
      <c r="F90" s="296"/>
      <c r="G90" s="332"/>
      <c r="H90" s="296"/>
      <c r="I90" s="336">
        <f t="shared" si="53"/>
        <v>0</v>
      </c>
      <c r="J90" s="265">
        <v>130096</v>
      </c>
      <c r="K90" s="332">
        <f t="shared" si="54"/>
        <v>7.7041067763995762E-3</v>
      </c>
      <c r="L90" s="296"/>
      <c r="M90" s="332"/>
      <c r="N90" s="296"/>
      <c r="O90" s="336">
        <f t="shared" si="56"/>
        <v>0</v>
      </c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</row>
    <row r="91" spans="1:29" ht="15.75" customHeight="1" x14ac:dyDescent="0.25">
      <c r="A91" s="244"/>
      <c r="B91" s="331"/>
      <c r="C91" s="339" t="s">
        <v>317</v>
      </c>
      <c r="D91" s="265">
        <v>0</v>
      </c>
      <c r="E91" s="332">
        <f t="shared" si="51"/>
        <v>0</v>
      </c>
      <c r="F91" s="296"/>
      <c r="G91" s="332"/>
      <c r="H91" s="296"/>
      <c r="I91" s="336">
        <f t="shared" si="53"/>
        <v>0</v>
      </c>
      <c r="J91" s="265">
        <v>0</v>
      </c>
      <c r="K91" s="332">
        <f t="shared" si="54"/>
        <v>0</v>
      </c>
      <c r="L91" s="296"/>
      <c r="M91" s="332"/>
      <c r="N91" s="296"/>
      <c r="O91" s="336">
        <f t="shared" si="56"/>
        <v>0</v>
      </c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</row>
    <row r="92" spans="1:29" ht="15.75" customHeight="1" x14ac:dyDescent="0.25">
      <c r="A92" s="246"/>
      <c r="B92" s="331"/>
      <c r="C92" s="339" t="s">
        <v>221</v>
      </c>
      <c r="D92" s="265">
        <v>335100</v>
      </c>
      <c r="E92" s="332">
        <f t="shared" si="51"/>
        <v>1.9318395302015311E-2</v>
      </c>
      <c r="F92" s="296"/>
      <c r="G92" s="332" t="e">
        <f t="shared" ref="G92:G94" si="57">F92/F$29</f>
        <v>#DIV/0!</v>
      </c>
      <c r="H92" s="296">
        <f t="shared" ref="H92:H94" si="58">D92-F92</f>
        <v>335100</v>
      </c>
      <c r="I92" s="336">
        <f t="shared" si="53"/>
        <v>1.9318395302015311E-2</v>
      </c>
      <c r="J92" s="265">
        <v>19470</v>
      </c>
      <c r="K92" s="332">
        <f t="shared" si="54"/>
        <v>1.152986709326188E-3</v>
      </c>
      <c r="L92" s="296"/>
      <c r="M92" s="332" t="e">
        <f t="shared" ref="M92:M94" si="59">L92/L$29</f>
        <v>#DIV/0!</v>
      </c>
      <c r="N92" s="296">
        <f t="shared" ref="N92:N94" si="60">J92-L92</f>
        <v>19470</v>
      </c>
      <c r="O92" s="336">
        <f t="shared" si="56"/>
        <v>1.152986709326188E-3</v>
      </c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</row>
    <row r="93" spans="1:29" ht="15.75" customHeight="1" x14ac:dyDescent="0.25">
      <c r="A93" s="244"/>
      <c r="B93" s="331"/>
      <c r="C93" s="339" t="s">
        <v>222</v>
      </c>
      <c r="D93" s="265">
        <v>87400</v>
      </c>
      <c r="E93" s="332">
        <f t="shared" si="51"/>
        <v>5.0385787806509642E-3</v>
      </c>
      <c r="F93" s="296"/>
      <c r="G93" s="332" t="e">
        <f t="shared" si="57"/>
        <v>#DIV/0!</v>
      </c>
      <c r="H93" s="296">
        <f t="shared" si="58"/>
        <v>87400</v>
      </c>
      <c r="I93" s="336" t="str">
        <f t="shared" ref="I93:I94" si="61">IFERROR(H93/F93,"")</f>
        <v/>
      </c>
      <c r="J93" s="265">
        <v>68400</v>
      </c>
      <c r="K93" s="332">
        <f t="shared" si="54"/>
        <v>4.0505542330719702E-3</v>
      </c>
      <c r="L93" s="296"/>
      <c r="M93" s="332" t="e">
        <f t="shared" si="59"/>
        <v>#DIV/0!</v>
      </c>
      <c r="N93" s="296">
        <f t="shared" si="60"/>
        <v>68400</v>
      </c>
      <c r="O93" s="336" t="str">
        <f t="shared" ref="O93:O94" si="62">IFERROR(N93/L93,"")</f>
        <v/>
      </c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</row>
    <row r="94" spans="1:29" ht="15.75" customHeight="1" x14ac:dyDescent="0.25">
      <c r="A94" s="244"/>
      <c r="B94" s="331"/>
      <c r="C94" s="339" t="s">
        <v>223</v>
      </c>
      <c r="D94" s="265">
        <v>2126</v>
      </c>
      <c r="E94" s="332">
        <f t="shared" si="51"/>
        <v>1.2256314059112071E-4</v>
      </c>
      <c r="F94" s="296"/>
      <c r="G94" s="332" t="e">
        <f t="shared" si="57"/>
        <v>#DIV/0!</v>
      </c>
      <c r="H94" s="296">
        <f t="shared" si="58"/>
        <v>2126</v>
      </c>
      <c r="I94" s="336" t="str">
        <f t="shared" si="61"/>
        <v/>
      </c>
      <c r="J94" s="265">
        <v>2126</v>
      </c>
      <c r="K94" s="332">
        <f t="shared" si="54"/>
        <v>1.2589880554840656E-4</v>
      </c>
      <c r="L94" s="296"/>
      <c r="M94" s="332" t="e">
        <f t="shared" si="59"/>
        <v>#DIV/0!</v>
      </c>
      <c r="N94" s="296">
        <f t="shared" si="60"/>
        <v>2126</v>
      </c>
      <c r="O94" s="336" t="str">
        <f t="shared" si="62"/>
        <v/>
      </c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</row>
    <row r="95" spans="1:29" ht="15.75" customHeight="1" x14ac:dyDescent="0.25">
      <c r="A95" s="244"/>
      <c r="B95" s="346"/>
      <c r="C95" s="563"/>
      <c r="D95" s="276"/>
      <c r="E95" s="337"/>
      <c r="F95" s="317"/>
      <c r="G95" s="337"/>
      <c r="H95" s="562"/>
      <c r="I95" s="404"/>
      <c r="J95" s="276"/>
      <c r="K95" s="337"/>
      <c r="L95" s="317"/>
      <c r="M95" s="337"/>
      <c r="N95" s="562"/>
      <c r="O95" s="404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</row>
    <row r="96" spans="1:29" ht="15.75" customHeight="1" x14ac:dyDescent="0.25">
      <c r="A96" s="244"/>
      <c r="B96" s="347"/>
      <c r="C96" s="498" t="s">
        <v>37</v>
      </c>
      <c r="D96" s="257">
        <f>SUM(D97:D105)</f>
        <v>3711761.0866666664</v>
      </c>
      <c r="E96" s="321">
        <f t="shared" ref="E96:E102" si="63">D96/D$29</f>
        <v>0.2139817008023413</v>
      </c>
      <c r="F96" s="322">
        <f>SUM(F97:F105)</f>
        <v>0</v>
      </c>
      <c r="G96" s="321" t="e">
        <f>F96/F$29</f>
        <v>#DIV/0!</v>
      </c>
      <c r="H96" s="553">
        <f>SUM(H97:H104)</f>
        <v>3686745.0866666664</v>
      </c>
      <c r="I96" s="410"/>
      <c r="J96" s="257">
        <f>SUM(J97:J105)</f>
        <v>3833654.9166666665</v>
      </c>
      <c r="K96" s="321">
        <f t="shared" ref="K96:K102" si="64">J96/J$29</f>
        <v>0.2270237887549903</v>
      </c>
      <c r="L96" s="322">
        <f>SUM(L97:L105)</f>
        <v>0</v>
      </c>
      <c r="M96" s="321" t="e">
        <f>L96/L$29</f>
        <v>#DIV/0!</v>
      </c>
      <c r="N96" s="553">
        <f>SUM(N97:N104)</f>
        <v>3833654.9166666665</v>
      </c>
      <c r="O96" s="410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  <c r="AA96" s="246"/>
      <c r="AB96" s="246"/>
      <c r="AC96" s="246"/>
    </row>
    <row r="97" spans="1:29" ht="15.75" customHeight="1" x14ac:dyDescent="0.25">
      <c r="A97" s="244"/>
      <c r="B97" s="371"/>
      <c r="C97" s="393" t="s">
        <v>224</v>
      </c>
      <c r="D97" s="261">
        <v>0</v>
      </c>
      <c r="E97" s="326">
        <f t="shared" si="63"/>
        <v>0</v>
      </c>
      <c r="F97" s="327"/>
      <c r="G97" s="326"/>
      <c r="H97" s="327">
        <f t="shared" ref="H97:H102" si="65">D97-F97</f>
        <v>0</v>
      </c>
      <c r="I97" s="342" t="str">
        <f t="shared" ref="I97:I102" si="66">IFERROR(H97/F97,"")</f>
        <v/>
      </c>
      <c r="J97" s="261">
        <v>0</v>
      </c>
      <c r="K97" s="326">
        <f t="shared" si="64"/>
        <v>0</v>
      </c>
      <c r="L97" s="327"/>
      <c r="M97" s="326"/>
      <c r="N97" s="327">
        <f t="shared" ref="N97:N102" si="67">J97-L97</f>
        <v>0</v>
      </c>
      <c r="O97" s="342" t="str">
        <f t="shared" ref="O97:O102" si="68">IFERROR(N97/L97,"")</f>
        <v/>
      </c>
      <c r="P97" s="244"/>
      <c r="Q97" s="244"/>
      <c r="R97" s="244"/>
      <c r="S97" s="244"/>
      <c r="T97" s="244"/>
      <c r="U97" s="244"/>
      <c r="V97" s="244"/>
      <c r="W97" s="244"/>
      <c r="X97" s="244"/>
      <c r="Y97" s="244"/>
      <c r="Z97" s="244"/>
      <c r="AA97" s="244"/>
      <c r="AB97" s="244"/>
      <c r="AC97" s="244"/>
    </row>
    <row r="98" spans="1:29" ht="15.75" customHeight="1" x14ac:dyDescent="0.25">
      <c r="A98" s="244"/>
      <c r="B98" s="331"/>
      <c r="C98" s="339" t="s">
        <v>225</v>
      </c>
      <c r="D98" s="265">
        <v>3556953.1666666665</v>
      </c>
      <c r="E98" s="332">
        <f t="shared" si="63"/>
        <v>0.20505707951185259</v>
      </c>
      <c r="F98" s="296"/>
      <c r="G98" s="332" t="e">
        <f>F98/F$29</f>
        <v>#DIV/0!</v>
      </c>
      <c r="H98" s="296">
        <f t="shared" si="65"/>
        <v>3556953.1666666665</v>
      </c>
      <c r="I98" s="343" t="str">
        <f t="shared" si="66"/>
        <v/>
      </c>
      <c r="J98" s="265">
        <v>3669904.4166666665</v>
      </c>
      <c r="K98" s="332">
        <f t="shared" si="64"/>
        <v>0.21732670862424977</v>
      </c>
      <c r="L98" s="296"/>
      <c r="M98" s="332" t="e">
        <f>L98/L$29</f>
        <v>#DIV/0!</v>
      </c>
      <c r="N98" s="296">
        <f t="shared" si="67"/>
        <v>3669904.4166666665</v>
      </c>
      <c r="O98" s="343" t="str">
        <f t="shared" si="68"/>
        <v/>
      </c>
      <c r="P98" s="244"/>
      <c r="Q98" s="244"/>
      <c r="R98" s="244"/>
      <c r="S98" s="244"/>
      <c r="T98" s="244"/>
      <c r="U98" s="244"/>
      <c r="V98" s="244"/>
      <c r="W98" s="244"/>
      <c r="X98" s="244"/>
      <c r="Y98" s="244"/>
      <c r="Z98" s="244"/>
      <c r="AA98" s="244"/>
      <c r="AB98" s="244"/>
      <c r="AC98" s="244"/>
    </row>
    <row r="99" spans="1:29" ht="15.75" customHeight="1" x14ac:dyDescent="0.25">
      <c r="A99" s="244"/>
      <c r="B99" s="331"/>
      <c r="C99" s="339" t="s">
        <v>226</v>
      </c>
      <c r="D99" s="265">
        <v>2417</v>
      </c>
      <c r="E99" s="332">
        <f t="shared" si="63"/>
        <v>1.3933918664569083E-4</v>
      </c>
      <c r="F99" s="296"/>
      <c r="G99" s="332"/>
      <c r="H99" s="296">
        <f t="shared" si="65"/>
        <v>2417</v>
      </c>
      <c r="I99" s="343" t="str">
        <f t="shared" si="66"/>
        <v/>
      </c>
      <c r="J99" s="265">
        <v>2097</v>
      </c>
      <c r="K99" s="332">
        <f t="shared" si="64"/>
        <v>1.2418146530339066E-4</v>
      </c>
      <c r="L99" s="296"/>
      <c r="M99" s="332"/>
      <c r="N99" s="296">
        <f t="shared" si="67"/>
        <v>2097</v>
      </c>
      <c r="O99" s="343" t="str">
        <f t="shared" si="68"/>
        <v/>
      </c>
      <c r="P99" s="244"/>
      <c r="Q99" s="244"/>
      <c r="R99" s="244"/>
      <c r="S99" s="244"/>
      <c r="T99" s="244"/>
      <c r="U99" s="244"/>
      <c r="V99" s="244"/>
      <c r="W99" s="244"/>
      <c r="X99" s="244"/>
      <c r="Y99" s="244"/>
      <c r="Z99" s="244"/>
      <c r="AA99" s="244"/>
      <c r="AB99" s="244"/>
      <c r="AC99" s="244"/>
    </row>
    <row r="100" spans="1:29" ht="15.75" customHeight="1" x14ac:dyDescent="0.25">
      <c r="A100" s="244"/>
      <c r="B100" s="331"/>
      <c r="C100" s="339" t="s">
        <v>228</v>
      </c>
      <c r="D100" s="265">
        <v>115122.91999999998</v>
      </c>
      <c r="E100" s="332">
        <f t="shared" si="63"/>
        <v>6.6367952160020409E-3</v>
      </c>
      <c r="F100" s="296"/>
      <c r="G100" s="332"/>
      <c r="H100" s="296">
        <f t="shared" si="65"/>
        <v>115122.91999999998</v>
      </c>
      <c r="I100" s="343" t="str">
        <f t="shared" si="66"/>
        <v/>
      </c>
      <c r="J100" s="265">
        <v>116845.5</v>
      </c>
      <c r="K100" s="332">
        <f t="shared" si="64"/>
        <v>6.9194303310001586E-3</v>
      </c>
      <c r="L100" s="296"/>
      <c r="M100" s="332"/>
      <c r="N100" s="296">
        <f t="shared" si="67"/>
        <v>116845.5</v>
      </c>
      <c r="O100" s="343" t="str">
        <f t="shared" si="68"/>
        <v/>
      </c>
      <c r="P100" s="244"/>
      <c r="Q100" s="244"/>
      <c r="R100" s="244"/>
      <c r="S100" s="244"/>
      <c r="T100" s="244"/>
      <c r="U100" s="244"/>
      <c r="V100" s="244"/>
      <c r="W100" s="244"/>
      <c r="X100" s="244"/>
      <c r="Y100" s="244"/>
      <c r="Z100" s="244"/>
      <c r="AA100" s="244"/>
      <c r="AB100" s="244"/>
      <c r="AC100" s="244"/>
    </row>
    <row r="101" spans="1:29" ht="15.75" customHeight="1" x14ac:dyDescent="0.25">
      <c r="A101" s="244"/>
      <c r="B101" s="331"/>
      <c r="C101" s="339" t="s">
        <v>229</v>
      </c>
      <c r="D101" s="265">
        <v>0</v>
      </c>
      <c r="E101" s="332">
        <f t="shared" si="63"/>
        <v>0</v>
      </c>
      <c r="F101" s="296"/>
      <c r="G101" s="332"/>
      <c r="H101" s="296">
        <f t="shared" si="65"/>
        <v>0</v>
      </c>
      <c r="I101" s="343" t="str">
        <f t="shared" si="66"/>
        <v/>
      </c>
      <c r="J101" s="265">
        <v>35280</v>
      </c>
      <c r="K101" s="332">
        <f t="shared" si="64"/>
        <v>2.0892332360055426E-3</v>
      </c>
      <c r="L101" s="296"/>
      <c r="M101" s="332"/>
      <c r="N101" s="296">
        <f t="shared" si="67"/>
        <v>35280</v>
      </c>
      <c r="O101" s="343" t="str">
        <f t="shared" si="68"/>
        <v/>
      </c>
      <c r="P101" s="244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  <c r="AA101" s="244"/>
      <c r="AB101" s="244"/>
      <c r="AC101" s="244"/>
    </row>
    <row r="102" spans="1:29" ht="15.75" customHeight="1" x14ac:dyDescent="0.25">
      <c r="A102" s="244"/>
      <c r="B102" s="331"/>
      <c r="C102" s="339" t="s">
        <v>230</v>
      </c>
      <c r="D102" s="265">
        <v>12252</v>
      </c>
      <c r="E102" s="332">
        <f t="shared" si="63"/>
        <v>7.063234235759223E-4</v>
      </c>
      <c r="F102" s="296"/>
      <c r="G102" s="332" t="e">
        <f>F102/F$29</f>
        <v>#DIV/0!</v>
      </c>
      <c r="H102" s="296">
        <f t="shared" si="65"/>
        <v>12252</v>
      </c>
      <c r="I102" s="343" t="str">
        <f t="shared" si="66"/>
        <v/>
      </c>
      <c r="J102" s="265">
        <v>9528</v>
      </c>
      <c r="K102" s="332">
        <f t="shared" si="64"/>
        <v>5.6423509843142876E-4</v>
      </c>
      <c r="L102" s="296"/>
      <c r="M102" s="332" t="e">
        <f>L102/L$29</f>
        <v>#DIV/0!</v>
      </c>
      <c r="N102" s="296">
        <f t="shared" si="67"/>
        <v>9528</v>
      </c>
      <c r="O102" s="343" t="str">
        <f t="shared" si="68"/>
        <v/>
      </c>
      <c r="P102" s="244"/>
      <c r="Q102" s="244"/>
      <c r="R102" s="244"/>
      <c r="S102" s="244"/>
      <c r="T102" s="244"/>
      <c r="U102" s="244"/>
      <c r="V102" s="244"/>
      <c r="W102" s="244"/>
      <c r="X102" s="244"/>
      <c r="Y102" s="244"/>
      <c r="Z102" s="244"/>
      <c r="AA102" s="244"/>
      <c r="AB102" s="244"/>
      <c r="AC102" s="244"/>
    </row>
    <row r="103" spans="1:29" ht="15.75" customHeight="1" x14ac:dyDescent="0.25">
      <c r="A103" s="244"/>
      <c r="B103" s="331"/>
      <c r="C103" s="339" t="s">
        <v>318</v>
      </c>
      <c r="D103" s="265">
        <v>25016</v>
      </c>
      <c r="E103" s="332"/>
      <c r="F103" s="296"/>
      <c r="G103" s="332"/>
      <c r="H103" s="296"/>
      <c r="I103" s="343"/>
      <c r="J103" s="265"/>
      <c r="K103" s="332"/>
      <c r="L103" s="296"/>
      <c r="M103" s="332"/>
      <c r="N103" s="296"/>
      <c r="O103" s="343"/>
      <c r="P103" s="244"/>
      <c r="Q103" s="244"/>
      <c r="R103" s="244"/>
      <c r="S103" s="244"/>
      <c r="T103" s="244"/>
      <c r="U103" s="244"/>
      <c r="V103" s="244"/>
      <c r="W103" s="244"/>
      <c r="X103" s="244"/>
      <c r="Y103" s="244"/>
      <c r="Z103" s="244"/>
      <c r="AA103" s="244"/>
      <c r="AB103" s="244"/>
      <c r="AC103" s="244"/>
    </row>
    <row r="104" spans="1:29" ht="15.75" customHeight="1" x14ac:dyDescent="0.25">
      <c r="A104" s="244"/>
      <c r="B104" s="331"/>
      <c r="C104" s="339" t="s">
        <v>231</v>
      </c>
      <c r="D104" s="265">
        <v>0</v>
      </c>
      <c r="E104" s="332">
        <f t="shared" ref="E104:E105" si="69">D104/D$29</f>
        <v>0</v>
      </c>
      <c r="F104" s="296"/>
      <c r="G104" s="332"/>
      <c r="H104" s="451">
        <f t="shared" ref="H104:H105" si="70">D104-F104</f>
        <v>0</v>
      </c>
      <c r="I104" s="339" t="str">
        <f t="shared" ref="I104:I105" si="71">IFERROR(H104/F104,"")</f>
        <v/>
      </c>
      <c r="J104" s="265">
        <v>0</v>
      </c>
      <c r="K104" s="332">
        <f t="shared" ref="K104:K105" si="72">J104/J$29</f>
        <v>0</v>
      </c>
      <c r="L104" s="296"/>
      <c r="M104" s="332"/>
      <c r="N104" s="451">
        <f t="shared" ref="N104:N105" si="73">J104-L104</f>
        <v>0</v>
      </c>
      <c r="O104" s="339" t="str">
        <f t="shared" ref="O104:O105" si="74">IFERROR(N104/L104,"")</f>
        <v/>
      </c>
      <c r="P104" s="244"/>
      <c r="Q104" s="244"/>
      <c r="R104" s="244"/>
      <c r="S104" s="244"/>
      <c r="T104" s="244"/>
      <c r="U104" s="244"/>
      <c r="V104" s="244"/>
      <c r="W104" s="244"/>
      <c r="X104" s="244"/>
      <c r="Y104" s="244"/>
      <c r="Z104" s="244"/>
      <c r="AA104" s="244"/>
      <c r="AB104" s="244"/>
      <c r="AC104" s="244"/>
    </row>
    <row r="105" spans="1:29" ht="15.75" customHeight="1" x14ac:dyDescent="0.25">
      <c r="A105" s="244"/>
      <c r="B105" s="331"/>
      <c r="C105" s="339" t="s">
        <v>232</v>
      </c>
      <c r="D105" s="265">
        <v>0</v>
      </c>
      <c r="E105" s="332">
        <f t="shared" si="69"/>
        <v>0</v>
      </c>
      <c r="F105" s="296"/>
      <c r="G105" s="332" t="e">
        <f>F105/F$29</f>
        <v>#DIV/0!</v>
      </c>
      <c r="H105" s="451">
        <f t="shared" si="70"/>
        <v>0</v>
      </c>
      <c r="I105" s="339" t="str">
        <f t="shared" si="71"/>
        <v/>
      </c>
      <c r="J105" s="265">
        <v>0</v>
      </c>
      <c r="K105" s="332">
        <f t="shared" si="72"/>
        <v>0</v>
      </c>
      <c r="L105" s="296"/>
      <c r="M105" s="332" t="e">
        <f>L105/L$29</f>
        <v>#DIV/0!</v>
      </c>
      <c r="N105" s="451">
        <f t="shared" si="73"/>
        <v>0</v>
      </c>
      <c r="O105" s="339" t="str">
        <f t="shared" si="74"/>
        <v/>
      </c>
      <c r="P105" s="244"/>
      <c r="Q105" s="244"/>
      <c r="R105" s="244"/>
      <c r="S105" s="244"/>
      <c r="T105" s="244"/>
      <c r="U105" s="244"/>
      <c r="V105" s="244"/>
      <c r="W105" s="244"/>
      <c r="X105" s="244"/>
      <c r="Y105" s="244"/>
      <c r="Z105" s="244"/>
      <c r="AA105" s="244"/>
      <c r="AB105" s="244"/>
      <c r="AC105" s="244"/>
    </row>
    <row r="106" spans="1:29" ht="15.75" customHeight="1" x14ac:dyDescent="0.25">
      <c r="A106" s="244"/>
      <c r="B106" s="346"/>
      <c r="C106" s="563"/>
      <c r="D106" s="276"/>
      <c r="E106" s="458"/>
      <c r="F106" s="562"/>
      <c r="G106" s="337"/>
      <c r="H106" s="562"/>
      <c r="I106" s="404"/>
      <c r="J106" s="276"/>
      <c r="K106" s="458"/>
      <c r="L106" s="562"/>
      <c r="M106" s="337"/>
      <c r="N106" s="562"/>
      <c r="O106" s="404"/>
      <c r="P106" s="244"/>
      <c r="Q106" s="244"/>
      <c r="R106" s="244"/>
      <c r="S106" s="244"/>
      <c r="T106" s="244"/>
      <c r="U106" s="244"/>
      <c r="V106" s="244"/>
      <c r="W106" s="244"/>
      <c r="X106" s="244"/>
      <c r="Y106" s="244"/>
      <c r="Z106" s="244"/>
      <c r="AA106" s="244"/>
      <c r="AB106" s="244"/>
      <c r="AC106" s="244"/>
    </row>
    <row r="107" spans="1:29" ht="15.75" customHeight="1" x14ac:dyDescent="0.25">
      <c r="A107" s="244"/>
      <c r="B107" s="347"/>
      <c r="C107" s="498" t="s">
        <v>38</v>
      </c>
      <c r="D107" s="257">
        <f>SUM(D108)</f>
        <v>27152</v>
      </c>
      <c r="E107" s="321">
        <f t="shared" ref="E107:E108" si="75">D107/D$29</f>
        <v>1.565303101284153E-3</v>
      </c>
      <c r="F107" s="322">
        <f>SUM(F108)</f>
        <v>0</v>
      </c>
      <c r="G107" s="321" t="e">
        <f>F107/F$29</f>
        <v>#DIV/0!</v>
      </c>
      <c r="H107" s="553">
        <f>SUM(H108)</f>
        <v>27152</v>
      </c>
      <c r="I107" s="410"/>
      <c r="J107" s="257">
        <f>SUM(J108)</f>
        <v>20525.73</v>
      </c>
      <c r="K107" s="321">
        <f t="shared" ref="K107:K108" si="76">J107/J$29</f>
        <v>1.2155055926665545E-3</v>
      </c>
      <c r="L107" s="322">
        <f>SUM(L108)</f>
        <v>0</v>
      </c>
      <c r="M107" s="321" t="e">
        <f>L107/L$29</f>
        <v>#DIV/0!</v>
      </c>
      <c r="N107" s="553">
        <f>SUM(N108)</f>
        <v>20525.73</v>
      </c>
      <c r="O107" s="410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246"/>
      <c r="AC107" s="246"/>
    </row>
    <row r="108" spans="1:29" ht="15.75" customHeight="1" x14ac:dyDescent="0.25">
      <c r="A108" s="244"/>
      <c r="B108" s="371"/>
      <c r="C108" s="393" t="s">
        <v>276</v>
      </c>
      <c r="D108" s="261">
        <v>27152</v>
      </c>
      <c r="E108" s="326">
        <f t="shared" si="75"/>
        <v>1.565303101284153E-3</v>
      </c>
      <c r="F108" s="327"/>
      <c r="G108" s="326">
        <v>1.4999999999999999E-2</v>
      </c>
      <c r="H108" s="327">
        <f>D108-F108</f>
        <v>27152</v>
      </c>
      <c r="I108" s="342" t="str">
        <f>IFERROR(H108/F108,"")</f>
        <v/>
      </c>
      <c r="J108" s="261">
        <v>20525.73</v>
      </c>
      <c r="K108" s="326">
        <f t="shared" si="76"/>
        <v>1.2155055926665545E-3</v>
      </c>
      <c r="L108" s="327"/>
      <c r="M108" s="326">
        <v>1.4999999999999999E-2</v>
      </c>
      <c r="N108" s="327">
        <f>J108-L108</f>
        <v>20525.73</v>
      </c>
      <c r="O108" s="342" t="str">
        <f>IFERROR(N108/L108,"")</f>
        <v/>
      </c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</row>
    <row r="109" spans="1:29" ht="15.75" customHeight="1" x14ac:dyDescent="0.25">
      <c r="A109" s="244"/>
      <c r="B109" s="346"/>
      <c r="C109" s="404"/>
      <c r="D109" s="276"/>
      <c r="E109" s="458"/>
      <c r="F109" s="562"/>
      <c r="G109" s="337"/>
      <c r="H109" s="562"/>
      <c r="I109" s="404"/>
      <c r="J109" s="276"/>
      <c r="K109" s="458"/>
      <c r="L109" s="562"/>
      <c r="M109" s="337"/>
      <c r="N109" s="562"/>
      <c r="O109" s="404"/>
      <c r="P109" s="244"/>
      <c r="Q109" s="244"/>
      <c r="R109" s="244"/>
      <c r="S109" s="244"/>
      <c r="T109" s="244"/>
      <c r="U109" s="244"/>
      <c r="V109" s="244"/>
      <c r="W109" s="244"/>
      <c r="X109" s="244"/>
      <c r="Y109" s="244"/>
      <c r="Z109" s="244"/>
      <c r="AA109" s="244"/>
      <c r="AB109" s="244"/>
      <c r="AC109" s="244"/>
    </row>
    <row r="110" spans="1:29" ht="15.75" customHeight="1" x14ac:dyDescent="0.25">
      <c r="A110" s="244"/>
      <c r="B110" s="497"/>
      <c r="C110" s="498" t="s">
        <v>238</v>
      </c>
      <c r="D110" s="280">
        <f>SUM(D111:D112)</f>
        <v>77845.333333333343</v>
      </c>
      <c r="E110" s="565">
        <f t="shared" ref="E110:E111" si="77">D110/D$29</f>
        <v>4.4877556602521112E-3</v>
      </c>
      <c r="F110" s="566">
        <f>SUM(F111:F112)</f>
        <v>77845.333333333343</v>
      </c>
      <c r="G110" s="565" t="e">
        <f t="shared" ref="G110:G111" si="78">F110/F$29</f>
        <v>#DIV/0!</v>
      </c>
      <c r="H110" s="567">
        <f>SUM(H111:H112)</f>
        <v>77845.333333333343</v>
      </c>
      <c r="I110" s="568"/>
      <c r="J110" s="280">
        <f>SUM(J111:J112)</f>
        <v>77845.333333333343</v>
      </c>
      <c r="K110" s="565">
        <f t="shared" ref="K110:K112" si="79">J110/J$29</f>
        <v>4.6098939248279515E-3</v>
      </c>
      <c r="L110" s="566">
        <f>SUM(L111:L112)</f>
        <v>0</v>
      </c>
      <c r="M110" s="565" t="e">
        <f t="shared" ref="M110:M112" si="80">L110/L$29</f>
        <v>#DIV/0!</v>
      </c>
      <c r="N110" s="567">
        <f>SUM(N111:N112)</f>
        <v>77845.333333333343</v>
      </c>
      <c r="O110" s="568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</row>
    <row r="111" spans="1:29" ht="15.75" customHeight="1" x14ac:dyDescent="0.25">
      <c r="A111" s="244"/>
      <c r="B111" s="371"/>
      <c r="C111" s="393" t="s">
        <v>239</v>
      </c>
      <c r="D111" s="261">
        <v>0</v>
      </c>
      <c r="E111" s="326">
        <f t="shared" si="77"/>
        <v>0</v>
      </c>
      <c r="F111" s="327"/>
      <c r="G111" s="326" t="e">
        <f t="shared" si="78"/>
        <v>#DIV/0!</v>
      </c>
      <c r="H111" s="327">
        <f>D111-F111</f>
        <v>0</v>
      </c>
      <c r="I111" s="342" t="str">
        <f>IFERROR(H111/F111,"")</f>
        <v/>
      </c>
      <c r="J111" s="261">
        <v>0</v>
      </c>
      <c r="K111" s="326">
        <f t="shared" si="79"/>
        <v>0</v>
      </c>
      <c r="L111" s="327"/>
      <c r="M111" s="326" t="e">
        <f t="shared" si="80"/>
        <v>#DIV/0!</v>
      </c>
      <c r="N111" s="327">
        <f t="shared" ref="N111:N112" si="81">J111-L111</f>
        <v>0</v>
      </c>
      <c r="O111" s="342" t="str">
        <f t="shared" ref="O111:O112" si="82">IFERROR(N111/L111,"")</f>
        <v/>
      </c>
      <c r="P111" s="244"/>
      <c r="Q111" s="244"/>
      <c r="R111" s="244"/>
      <c r="S111" s="244"/>
      <c r="T111" s="244"/>
      <c r="U111" s="244"/>
      <c r="V111" s="244"/>
      <c r="W111" s="244"/>
      <c r="X111" s="244"/>
      <c r="Y111" s="244"/>
      <c r="Z111" s="244"/>
      <c r="AA111" s="244"/>
      <c r="AB111" s="244"/>
      <c r="AC111" s="244"/>
    </row>
    <row r="112" spans="1:29" ht="15.75" customHeight="1" x14ac:dyDescent="0.25">
      <c r="A112" s="244"/>
      <c r="B112" s="331"/>
      <c r="C112" s="339" t="s">
        <v>301</v>
      </c>
      <c r="D112" s="265">
        <v>77845.333333333343</v>
      </c>
      <c r="E112" s="265">
        <v>77845.333333333343</v>
      </c>
      <c r="F112" s="265">
        <v>77845.333333333343</v>
      </c>
      <c r="G112" s="265">
        <v>77845.333333333343</v>
      </c>
      <c r="H112" s="265">
        <v>77845.333333333343</v>
      </c>
      <c r="I112" s="265">
        <v>77845.333333333343</v>
      </c>
      <c r="J112" s="265">
        <v>77845.333333333343</v>
      </c>
      <c r="K112" s="332">
        <f t="shared" si="79"/>
        <v>4.6098939248279515E-3</v>
      </c>
      <c r="L112" s="296"/>
      <c r="M112" s="332" t="e">
        <f t="shared" si="80"/>
        <v>#DIV/0!</v>
      </c>
      <c r="N112" s="296">
        <f t="shared" si="81"/>
        <v>77845.333333333343</v>
      </c>
      <c r="O112" s="343" t="str">
        <f t="shared" si="82"/>
        <v/>
      </c>
      <c r="P112" s="244"/>
      <c r="Q112" s="244"/>
      <c r="R112" s="244"/>
      <c r="S112" s="244"/>
      <c r="T112" s="244"/>
      <c r="U112" s="244"/>
      <c r="V112" s="244"/>
      <c r="W112" s="244"/>
      <c r="X112" s="244"/>
      <c r="Y112" s="244"/>
      <c r="Z112" s="244"/>
      <c r="AA112" s="244"/>
      <c r="AB112" s="244"/>
      <c r="AC112" s="244"/>
    </row>
    <row r="113" spans="1:29" ht="15.75" customHeight="1" x14ac:dyDescent="0.25">
      <c r="A113" s="244"/>
      <c r="B113" s="346"/>
      <c r="C113" s="404"/>
      <c r="D113" s="276"/>
      <c r="E113" s="458"/>
      <c r="F113" s="562"/>
      <c r="G113" s="337"/>
      <c r="H113" s="562"/>
      <c r="I113" s="404"/>
      <c r="J113" s="276"/>
      <c r="K113" s="458"/>
      <c r="L113" s="562"/>
      <c r="M113" s="337"/>
      <c r="N113" s="562"/>
      <c r="O113" s="404"/>
      <c r="P113" s="244"/>
      <c r="Q113" s="244"/>
      <c r="R113" s="244"/>
      <c r="S113" s="244"/>
      <c r="T113" s="244"/>
      <c r="U113" s="244"/>
      <c r="V113" s="244"/>
      <c r="W113" s="244"/>
      <c r="X113" s="244"/>
      <c r="Y113" s="244"/>
      <c r="Z113" s="244"/>
      <c r="AA113" s="244"/>
      <c r="AB113" s="244"/>
      <c r="AC113" s="244"/>
    </row>
    <row r="114" spans="1:29" ht="15.75" customHeight="1" x14ac:dyDescent="0.25">
      <c r="A114" s="244"/>
      <c r="B114" s="347"/>
      <c r="C114" s="498" t="s">
        <v>40</v>
      </c>
      <c r="D114" s="257">
        <f>SUM(D115:D128)</f>
        <v>633437.09333333327</v>
      </c>
      <c r="E114" s="321">
        <f t="shared" ref="E114:E116" si="83">D114/D$29</f>
        <v>3.6517422166436581E-2</v>
      </c>
      <c r="F114" s="257">
        <f>SUM(F115:F128)</f>
        <v>133043</v>
      </c>
      <c r="G114" s="321" t="e">
        <f>F114/F$29</f>
        <v>#DIV/0!</v>
      </c>
      <c r="H114" s="553">
        <f>SUM(H115:H126)</f>
        <v>428957.76</v>
      </c>
      <c r="I114" s="410"/>
      <c r="J114" s="257">
        <f>SUM(J115:J128)</f>
        <v>288798</v>
      </c>
      <c r="K114" s="321">
        <f t="shared" ref="K114:K128" si="84">J114/J$29</f>
        <v>1.7102221657934485E-2</v>
      </c>
      <c r="L114" s="257">
        <f>SUM(L115:L128)</f>
        <v>0</v>
      </c>
      <c r="M114" s="321" t="e">
        <f>L114/L$29</f>
        <v>#DIV/0!</v>
      </c>
      <c r="N114" s="553">
        <f>SUM(N115:N126)</f>
        <v>253398</v>
      </c>
      <c r="O114" s="410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  <c r="AA114" s="246"/>
      <c r="AB114" s="246"/>
      <c r="AC114" s="246"/>
    </row>
    <row r="115" spans="1:29" ht="15.75" customHeight="1" x14ac:dyDescent="0.25">
      <c r="A115" s="244"/>
      <c r="B115" s="371"/>
      <c r="C115" s="393" t="s">
        <v>241</v>
      </c>
      <c r="D115" s="261">
        <v>0</v>
      </c>
      <c r="E115" s="326">
        <f t="shared" si="83"/>
        <v>0</v>
      </c>
      <c r="F115" s="327"/>
      <c r="G115" s="326"/>
      <c r="H115" s="561"/>
      <c r="I115" s="393"/>
      <c r="J115" s="261">
        <v>0</v>
      </c>
      <c r="K115" s="326">
        <f t="shared" si="84"/>
        <v>0</v>
      </c>
      <c r="L115" s="327"/>
      <c r="M115" s="326"/>
      <c r="N115" s="561"/>
      <c r="O115" s="393"/>
      <c r="P115" s="244"/>
      <c r="Q115" s="244"/>
      <c r="R115" s="244"/>
      <c r="S115" s="244"/>
      <c r="T115" s="244"/>
      <c r="U115" s="244"/>
      <c r="V115" s="244"/>
      <c r="W115" s="244"/>
      <c r="X115" s="244"/>
      <c r="Y115" s="244"/>
      <c r="Z115" s="244"/>
      <c r="AA115" s="244"/>
      <c r="AB115" s="244"/>
      <c r="AC115" s="244"/>
    </row>
    <row r="116" spans="1:29" ht="15.75" customHeight="1" x14ac:dyDescent="0.25">
      <c r="A116" s="244"/>
      <c r="B116" s="331"/>
      <c r="C116" s="339" t="s">
        <v>242</v>
      </c>
      <c r="D116" s="265">
        <v>0</v>
      </c>
      <c r="E116" s="332">
        <f t="shared" si="83"/>
        <v>0</v>
      </c>
      <c r="F116" s="296"/>
      <c r="G116" s="332" t="e">
        <f>F116/F$29</f>
        <v>#DIV/0!</v>
      </c>
      <c r="H116" s="296">
        <f>D116-F116</f>
        <v>0</v>
      </c>
      <c r="I116" s="343" t="str">
        <f>IFERROR(H116/F116,"")</f>
        <v/>
      </c>
      <c r="J116" s="265">
        <v>0</v>
      </c>
      <c r="K116" s="332">
        <f t="shared" si="84"/>
        <v>0</v>
      </c>
      <c r="L116" s="296"/>
      <c r="M116" s="332" t="e">
        <f t="shared" ref="M116:M120" si="85">L116/L$29</f>
        <v>#DIV/0!</v>
      </c>
      <c r="N116" s="296">
        <f t="shared" ref="N116:N128" si="86">J116-L116</f>
        <v>0</v>
      </c>
      <c r="O116" s="343" t="str">
        <f t="shared" ref="O116:O128" si="87">IFERROR(N116/L116,"")</f>
        <v/>
      </c>
      <c r="P116" s="244"/>
      <c r="Q116" s="244"/>
      <c r="R116" s="244"/>
      <c r="S116" s="244"/>
      <c r="T116" s="244"/>
      <c r="U116" s="244"/>
      <c r="V116" s="244"/>
      <c r="W116" s="244"/>
      <c r="X116" s="244"/>
      <c r="Y116" s="244"/>
      <c r="Z116" s="244"/>
      <c r="AA116" s="244"/>
      <c r="AB116" s="244"/>
      <c r="AC116" s="244"/>
    </row>
    <row r="117" spans="1:29" ht="15.75" customHeight="1" x14ac:dyDescent="0.25">
      <c r="A117" s="244"/>
      <c r="B117" s="331"/>
      <c r="C117" s="339" t="s">
        <v>243</v>
      </c>
      <c r="D117" s="265">
        <v>95043</v>
      </c>
      <c r="E117" s="265">
        <v>95043</v>
      </c>
      <c r="F117" s="265">
        <v>95043</v>
      </c>
      <c r="G117" s="265">
        <v>95043</v>
      </c>
      <c r="H117" s="265">
        <v>95043</v>
      </c>
      <c r="I117" s="265">
        <v>95043</v>
      </c>
      <c r="J117" s="265">
        <v>95043</v>
      </c>
      <c r="K117" s="332">
        <f t="shared" si="84"/>
        <v>5.6283161692084688E-3</v>
      </c>
      <c r="L117" s="296"/>
      <c r="M117" s="332" t="e">
        <f t="shared" si="85"/>
        <v>#DIV/0!</v>
      </c>
      <c r="N117" s="296">
        <f t="shared" si="86"/>
        <v>95043</v>
      </c>
      <c r="O117" s="343" t="str">
        <f t="shared" si="87"/>
        <v/>
      </c>
      <c r="P117" s="244"/>
      <c r="Q117" s="244"/>
      <c r="R117" s="244"/>
      <c r="S117" s="244"/>
      <c r="T117" s="244"/>
      <c r="U117" s="244"/>
      <c r="V117" s="244"/>
      <c r="W117" s="244"/>
      <c r="X117" s="244"/>
      <c r="Y117" s="244"/>
      <c r="Z117" s="244"/>
      <c r="AA117" s="244"/>
      <c r="AB117" s="244"/>
      <c r="AC117" s="244"/>
    </row>
    <row r="118" spans="1:29" ht="15.75" customHeight="1" x14ac:dyDescent="0.25">
      <c r="A118" s="244"/>
      <c r="B118" s="331"/>
      <c r="C118" s="339" t="s">
        <v>319</v>
      </c>
      <c r="D118" s="265">
        <v>30000</v>
      </c>
      <c r="E118" s="265">
        <v>30000</v>
      </c>
      <c r="F118" s="265">
        <v>30000</v>
      </c>
      <c r="G118" s="265">
        <v>30000</v>
      </c>
      <c r="H118" s="265">
        <v>30000</v>
      </c>
      <c r="I118" s="265">
        <v>30000</v>
      </c>
      <c r="J118" s="265">
        <v>30000</v>
      </c>
      <c r="K118" s="332">
        <f t="shared" si="84"/>
        <v>1.7765588741543727E-3</v>
      </c>
      <c r="L118" s="296"/>
      <c r="M118" s="332" t="e">
        <f t="shared" si="85"/>
        <v>#DIV/0!</v>
      </c>
      <c r="N118" s="296">
        <f t="shared" si="86"/>
        <v>30000</v>
      </c>
      <c r="O118" s="343" t="str">
        <f t="shared" si="87"/>
        <v/>
      </c>
      <c r="P118" s="244"/>
      <c r="Q118" s="244"/>
      <c r="R118" s="244"/>
      <c r="S118" s="244"/>
      <c r="T118" s="244"/>
      <c r="U118" s="244"/>
      <c r="V118" s="244"/>
      <c r="W118" s="244"/>
      <c r="X118" s="244"/>
      <c r="Y118" s="244"/>
      <c r="Z118" s="244"/>
      <c r="AA118" s="244"/>
      <c r="AB118" s="244"/>
      <c r="AC118" s="244"/>
    </row>
    <row r="119" spans="1:29" ht="15.75" customHeight="1" x14ac:dyDescent="0.25">
      <c r="A119" s="244"/>
      <c r="B119" s="331"/>
      <c r="C119" s="339" t="s">
        <v>290</v>
      </c>
      <c r="D119" s="265">
        <v>0</v>
      </c>
      <c r="E119" s="332">
        <f t="shared" ref="E119:E124" si="88">D119/D$29</f>
        <v>0</v>
      </c>
      <c r="F119" s="296"/>
      <c r="G119" s="332" t="e">
        <f t="shared" ref="G119:G120" si="89">F119/F$29</f>
        <v>#DIV/0!</v>
      </c>
      <c r="H119" s="296">
        <f t="shared" ref="H119:H120" si="90">D119-F119</f>
        <v>0</v>
      </c>
      <c r="I119" s="343" t="str">
        <f t="shared" ref="I119:I120" si="91">IFERROR(H119/F119,"")</f>
        <v/>
      </c>
      <c r="J119" s="265">
        <v>0</v>
      </c>
      <c r="K119" s="332">
        <f t="shared" si="84"/>
        <v>0</v>
      </c>
      <c r="L119" s="296"/>
      <c r="M119" s="332" t="e">
        <f t="shared" si="85"/>
        <v>#DIV/0!</v>
      </c>
      <c r="N119" s="296">
        <f t="shared" si="86"/>
        <v>0</v>
      </c>
      <c r="O119" s="343" t="str">
        <f t="shared" si="87"/>
        <v/>
      </c>
      <c r="P119" s="244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  <c r="AA119" s="244"/>
      <c r="AB119" s="244"/>
      <c r="AC119" s="244"/>
    </row>
    <row r="120" spans="1:29" ht="15.75" customHeight="1" x14ac:dyDescent="0.25">
      <c r="A120" s="244"/>
      <c r="B120" s="331"/>
      <c r="C120" s="339" t="s">
        <v>247</v>
      </c>
      <c r="D120" s="265">
        <v>66195</v>
      </c>
      <c r="E120" s="332">
        <f t="shared" si="88"/>
        <v>3.8161181050937135E-3</v>
      </c>
      <c r="F120" s="296"/>
      <c r="G120" s="332" t="e">
        <f t="shared" si="89"/>
        <v>#DIV/0!</v>
      </c>
      <c r="H120" s="296">
        <f t="shared" si="90"/>
        <v>66195</v>
      </c>
      <c r="I120" s="343" t="str">
        <f t="shared" si="91"/>
        <v/>
      </c>
      <c r="J120" s="265">
        <v>30019</v>
      </c>
      <c r="K120" s="332">
        <f t="shared" si="84"/>
        <v>1.7776840281080039E-3</v>
      </c>
      <c r="L120" s="296"/>
      <c r="M120" s="332" t="e">
        <f t="shared" si="85"/>
        <v>#DIV/0!</v>
      </c>
      <c r="N120" s="296">
        <f t="shared" si="86"/>
        <v>30019</v>
      </c>
      <c r="O120" s="343" t="str">
        <f t="shared" si="87"/>
        <v/>
      </c>
      <c r="P120" s="244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  <c r="AA120" s="244"/>
      <c r="AB120" s="244"/>
      <c r="AC120" s="244"/>
    </row>
    <row r="121" spans="1:29" ht="15.75" customHeight="1" x14ac:dyDescent="0.25">
      <c r="A121" s="244"/>
      <c r="B121" s="331"/>
      <c r="C121" s="339" t="s">
        <v>246</v>
      </c>
      <c r="D121" s="265">
        <v>27531.333333333328</v>
      </c>
      <c r="E121" s="332">
        <f t="shared" si="88"/>
        <v>1.587171532452653E-3</v>
      </c>
      <c r="F121" s="296"/>
      <c r="G121" s="332"/>
      <c r="H121" s="296"/>
      <c r="I121" s="343"/>
      <c r="J121" s="265">
        <v>29243</v>
      </c>
      <c r="K121" s="332">
        <f t="shared" si="84"/>
        <v>1.7317303718965441E-3</v>
      </c>
      <c r="L121" s="296"/>
      <c r="M121" s="332"/>
      <c r="N121" s="296">
        <f t="shared" si="86"/>
        <v>29243</v>
      </c>
      <c r="O121" s="343" t="str">
        <f t="shared" si="87"/>
        <v/>
      </c>
      <c r="P121" s="244"/>
      <c r="Q121" s="244"/>
      <c r="R121" s="244"/>
      <c r="S121" s="244"/>
      <c r="T121" s="244"/>
      <c r="U121" s="244"/>
      <c r="V121" s="244"/>
      <c r="W121" s="244"/>
      <c r="X121" s="244"/>
      <c r="Y121" s="244"/>
      <c r="Z121" s="244"/>
      <c r="AA121" s="244"/>
      <c r="AB121" s="244"/>
      <c r="AC121" s="244"/>
    </row>
    <row r="122" spans="1:29" ht="15.75" customHeight="1" x14ac:dyDescent="0.25">
      <c r="A122" s="244"/>
      <c r="B122" s="331"/>
      <c r="C122" s="339" t="s">
        <v>249</v>
      </c>
      <c r="D122" s="265">
        <v>0</v>
      </c>
      <c r="E122" s="332">
        <f t="shared" si="88"/>
        <v>0</v>
      </c>
      <c r="F122" s="296"/>
      <c r="G122" s="332" t="e">
        <f t="shared" ref="G122:G124" si="92">F122/F$29</f>
        <v>#DIV/0!</v>
      </c>
      <c r="H122" s="296">
        <f t="shared" ref="H122:H124" si="93">D122-F122</f>
        <v>0</v>
      </c>
      <c r="I122" s="343" t="str">
        <f t="shared" ref="I122:I124" si="94">IFERROR(H122/F122,"")</f>
        <v/>
      </c>
      <c r="J122" s="265">
        <v>3507</v>
      </c>
      <c r="K122" s="332">
        <f t="shared" si="84"/>
        <v>2.0767973238864618E-4</v>
      </c>
      <c r="L122" s="296"/>
      <c r="M122" s="332" t="e">
        <f t="shared" ref="M122:M127" si="95">L122/L$29</f>
        <v>#DIV/0!</v>
      </c>
      <c r="N122" s="296">
        <f t="shared" si="86"/>
        <v>3507</v>
      </c>
      <c r="O122" s="343" t="str">
        <f t="shared" si="87"/>
        <v/>
      </c>
      <c r="P122" s="244"/>
      <c r="Q122" s="244"/>
      <c r="R122" s="244"/>
      <c r="S122" s="244"/>
      <c r="T122" s="244"/>
      <c r="U122" s="244"/>
      <c r="V122" s="244"/>
      <c r="W122" s="244"/>
      <c r="X122" s="244"/>
      <c r="Y122" s="244"/>
      <c r="Z122" s="244"/>
      <c r="AA122" s="244"/>
      <c r="AB122" s="244"/>
      <c r="AC122" s="244"/>
    </row>
    <row r="123" spans="1:29" ht="15.75" customHeight="1" x14ac:dyDescent="0.25">
      <c r="A123" s="244"/>
      <c r="B123" s="331"/>
      <c r="C123" s="339" t="s">
        <v>250</v>
      </c>
      <c r="D123" s="265">
        <v>25061</v>
      </c>
      <c r="E123" s="332">
        <f t="shared" si="88"/>
        <v>1.4447576981910046E-3</v>
      </c>
      <c r="F123" s="296"/>
      <c r="G123" s="332" t="e">
        <f t="shared" si="92"/>
        <v>#DIV/0!</v>
      </c>
      <c r="H123" s="296">
        <f t="shared" si="93"/>
        <v>25061</v>
      </c>
      <c r="I123" s="343" t="str">
        <f t="shared" si="94"/>
        <v/>
      </c>
      <c r="J123" s="265">
        <v>24063</v>
      </c>
      <c r="K123" s="332">
        <f t="shared" si="84"/>
        <v>1.4249778729592225E-3</v>
      </c>
      <c r="L123" s="296"/>
      <c r="M123" s="332" t="e">
        <f t="shared" si="95"/>
        <v>#DIV/0!</v>
      </c>
      <c r="N123" s="296">
        <f t="shared" si="86"/>
        <v>24063</v>
      </c>
      <c r="O123" s="343" t="str">
        <f t="shared" si="87"/>
        <v/>
      </c>
      <c r="P123" s="244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  <c r="AA123" s="244"/>
      <c r="AB123" s="244"/>
      <c r="AC123" s="244"/>
    </row>
    <row r="124" spans="1:29" ht="15.75" customHeight="1" x14ac:dyDescent="0.25">
      <c r="A124" s="244"/>
      <c r="B124" s="331"/>
      <c r="C124" s="339" t="s">
        <v>251</v>
      </c>
      <c r="D124" s="265">
        <v>204658.76</v>
      </c>
      <c r="E124" s="332">
        <f t="shared" si="88"/>
        <v>1.1798504409729271E-2</v>
      </c>
      <c r="F124" s="296"/>
      <c r="G124" s="332" t="e">
        <f t="shared" si="92"/>
        <v>#DIV/0!</v>
      </c>
      <c r="H124" s="296">
        <f t="shared" si="93"/>
        <v>204658.76</v>
      </c>
      <c r="I124" s="343" t="str">
        <f t="shared" si="94"/>
        <v/>
      </c>
      <c r="J124" s="265">
        <v>33523</v>
      </c>
      <c r="K124" s="332">
        <f t="shared" si="84"/>
        <v>1.9851861046092348E-3</v>
      </c>
      <c r="L124" s="296"/>
      <c r="M124" s="332" t="e">
        <f t="shared" si="95"/>
        <v>#DIV/0!</v>
      </c>
      <c r="N124" s="296">
        <f t="shared" si="86"/>
        <v>33523</v>
      </c>
      <c r="O124" s="343" t="str">
        <f t="shared" si="87"/>
        <v/>
      </c>
      <c r="P124" s="244"/>
      <c r="Q124" s="244"/>
      <c r="R124" s="244"/>
      <c r="S124" s="244"/>
      <c r="T124" s="244"/>
      <c r="U124" s="244"/>
      <c r="V124" s="244"/>
      <c r="W124" s="244"/>
      <c r="X124" s="244"/>
      <c r="Y124" s="244"/>
      <c r="Z124" s="244"/>
      <c r="AA124" s="244"/>
      <c r="AB124" s="244"/>
      <c r="AC124" s="244"/>
    </row>
    <row r="125" spans="1:29" ht="15.75" customHeight="1" x14ac:dyDescent="0.25">
      <c r="A125" s="244"/>
      <c r="B125" s="331"/>
      <c r="C125" s="339" t="s">
        <v>252</v>
      </c>
      <c r="D125" s="265">
        <v>8000</v>
      </c>
      <c r="E125" s="265">
        <v>8000</v>
      </c>
      <c r="F125" s="265">
        <v>8000</v>
      </c>
      <c r="G125" s="265">
        <v>8000</v>
      </c>
      <c r="H125" s="265">
        <v>8000</v>
      </c>
      <c r="I125" s="265">
        <v>8000</v>
      </c>
      <c r="J125" s="265">
        <v>8000</v>
      </c>
      <c r="K125" s="332">
        <f t="shared" si="84"/>
        <v>4.7374903310783275E-4</v>
      </c>
      <c r="L125" s="296"/>
      <c r="M125" s="332" t="e">
        <f t="shared" si="95"/>
        <v>#DIV/0!</v>
      </c>
      <c r="N125" s="296">
        <f t="shared" si="86"/>
        <v>8000</v>
      </c>
      <c r="O125" s="343" t="str">
        <f t="shared" si="87"/>
        <v/>
      </c>
      <c r="P125" s="244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  <c r="AA125" s="244"/>
      <c r="AB125" s="244"/>
      <c r="AC125" s="244"/>
    </row>
    <row r="126" spans="1:29" ht="15.75" customHeight="1" x14ac:dyDescent="0.25">
      <c r="A126" s="244"/>
      <c r="B126" s="331"/>
      <c r="C126" s="339" t="s">
        <v>303</v>
      </c>
      <c r="D126" s="265">
        <v>0</v>
      </c>
      <c r="E126" s="332">
        <f t="shared" ref="E126:E127" si="96">D126/D$29</f>
        <v>0</v>
      </c>
      <c r="F126" s="296"/>
      <c r="G126" s="332" t="e">
        <f t="shared" ref="G126:G127" si="97">F126/F$29</f>
        <v>#DIV/0!</v>
      </c>
      <c r="H126" s="296">
        <f t="shared" ref="H126:H127" si="98">D126-F126</f>
        <v>0</v>
      </c>
      <c r="I126" s="343" t="str">
        <f t="shared" ref="I126:I127" si="99">IFERROR(H126/F126,"")</f>
        <v/>
      </c>
      <c r="J126" s="265">
        <v>0</v>
      </c>
      <c r="K126" s="332">
        <f t="shared" si="84"/>
        <v>0</v>
      </c>
      <c r="L126" s="296"/>
      <c r="M126" s="332" t="e">
        <f t="shared" si="95"/>
        <v>#DIV/0!</v>
      </c>
      <c r="N126" s="296">
        <f t="shared" si="86"/>
        <v>0</v>
      </c>
      <c r="O126" s="343" t="str">
        <f t="shared" si="87"/>
        <v/>
      </c>
      <c r="P126" s="244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  <c r="AA126" s="244"/>
      <c r="AB126" s="244"/>
      <c r="AC126" s="244"/>
    </row>
    <row r="127" spans="1:29" ht="15.75" customHeight="1" x14ac:dyDescent="0.25">
      <c r="A127" s="244"/>
      <c r="B127" s="331"/>
      <c r="C127" s="339" t="s">
        <v>280</v>
      </c>
      <c r="D127" s="265">
        <v>44250</v>
      </c>
      <c r="E127" s="332">
        <f t="shared" si="96"/>
        <v>2.5509966938650477E-3</v>
      </c>
      <c r="F127" s="296"/>
      <c r="G127" s="332" t="e">
        <f t="shared" si="97"/>
        <v>#DIV/0!</v>
      </c>
      <c r="H127" s="296">
        <f t="shared" si="98"/>
        <v>44250</v>
      </c>
      <c r="I127" s="343" t="str">
        <f t="shared" si="99"/>
        <v/>
      </c>
      <c r="J127" s="265">
        <v>35400</v>
      </c>
      <c r="K127" s="332">
        <f t="shared" si="84"/>
        <v>2.0963394715021598E-3</v>
      </c>
      <c r="L127" s="296"/>
      <c r="M127" s="332" t="e">
        <f t="shared" si="95"/>
        <v>#DIV/0!</v>
      </c>
      <c r="N127" s="296">
        <f t="shared" si="86"/>
        <v>35400</v>
      </c>
      <c r="O127" s="343" t="str">
        <f t="shared" si="87"/>
        <v/>
      </c>
      <c r="P127" s="244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  <c r="AA127" s="244"/>
      <c r="AB127" s="244"/>
      <c r="AC127" s="244"/>
    </row>
    <row r="128" spans="1:29" ht="15.75" customHeight="1" x14ac:dyDescent="0.25">
      <c r="A128" s="244"/>
      <c r="B128" s="331"/>
      <c r="C128" s="339" t="s">
        <v>291</v>
      </c>
      <c r="D128" s="265">
        <v>132698</v>
      </c>
      <c r="E128" s="332"/>
      <c r="F128" s="451"/>
      <c r="G128" s="332"/>
      <c r="H128" s="451"/>
      <c r="I128" s="339"/>
      <c r="J128" s="265">
        <v>0</v>
      </c>
      <c r="K128" s="332">
        <f t="shared" si="84"/>
        <v>0</v>
      </c>
      <c r="L128" s="451"/>
      <c r="M128" s="332"/>
      <c r="N128" s="451">
        <f t="shared" si="86"/>
        <v>0</v>
      </c>
      <c r="O128" s="339" t="str">
        <f t="shared" si="87"/>
        <v/>
      </c>
      <c r="P128" s="244"/>
      <c r="Q128" s="244"/>
      <c r="R128" s="244"/>
      <c r="S128" s="244"/>
      <c r="T128" s="244"/>
      <c r="U128" s="244"/>
      <c r="V128" s="244"/>
      <c r="W128" s="244"/>
      <c r="X128" s="244"/>
      <c r="Y128" s="244"/>
      <c r="Z128" s="244"/>
      <c r="AA128" s="244"/>
      <c r="AB128" s="244"/>
      <c r="AC128" s="244"/>
    </row>
    <row r="129" spans="1:29" ht="15.75" customHeight="1" x14ac:dyDescent="0.25">
      <c r="A129" s="244"/>
      <c r="B129" s="331"/>
      <c r="C129" s="339"/>
      <c r="D129" s="265"/>
      <c r="E129" s="332"/>
      <c r="F129" s="451"/>
      <c r="G129" s="332"/>
      <c r="H129" s="451"/>
      <c r="I129" s="339"/>
      <c r="J129" s="265"/>
      <c r="K129" s="332"/>
      <c r="L129" s="451"/>
      <c r="M129" s="332"/>
      <c r="N129" s="451"/>
      <c r="O129" s="339"/>
      <c r="P129" s="244"/>
      <c r="Q129" s="244"/>
      <c r="R129" s="244"/>
      <c r="S129" s="244"/>
      <c r="T129" s="244"/>
      <c r="U129" s="244"/>
      <c r="V129" s="244"/>
      <c r="W129" s="244"/>
      <c r="X129" s="244"/>
      <c r="Y129" s="244"/>
      <c r="Z129" s="244"/>
      <c r="AA129" s="244"/>
      <c r="AB129" s="244"/>
      <c r="AC129" s="244"/>
    </row>
    <row r="130" spans="1:29" ht="15.75" customHeight="1" x14ac:dyDescent="0.25">
      <c r="A130" s="244"/>
      <c r="B130" s="346"/>
      <c r="C130" s="457"/>
      <c r="D130" s="276"/>
      <c r="E130" s="337"/>
      <c r="F130" s="562"/>
      <c r="G130" s="337"/>
      <c r="H130" s="562"/>
      <c r="I130" s="404"/>
      <c r="J130" s="276"/>
      <c r="K130" s="337"/>
      <c r="L130" s="562"/>
      <c r="M130" s="337"/>
      <c r="N130" s="562"/>
      <c r="O130" s="404"/>
      <c r="P130" s="244"/>
      <c r="Q130" s="244"/>
      <c r="R130" s="244"/>
      <c r="S130" s="244"/>
      <c r="T130" s="244"/>
      <c r="U130" s="244"/>
      <c r="V130" s="244"/>
      <c r="W130" s="244"/>
      <c r="X130" s="244"/>
      <c r="Y130" s="244"/>
      <c r="Z130" s="244"/>
      <c r="AA130" s="244"/>
      <c r="AB130" s="244"/>
      <c r="AC130" s="244"/>
    </row>
    <row r="131" spans="1:29" ht="15.75" customHeight="1" x14ac:dyDescent="0.25">
      <c r="A131" s="244"/>
      <c r="B131" s="347"/>
      <c r="C131" s="498" t="s">
        <v>41</v>
      </c>
      <c r="D131" s="257">
        <f>SUM(D132:D133)</f>
        <v>10010</v>
      </c>
      <c r="E131" s="321">
        <f>D131/D$29</f>
        <v>5.7707292442009319E-4</v>
      </c>
      <c r="F131" s="322">
        <f>SUM(F133)</f>
        <v>10010</v>
      </c>
      <c r="G131" s="321" t="e">
        <f>F131/F$29</f>
        <v>#DIV/0!</v>
      </c>
      <c r="H131" s="553">
        <f>SUM(H132)</f>
        <v>0</v>
      </c>
      <c r="I131" s="410"/>
      <c r="J131" s="257">
        <f>SUM(J132:J133)</f>
        <v>10010</v>
      </c>
      <c r="K131" s="321">
        <f>J131/J$29</f>
        <v>5.9277847767617571E-4</v>
      </c>
      <c r="L131" s="322">
        <f>SUM(L133)</f>
        <v>0</v>
      </c>
      <c r="M131" s="321" t="e">
        <f>L131/L$29</f>
        <v>#DIV/0!</v>
      </c>
      <c r="N131" s="553">
        <f>SUM(N132)</f>
        <v>0</v>
      </c>
      <c r="O131" s="410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  <c r="AA131" s="246"/>
      <c r="AB131" s="246"/>
      <c r="AC131" s="246"/>
    </row>
    <row r="132" spans="1:29" ht="15.75" customHeight="1" x14ac:dyDescent="0.25">
      <c r="A132" s="244"/>
      <c r="B132" s="371"/>
      <c r="C132" s="393" t="s">
        <v>253</v>
      </c>
      <c r="D132" s="261">
        <v>0</v>
      </c>
      <c r="E132" s="326"/>
      <c r="F132" s="327"/>
      <c r="G132" s="326"/>
      <c r="H132" s="561"/>
      <c r="I132" s="393"/>
      <c r="J132" s="261">
        <v>0</v>
      </c>
      <c r="K132" s="326"/>
      <c r="L132" s="327"/>
      <c r="M132" s="326"/>
      <c r="N132" s="561"/>
      <c r="O132" s="393"/>
      <c r="P132" s="244"/>
      <c r="Q132" s="244"/>
      <c r="R132" s="244"/>
      <c r="S132" s="244"/>
      <c r="T132" s="244"/>
      <c r="U132" s="244"/>
      <c r="V132" s="244"/>
      <c r="W132" s="244"/>
      <c r="X132" s="244"/>
      <c r="Y132" s="244"/>
      <c r="Z132" s="244"/>
      <c r="AA132" s="244"/>
      <c r="AB132" s="244"/>
      <c r="AC132" s="244"/>
    </row>
    <row r="133" spans="1:29" ht="15.75" customHeight="1" x14ac:dyDescent="0.25">
      <c r="A133" s="244"/>
      <c r="B133" s="331"/>
      <c r="C133" s="339" t="s">
        <v>320</v>
      </c>
      <c r="D133" s="265">
        <v>10010</v>
      </c>
      <c r="E133" s="265">
        <v>10010</v>
      </c>
      <c r="F133" s="265">
        <v>10010</v>
      </c>
      <c r="G133" s="265">
        <v>10010</v>
      </c>
      <c r="H133" s="265">
        <v>10010</v>
      </c>
      <c r="I133" s="265">
        <v>10010</v>
      </c>
      <c r="J133" s="265">
        <v>10010</v>
      </c>
      <c r="K133" s="332">
        <f>J133/J$29</f>
        <v>5.9277847767617571E-4</v>
      </c>
      <c r="L133" s="296"/>
      <c r="M133" s="332" t="e">
        <f>L133/L$29</f>
        <v>#DIV/0!</v>
      </c>
      <c r="N133" s="296">
        <f>J133-L133</f>
        <v>10010</v>
      </c>
      <c r="O133" s="343" t="str">
        <f>IFERROR(N133/L133,"")</f>
        <v/>
      </c>
      <c r="P133" s="244"/>
      <c r="Q133" s="244"/>
      <c r="R133" s="244"/>
      <c r="S133" s="244"/>
      <c r="T133" s="244"/>
      <c r="U133" s="244"/>
      <c r="V133" s="244"/>
      <c r="W133" s="244"/>
      <c r="X133" s="244"/>
      <c r="Y133" s="244"/>
      <c r="Z133" s="244"/>
      <c r="AA133" s="244"/>
      <c r="AB133" s="244"/>
      <c r="AC133" s="244"/>
    </row>
    <row r="134" spans="1:29" ht="15.75" customHeight="1" x14ac:dyDescent="0.25">
      <c r="A134" s="244"/>
      <c r="B134" s="346"/>
      <c r="C134" s="404"/>
      <c r="D134" s="276"/>
      <c r="E134" s="337"/>
      <c r="F134" s="317"/>
      <c r="G134" s="337"/>
      <c r="H134" s="562"/>
      <c r="I134" s="404"/>
      <c r="J134" s="276"/>
      <c r="K134" s="337"/>
      <c r="L134" s="317"/>
      <c r="M134" s="337"/>
      <c r="N134" s="562"/>
      <c r="O134" s="404"/>
      <c r="P134" s="244"/>
      <c r="Q134" s="244"/>
      <c r="R134" s="244"/>
      <c r="S134" s="244"/>
      <c r="T134" s="244"/>
      <c r="U134" s="244"/>
      <c r="V134" s="244"/>
      <c r="W134" s="244"/>
      <c r="X134" s="244"/>
      <c r="Y134" s="244"/>
      <c r="Z134" s="244"/>
      <c r="AA134" s="244"/>
      <c r="AB134" s="244"/>
      <c r="AC134" s="244"/>
    </row>
    <row r="135" spans="1:29" ht="15.75" customHeight="1" x14ac:dyDescent="0.25">
      <c r="A135" s="244"/>
      <c r="B135" s="497"/>
      <c r="C135" s="498" t="s">
        <v>42</v>
      </c>
      <c r="D135" s="280">
        <f>SUM(D136:D137)</f>
        <v>0</v>
      </c>
      <c r="E135" s="565">
        <f>D135/D$29</f>
        <v>0</v>
      </c>
      <c r="F135" s="566">
        <f>SUM(F136:F137)</f>
        <v>0</v>
      </c>
      <c r="G135" s="565" t="e">
        <f>F135/F$29</f>
        <v>#DIV/0!</v>
      </c>
      <c r="H135" s="567">
        <f>SUM(H136:H137)</f>
        <v>0</v>
      </c>
      <c r="I135" s="568"/>
      <c r="J135" s="280">
        <f>SUM(J136:J137)</f>
        <v>0</v>
      </c>
      <c r="K135" s="565">
        <f>J135/J$29</f>
        <v>0</v>
      </c>
      <c r="L135" s="566">
        <f>SUM(L136:L137)</f>
        <v>0</v>
      </c>
      <c r="M135" s="565" t="e">
        <f>L135/L$29</f>
        <v>#DIV/0!</v>
      </c>
      <c r="N135" s="567">
        <f>SUM(N136:N137)</f>
        <v>0</v>
      </c>
      <c r="O135" s="568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  <c r="AA135" s="246"/>
      <c r="AB135" s="246"/>
      <c r="AC135" s="246"/>
    </row>
    <row r="136" spans="1:29" ht="15.75" customHeight="1" x14ac:dyDescent="0.25">
      <c r="A136" s="244"/>
      <c r="B136" s="371"/>
      <c r="C136" s="393" t="s">
        <v>283</v>
      </c>
      <c r="D136" s="261">
        <v>0</v>
      </c>
      <c r="E136" s="560"/>
      <c r="F136" s="327"/>
      <c r="G136" s="326"/>
      <c r="H136" s="561"/>
      <c r="I136" s="393"/>
      <c r="J136" s="261">
        <v>0</v>
      </c>
      <c r="K136" s="560"/>
      <c r="L136" s="327"/>
      <c r="M136" s="326"/>
      <c r="N136" s="561"/>
      <c r="O136" s="393"/>
      <c r="P136" s="244"/>
      <c r="Q136" s="244"/>
      <c r="R136" s="244"/>
      <c r="S136" s="244"/>
      <c r="T136" s="244"/>
      <c r="U136" s="244"/>
      <c r="V136" s="244"/>
      <c r="W136" s="244"/>
      <c r="X136" s="244"/>
      <c r="Y136" s="244"/>
      <c r="Z136" s="244"/>
      <c r="AA136" s="244"/>
      <c r="AB136" s="244"/>
      <c r="AC136" s="244"/>
    </row>
    <row r="137" spans="1:29" ht="15.75" customHeight="1" x14ac:dyDescent="0.25">
      <c r="A137" s="244"/>
      <c r="B137" s="331"/>
      <c r="C137" s="339"/>
      <c r="D137" s="265"/>
      <c r="E137" s="186"/>
      <c r="F137" s="296"/>
      <c r="G137" s="332"/>
      <c r="H137" s="296"/>
      <c r="I137" s="343"/>
      <c r="J137" s="265"/>
      <c r="K137" s="186"/>
      <c r="L137" s="296"/>
      <c r="M137" s="332"/>
      <c r="N137" s="296"/>
      <c r="O137" s="343"/>
      <c r="P137" s="244"/>
      <c r="Q137" s="244"/>
      <c r="R137" s="244"/>
      <c r="S137" s="244"/>
      <c r="T137" s="244"/>
      <c r="U137" s="244"/>
      <c r="V137" s="244"/>
      <c r="W137" s="244"/>
      <c r="X137" s="244"/>
      <c r="Y137" s="244"/>
      <c r="Z137" s="244"/>
      <c r="AA137" s="244"/>
      <c r="AB137" s="244"/>
      <c r="AC137" s="244"/>
    </row>
    <row r="138" spans="1:29" ht="15.75" customHeight="1" x14ac:dyDescent="0.25">
      <c r="A138" s="244"/>
      <c r="B138" s="331"/>
      <c r="C138" s="339"/>
      <c r="D138" s="265"/>
      <c r="E138" s="186"/>
      <c r="F138" s="451"/>
      <c r="G138" s="332"/>
      <c r="H138" s="451"/>
      <c r="I138" s="339"/>
      <c r="J138" s="265"/>
      <c r="K138" s="186"/>
      <c r="L138" s="451"/>
      <c r="M138" s="332"/>
      <c r="N138" s="451"/>
      <c r="O138" s="339"/>
      <c r="P138" s="244"/>
      <c r="Q138" s="244"/>
      <c r="R138" s="244"/>
      <c r="S138" s="244"/>
      <c r="T138" s="244"/>
      <c r="U138" s="244"/>
      <c r="V138" s="244"/>
      <c r="W138" s="244"/>
      <c r="X138" s="244"/>
      <c r="Y138" s="244"/>
      <c r="Z138" s="244"/>
      <c r="AA138" s="244"/>
      <c r="AB138" s="244"/>
      <c r="AC138" s="244"/>
    </row>
    <row r="139" spans="1:29" ht="15.75" customHeight="1" x14ac:dyDescent="0.25">
      <c r="A139" s="244"/>
      <c r="B139" s="346"/>
      <c r="C139" s="404"/>
      <c r="D139" s="276"/>
      <c r="E139" s="458"/>
      <c r="F139" s="562"/>
      <c r="G139" s="337"/>
      <c r="H139" s="562"/>
      <c r="I139" s="404"/>
      <c r="J139" s="276"/>
      <c r="K139" s="458"/>
      <c r="L139" s="562"/>
      <c r="M139" s="337"/>
      <c r="N139" s="562"/>
      <c r="O139" s="404"/>
      <c r="P139" s="244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  <c r="AA139" s="244"/>
      <c r="AB139" s="244"/>
      <c r="AC139" s="244"/>
    </row>
    <row r="140" spans="1:29" ht="15.75" customHeight="1" x14ac:dyDescent="0.25">
      <c r="A140" s="244"/>
      <c r="B140" s="497"/>
      <c r="C140" s="410" t="s">
        <v>257</v>
      </c>
      <c r="D140" s="257">
        <f>D58+D70+D81+D88+D96+D107+D110+D114+D131+D135</f>
        <v>7157551.9666666649</v>
      </c>
      <c r="E140" s="321">
        <f>D140/D$29</f>
        <v>0.41263031419511709</v>
      </c>
      <c r="F140" s="322">
        <f>F58+F70+F81+F88+F96+F107+F110+F114+F131+F135</f>
        <v>220898.33333333334</v>
      </c>
      <c r="G140" s="321" t="e">
        <f>F140/F$29</f>
        <v>#DIV/0!</v>
      </c>
      <c r="H140" s="322">
        <f>D140-F140</f>
        <v>6936653.6333333319</v>
      </c>
      <c r="I140" s="569">
        <f>IFERROR(H140/F140,"")</f>
        <v>31.402018877462474</v>
      </c>
      <c r="J140" s="257">
        <f>J58+J70+J81+J88+J96+J107+J110+J114+J131+J135</f>
        <v>6369335.9799999995</v>
      </c>
      <c r="K140" s="321">
        <f>J140/J$29</f>
        <v>0.37718334525799124</v>
      </c>
      <c r="L140" s="322">
        <f>L58+L70+L81+L88+L96+L107+L110+L114+L131+L135</f>
        <v>0</v>
      </c>
      <c r="M140" s="321" t="e">
        <f>L140/L$29</f>
        <v>#DIV/0!</v>
      </c>
      <c r="N140" s="322">
        <f>J140-L140</f>
        <v>6369335.9799999995</v>
      </c>
      <c r="O140" s="569" t="str">
        <f>IFERROR(N140/L140,"")</f>
        <v/>
      </c>
      <c r="P140" s="244"/>
      <c r="Q140" s="244"/>
      <c r="R140" s="244"/>
      <c r="S140" s="244"/>
      <c r="T140" s="244"/>
      <c r="U140" s="244"/>
      <c r="V140" s="244"/>
      <c r="W140" s="244"/>
      <c r="X140" s="244"/>
      <c r="Y140" s="244"/>
      <c r="Z140" s="244"/>
      <c r="AA140" s="244"/>
      <c r="AB140" s="244"/>
      <c r="AC140" s="244"/>
    </row>
    <row r="141" spans="1:29" ht="15.75" customHeight="1" x14ac:dyDescent="0.25">
      <c r="A141" s="244"/>
      <c r="B141" s="354"/>
      <c r="C141" s="425"/>
      <c r="D141" s="294"/>
      <c r="E141" s="570"/>
      <c r="F141" s="357"/>
      <c r="G141" s="356"/>
      <c r="H141" s="571"/>
      <c r="I141" s="425"/>
      <c r="J141" s="294"/>
      <c r="K141" s="570"/>
      <c r="L141" s="357"/>
      <c r="M141" s="356"/>
      <c r="N141" s="571"/>
      <c r="O141" s="425"/>
      <c r="P141" s="244"/>
      <c r="Q141" s="244"/>
      <c r="R141" s="244"/>
      <c r="S141" s="244"/>
      <c r="T141" s="244"/>
      <c r="U141" s="244"/>
      <c r="V141" s="244"/>
      <c r="W141" s="244"/>
      <c r="X141" s="244"/>
      <c r="Y141" s="244"/>
      <c r="Z141" s="244"/>
      <c r="AA141" s="244"/>
      <c r="AB141" s="244"/>
      <c r="AC141" s="244"/>
    </row>
    <row r="142" spans="1:29" ht="15.75" customHeight="1" x14ac:dyDescent="0.25">
      <c r="A142" s="244"/>
      <c r="B142" s="347"/>
      <c r="C142" s="410" t="s">
        <v>258</v>
      </c>
      <c r="D142" s="257">
        <f>D50-D140</f>
        <v>4433738.5199269094</v>
      </c>
      <c r="E142" s="321">
        <f>D142/D$29</f>
        <v>0.25560344193888485</v>
      </c>
      <c r="F142" s="322" t="e">
        <f>F50-F140</f>
        <v>#REF!</v>
      </c>
      <c r="G142" s="321" t="e">
        <f>F142/F$29</f>
        <v>#REF!</v>
      </c>
      <c r="H142" s="322" t="e">
        <f>D142-F142</f>
        <v>#REF!</v>
      </c>
      <c r="I142" s="569" t="str">
        <f>IFERROR(H142/F142,"")</f>
        <v/>
      </c>
      <c r="J142" s="257">
        <f>J50-J140</f>
        <v>4336730.2196349977</v>
      </c>
      <c r="K142" s="321">
        <f>J142/J$29</f>
        <v>0.2568152185501999</v>
      </c>
      <c r="L142" s="322" t="e">
        <f>L50-L140</f>
        <v>#REF!</v>
      </c>
      <c r="M142" s="321" t="e">
        <f>L142/L$29</f>
        <v>#REF!</v>
      </c>
      <c r="N142" s="322" t="e">
        <f>J142-L142</f>
        <v>#REF!</v>
      </c>
      <c r="O142" s="569" t="str">
        <f>IFERROR(N142/L142,"")</f>
        <v/>
      </c>
      <c r="P142" s="244"/>
      <c r="Q142" s="244"/>
      <c r="R142" s="244"/>
      <c r="S142" s="244"/>
      <c r="T142" s="244"/>
      <c r="U142" s="244"/>
      <c r="V142" s="244"/>
      <c r="W142" s="244"/>
      <c r="X142" s="244"/>
      <c r="Y142" s="244"/>
      <c r="Z142" s="244"/>
      <c r="AA142" s="244"/>
      <c r="AB142" s="244"/>
      <c r="AC142" s="244"/>
    </row>
    <row r="143" spans="1:29" ht="15.75" customHeight="1" x14ac:dyDescent="0.25">
      <c r="A143" s="244"/>
      <c r="B143" s="244"/>
      <c r="C143" s="244"/>
      <c r="D143" s="303"/>
      <c r="E143" s="244"/>
      <c r="F143" s="303"/>
      <c r="G143" s="244"/>
      <c r="H143" s="303"/>
      <c r="I143" s="244"/>
      <c r="J143" s="303"/>
      <c r="K143" s="244"/>
      <c r="L143" s="303"/>
      <c r="M143" s="244"/>
      <c r="N143" s="303"/>
      <c r="O143" s="244"/>
      <c r="P143" s="244"/>
      <c r="Q143" s="244"/>
      <c r="R143" s="244"/>
      <c r="S143" s="244"/>
      <c r="T143" s="244"/>
      <c r="U143" s="244"/>
      <c r="V143" s="244"/>
      <c r="W143" s="244"/>
      <c r="X143" s="244"/>
      <c r="Y143" s="244"/>
      <c r="Z143" s="244"/>
      <c r="AA143" s="244"/>
      <c r="AB143" s="244"/>
      <c r="AC143" s="244"/>
    </row>
    <row r="144" spans="1:29" ht="15.75" customHeight="1" x14ac:dyDescent="0.25">
      <c r="A144" s="244"/>
      <c r="B144" s="244"/>
      <c r="C144" s="244"/>
      <c r="D144" s="303"/>
      <c r="E144" s="244"/>
      <c r="F144" s="303"/>
      <c r="G144" s="244"/>
      <c r="H144" s="303"/>
      <c r="I144" s="244"/>
      <c r="J144" s="303"/>
      <c r="K144" s="244"/>
      <c r="L144" s="303"/>
      <c r="M144" s="244"/>
      <c r="N144" s="303"/>
      <c r="O144" s="244"/>
      <c r="P144" s="244"/>
      <c r="Q144" s="244"/>
      <c r="R144" s="244"/>
      <c r="S144" s="244"/>
      <c r="T144" s="244"/>
      <c r="U144" s="244"/>
      <c r="V144" s="244"/>
      <c r="W144" s="244"/>
      <c r="X144" s="244"/>
      <c r="Y144" s="244"/>
      <c r="Z144" s="244"/>
      <c r="AA144" s="244"/>
      <c r="AB144" s="244"/>
      <c r="AC144" s="244"/>
    </row>
    <row r="145" spans="1:29" ht="15.75" customHeight="1" x14ac:dyDescent="0.25">
      <c r="A145" s="244"/>
      <c r="B145" s="244"/>
      <c r="C145" s="244"/>
      <c r="D145" s="303"/>
      <c r="E145" s="244"/>
      <c r="F145" s="303"/>
      <c r="G145" s="244"/>
      <c r="H145" s="303"/>
      <c r="I145" s="244"/>
      <c r="J145" s="303"/>
      <c r="K145" s="244"/>
      <c r="L145" s="303"/>
      <c r="M145" s="244"/>
      <c r="N145" s="303"/>
      <c r="O145" s="244"/>
      <c r="P145" s="244"/>
      <c r="Q145" s="244"/>
      <c r="R145" s="244"/>
      <c r="S145" s="244"/>
      <c r="T145" s="244"/>
      <c r="U145" s="244"/>
      <c r="V145" s="244"/>
      <c r="W145" s="244"/>
      <c r="X145" s="244"/>
      <c r="Y145" s="244"/>
      <c r="Z145" s="244"/>
      <c r="AA145" s="244"/>
      <c r="AB145" s="244"/>
      <c r="AC145" s="244"/>
    </row>
    <row r="146" spans="1:29" ht="15.75" customHeight="1" x14ac:dyDescent="0.25">
      <c r="A146" s="244"/>
      <c r="B146" s="244"/>
      <c r="C146" s="244"/>
      <c r="D146" s="303"/>
      <c r="E146" s="244"/>
      <c r="F146" s="303"/>
      <c r="G146" s="244"/>
      <c r="H146" s="303"/>
      <c r="I146" s="244"/>
      <c r="J146" s="303"/>
      <c r="K146" s="244"/>
      <c r="L146" s="303"/>
      <c r="M146" s="244"/>
      <c r="N146" s="303"/>
      <c r="O146" s="244"/>
      <c r="P146" s="244"/>
      <c r="Q146" s="244"/>
      <c r="R146" s="244"/>
      <c r="S146" s="244"/>
      <c r="T146" s="244"/>
      <c r="U146" s="244"/>
      <c r="V146" s="244"/>
      <c r="W146" s="244"/>
      <c r="X146" s="244"/>
      <c r="Y146" s="244"/>
      <c r="Z146" s="244"/>
      <c r="AA146" s="244"/>
      <c r="AB146" s="244"/>
      <c r="AC146" s="244"/>
    </row>
    <row r="147" spans="1:29" ht="15.75" customHeight="1" x14ac:dyDescent="0.25">
      <c r="A147" s="244"/>
      <c r="B147" s="244"/>
      <c r="C147" s="244"/>
      <c r="D147" s="303"/>
      <c r="E147" s="244"/>
      <c r="F147" s="303"/>
      <c r="G147" s="244"/>
      <c r="H147" s="303"/>
      <c r="I147" s="244"/>
      <c r="J147" s="303"/>
      <c r="K147" s="244"/>
      <c r="L147" s="303"/>
      <c r="M147" s="244"/>
      <c r="N147" s="303"/>
      <c r="O147" s="244"/>
      <c r="P147" s="244"/>
      <c r="Q147" s="244"/>
      <c r="R147" s="244"/>
      <c r="S147" s="244"/>
      <c r="T147" s="244"/>
      <c r="U147" s="244"/>
      <c r="V147" s="244"/>
      <c r="W147" s="244"/>
      <c r="X147" s="244"/>
      <c r="Y147" s="244"/>
      <c r="Z147" s="244"/>
      <c r="AA147" s="244"/>
      <c r="AB147" s="244"/>
      <c r="AC147" s="244"/>
    </row>
    <row r="148" spans="1:29" ht="15.75" customHeight="1" x14ac:dyDescent="0.25">
      <c r="A148" s="244"/>
      <c r="B148" s="244"/>
      <c r="C148" s="244"/>
      <c r="D148" s="303"/>
      <c r="E148" s="244"/>
      <c r="F148" s="303"/>
      <c r="G148" s="244"/>
      <c r="H148" s="303"/>
      <c r="I148" s="244"/>
      <c r="J148" s="303"/>
      <c r="K148" s="244"/>
      <c r="L148" s="303"/>
      <c r="M148" s="244"/>
      <c r="N148" s="303"/>
      <c r="O148" s="244"/>
      <c r="P148" s="244"/>
      <c r="Q148" s="244"/>
      <c r="R148" s="244"/>
      <c r="S148" s="244"/>
      <c r="T148" s="244"/>
      <c r="U148" s="244"/>
      <c r="V148" s="244"/>
      <c r="W148" s="244"/>
      <c r="X148" s="244"/>
      <c r="Y148" s="244"/>
      <c r="Z148" s="244"/>
      <c r="AA148" s="244"/>
      <c r="AB148" s="244"/>
      <c r="AC148" s="244"/>
    </row>
    <row r="149" spans="1:29" ht="15.75" customHeight="1" x14ac:dyDescent="0.25">
      <c r="A149" s="244"/>
      <c r="B149" s="244"/>
      <c r="C149" s="244"/>
      <c r="D149" s="303"/>
      <c r="E149" s="244"/>
      <c r="F149" s="303"/>
      <c r="G149" s="244"/>
      <c r="H149" s="303"/>
      <c r="I149" s="244"/>
      <c r="J149" s="303"/>
      <c r="K149" s="244"/>
      <c r="L149" s="303"/>
      <c r="M149" s="244"/>
      <c r="N149" s="303"/>
      <c r="O149" s="244"/>
      <c r="P149" s="244"/>
      <c r="Q149" s="244"/>
      <c r="R149" s="244"/>
      <c r="S149" s="244"/>
      <c r="T149" s="244"/>
      <c r="U149" s="244"/>
      <c r="V149" s="244"/>
      <c r="W149" s="244"/>
      <c r="X149" s="244"/>
      <c r="Y149" s="244"/>
      <c r="Z149" s="244"/>
      <c r="AA149" s="244"/>
      <c r="AB149" s="244"/>
      <c r="AC149" s="244"/>
    </row>
    <row r="150" spans="1:29" ht="15.75" customHeight="1" x14ac:dyDescent="0.25">
      <c r="A150" s="244"/>
      <c r="B150" s="244"/>
      <c r="C150" s="244"/>
      <c r="D150" s="303"/>
      <c r="E150" s="244"/>
      <c r="F150" s="303"/>
      <c r="G150" s="244"/>
      <c r="H150" s="303"/>
      <c r="I150" s="244"/>
      <c r="J150" s="303"/>
      <c r="K150" s="244"/>
      <c r="L150" s="303"/>
      <c r="M150" s="244"/>
      <c r="N150" s="303"/>
      <c r="O150" s="244"/>
      <c r="P150" s="244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  <c r="AA150" s="244"/>
      <c r="AB150" s="244"/>
      <c r="AC150" s="244"/>
    </row>
    <row r="151" spans="1:29" ht="15.75" customHeight="1" x14ac:dyDescent="0.25">
      <c r="A151" s="244"/>
      <c r="B151" s="244"/>
      <c r="C151" s="244"/>
      <c r="D151" s="303"/>
      <c r="E151" s="244"/>
      <c r="F151" s="303"/>
      <c r="G151" s="244"/>
      <c r="H151" s="303"/>
      <c r="I151" s="244"/>
      <c r="J151" s="303"/>
      <c r="K151" s="244"/>
      <c r="L151" s="303"/>
      <c r="M151" s="244"/>
      <c r="N151" s="303"/>
      <c r="O151" s="244"/>
      <c r="P151" s="244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  <c r="AA151" s="244"/>
      <c r="AB151" s="244"/>
      <c r="AC151" s="244"/>
    </row>
    <row r="152" spans="1:29" ht="15.75" customHeight="1" x14ac:dyDescent="0.25">
      <c r="A152" s="244"/>
      <c r="B152" s="244"/>
      <c r="C152" s="244"/>
      <c r="D152" s="303"/>
      <c r="E152" s="244"/>
      <c r="F152" s="303"/>
      <c r="G152" s="244"/>
      <c r="H152" s="303"/>
      <c r="I152" s="244"/>
      <c r="J152" s="303"/>
      <c r="K152" s="244"/>
      <c r="L152" s="303"/>
      <c r="M152" s="244"/>
      <c r="N152" s="303"/>
      <c r="O152" s="244"/>
      <c r="P152" s="244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  <c r="AA152" s="244"/>
      <c r="AB152" s="244"/>
      <c r="AC152" s="244"/>
    </row>
    <row r="153" spans="1:29" ht="15.75" customHeight="1" x14ac:dyDescent="0.25">
      <c r="A153" s="244"/>
      <c r="B153" s="244"/>
      <c r="C153" s="244"/>
      <c r="D153" s="303"/>
      <c r="E153" s="244"/>
      <c r="F153" s="303"/>
      <c r="G153" s="244"/>
      <c r="H153" s="303"/>
      <c r="I153" s="244"/>
      <c r="J153" s="303"/>
      <c r="K153" s="244"/>
      <c r="L153" s="303"/>
      <c r="M153" s="244"/>
      <c r="N153" s="303"/>
      <c r="O153" s="244"/>
      <c r="P153" s="244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  <c r="AA153" s="244"/>
      <c r="AB153" s="244"/>
      <c r="AC153" s="244"/>
    </row>
    <row r="154" spans="1:29" ht="15.75" customHeight="1" x14ac:dyDescent="0.25">
      <c r="A154" s="244"/>
      <c r="B154" s="244"/>
      <c r="C154" s="244"/>
      <c r="D154" s="303"/>
      <c r="E154" s="244"/>
      <c r="F154" s="303"/>
      <c r="G154" s="244"/>
      <c r="H154" s="303"/>
      <c r="I154" s="244"/>
      <c r="J154" s="303"/>
      <c r="K154" s="244"/>
      <c r="L154" s="303"/>
      <c r="M154" s="244"/>
      <c r="N154" s="303"/>
      <c r="O154" s="244"/>
      <c r="P154" s="244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  <c r="AA154" s="244"/>
      <c r="AB154" s="244"/>
      <c r="AC154" s="244"/>
    </row>
    <row r="155" spans="1:29" ht="15.75" customHeight="1" x14ac:dyDescent="0.25">
      <c r="A155" s="244"/>
      <c r="B155" s="244"/>
      <c r="C155" s="244"/>
      <c r="D155" s="303"/>
      <c r="E155" s="244"/>
      <c r="F155" s="303"/>
      <c r="G155" s="244"/>
      <c r="H155" s="303"/>
      <c r="I155" s="244"/>
      <c r="J155" s="303"/>
      <c r="K155" s="244"/>
      <c r="L155" s="303"/>
      <c r="M155" s="244"/>
      <c r="N155" s="303"/>
      <c r="O155" s="244"/>
      <c r="P155" s="244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  <c r="AA155" s="244"/>
      <c r="AB155" s="244"/>
      <c r="AC155" s="244"/>
    </row>
    <row r="156" spans="1:29" ht="15.75" customHeight="1" x14ac:dyDescent="0.25">
      <c r="A156" s="244"/>
      <c r="B156" s="244"/>
      <c r="C156" s="244"/>
      <c r="D156" s="303"/>
      <c r="E156" s="244"/>
      <c r="F156" s="303"/>
      <c r="G156" s="244"/>
      <c r="H156" s="303"/>
      <c r="I156" s="244"/>
      <c r="J156" s="303"/>
      <c r="K156" s="244"/>
      <c r="L156" s="303"/>
      <c r="M156" s="244"/>
      <c r="N156" s="303"/>
      <c r="O156" s="244"/>
      <c r="P156" s="244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  <c r="AA156" s="244"/>
      <c r="AB156" s="244"/>
      <c r="AC156" s="244"/>
    </row>
    <row r="157" spans="1:29" ht="15.75" customHeight="1" x14ac:dyDescent="0.25">
      <c r="A157" s="244"/>
      <c r="B157" s="244"/>
      <c r="C157" s="244"/>
      <c r="D157" s="303"/>
      <c r="E157" s="244"/>
      <c r="F157" s="303"/>
      <c r="G157" s="244"/>
      <c r="H157" s="303"/>
      <c r="I157" s="244"/>
      <c r="J157" s="303"/>
      <c r="K157" s="244"/>
      <c r="L157" s="303"/>
      <c r="M157" s="244"/>
      <c r="N157" s="303"/>
      <c r="O157" s="244"/>
      <c r="P157" s="244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  <c r="AA157" s="244"/>
      <c r="AB157" s="244"/>
      <c r="AC157" s="244"/>
    </row>
    <row r="158" spans="1:29" ht="15.75" customHeight="1" x14ac:dyDescent="0.25">
      <c r="A158" s="244"/>
      <c r="B158" s="244"/>
      <c r="C158" s="244"/>
      <c r="D158" s="303"/>
      <c r="E158" s="244"/>
      <c r="F158" s="303"/>
      <c r="G158" s="244"/>
      <c r="H158" s="303"/>
      <c r="I158" s="244"/>
      <c r="J158" s="303"/>
      <c r="K158" s="244"/>
      <c r="L158" s="303"/>
      <c r="M158" s="244"/>
      <c r="N158" s="303"/>
      <c r="O158" s="244"/>
      <c r="P158" s="244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  <c r="AA158" s="244"/>
      <c r="AB158" s="244"/>
      <c r="AC158" s="244"/>
    </row>
    <row r="159" spans="1:29" ht="15.75" customHeight="1" x14ac:dyDescent="0.25">
      <c r="A159" s="244"/>
      <c r="B159" s="244"/>
      <c r="C159" s="244"/>
      <c r="D159" s="303"/>
      <c r="E159" s="244"/>
      <c r="F159" s="303"/>
      <c r="G159" s="244"/>
      <c r="H159" s="303"/>
      <c r="I159" s="244"/>
      <c r="J159" s="303"/>
      <c r="K159" s="244"/>
      <c r="L159" s="303"/>
      <c r="M159" s="244"/>
      <c r="N159" s="303"/>
      <c r="O159" s="244"/>
      <c r="P159" s="244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  <c r="AA159" s="244"/>
      <c r="AB159" s="244"/>
      <c r="AC159" s="244"/>
    </row>
    <row r="160" spans="1:29" ht="15.75" customHeight="1" x14ac:dyDescent="0.25">
      <c r="A160" s="244"/>
      <c r="B160" s="244"/>
      <c r="C160" s="244"/>
      <c r="D160" s="303"/>
      <c r="E160" s="244"/>
      <c r="F160" s="303"/>
      <c r="G160" s="244"/>
      <c r="H160" s="303"/>
      <c r="I160" s="244"/>
      <c r="J160" s="303"/>
      <c r="K160" s="244"/>
      <c r="L160" s="303"/>
      <c r="M160" s="244"/>
      <c r="N160" s="303"/>
      <c r="O160" s="244"/>
      <c r="P160" s="244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  <c r="AA160" s="244"/>
      <c r="AB160" s="244"/>
      <c r="AC160" s="244"/>
    </row>
    <row r="161" spans="1:29" ht="15.75" customHeight="1" x14ac:dyDescent="0.25">
      <c r="A161" s="244"/>
      <c r="B161" s="244"/>
      <c r="C161" s="244"/>
      <c r="D161" s="303"/>
      <c r="E161" s="244"/>
      <c r="F161" s="303"/>
      <c r="G161" s="244"/>
      <c r="H161" s="303"/>
      <c r="I161" s="244"/>
      <c r="J161" s="303"/>
      <c r="K161" s="244"/>
      <c r="L161" s="303"/>
      <c r="M161" s="244"/>
      <c r="N161" s="303"/>
      <c r="O161" s="244"/>
      <c r="P161" s="244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  <c r="AA161" s="244"/>
      <c r="AB161" s="244"/>
      <c r="AC161" s="244"/>
    </row>
    <row r="162" spans="1:29" ht="15.75" customHeight="1" x14ac:dyDescent="0.25">
      <c r="A162" s="244"/>
      <c r="B162" s="244"/>
      <c r="C162" s="244"/>
      <c r="D162" s="303"/>
      <c r="E162" s="244"/>
      <c r="F162" s="303"/>
      <c r="G162" s="244"/>
      <c r="H162" s="303"/>
      <c r="I162" s="244"/>
      <c r="J162" s="303"/>
      <c r="K162" s="244"/>
      <c r="L162" s="303"/>
      <c r="M162" s="244"/>
      <c r="N162" s="303"/>
      <c r="O162" s="244"/>
      <c r="P162" s="244"/>
      <c r="Q162" s="244"/>
      <c r="R162" s="244"/>
      <c r="S162" s="244"/>
      <c r="T162" s="244"/>
      <c r="U162" s="244"/>
      <c r="V162" s="244"/>
      <c r="W162" s="244"/>
      <c r="X162" s="244"/>
      <c r="Y162" s="244"/>
      <c r="Z162" s="244"/>
      <c r="AA162" s="244"/>
      <c r="AB162" s="244"/>
      <c r="AC162" s="244"/>
    </row>
    <row r="163" spans="1:29" ht="15.75" customHeight="1" x14ac:dyDescent="0.25">
      <c r="A163" s="244"/>
      <c r="B163" s="244"/>
      <c r="C163" s="244"/>
      <c r="D163" s="303"/>
      <c r="E163" s="244"/>
      <c r="F163" s="303"/>
      <c r="G163" s="244"/>
      <c r="H163" s="303"/>
      <c r="I163" s="244"/>
      <c r="J163" s="303"/>
      <c r="K163" s="244"/>
      <c r="L163" s="303"/>
      <c r="M163" s="244"/>
      <c r="N163" s="303"/>
      <c r="O163" s="244"/>
      <c r="P163" s="244"/>
      <c r="Q163" s="244"/>
      <c r="R163" s="244"/>
      <c r="S163" s="244"/>
      <c r="T163" s="244"/>
      <c r="U163" s="244"/>
      <c r="V163" s="244"/>
      <c r="W163" s="244"/>
      <c r="X163" s="244"/>
      <c r="Y163" s="244"/>
      <c r="Z163" s="244"/>
      <c r="AA163" s="244"/>
      <c r="AB163" s="244"/>
      <c r="AC163" s="244"/>
    </row>
    <row r="164" spans="1:29" ht="15.75" customHeight="1" x14ac:dyDescent="0.25">
      <c r="A164" s="244"/>
      <c r="B164" s="244"/>
      <c r="C164" s="244"/>
      <c r="D164" s="303"/>
      <c r="E164" s="244"/>
      <c r="F164" s="303"/>
      <c r="G164" s="244"/>
      <c r="H164" s="303"/>
      <c r="I164" s="244"/>
      <c r="J164" s="303"/>
      <c r="K164" s="244"/>
      <c r="L164" s="303"/>
      <c r="M164" s="244"/>
      <c r="N164" s="303"/>
      <c r="O164" s="244"/>
      <c r="P164" s="244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  <c r="AA164" s="244"/>
      <c r="AB164" s="244"/>
      <c r="AC164" s="244"/>
    </row>
    <row r="165" spans="1:29" ht="15.75" customHeight="1" x14ac:dyDescent="0.25">
      <c r="A165" s="244"/>
      <c r="B165" s="244"/>
      <c r="C165" s="244"/>
      <c r="D165" s="303"/>
      <c r="E165" s="244"/>
      <c r="F165" s="303"/>
      <c r="G165" s="244"/>
      <c r="H165" s="303"/>
      <c r="I165" s="244"/>
      <c r="J165" s="303"/>
      <c r="K165" s="244"/>
      <c r="L165" s="303"/>
      <c r="M165" s="244"/>
      <c r="N165" s="303"/>
      <c r="O165" s="244"/>
      <c r="P165" s="244"/>
      <c r="Q165" s="244"/>
      <c r="R165" s="244"/>
      <c r="S165" s="244"/>
      <c r="T165" s="244"/>
      <c r="U165" s="244"/>
      <c r="V165" s="244"/>
      <c r="W165" s="244"/>
      <c r="X165" s="244"/>
      <c r="Y165" s="244"/>
      <c r="Z165" s="244"/>
      <c r="AA165" s="244"/>
      <c r="AB165" s="244"/>
      <c r="AC165" s="244"/>
    </row>
    <row r="166" spans="1:29" ht="15.75" customHeight="1" x14ac:dyDescent="0.25">
      <c r="A166" s="244"/>
      <c r="B166" s="244"/>
      <c r="C166" s="244"/>
      <c r="D166" s="303"/>
      <c r="E166" s="244"/>
      <c r="F166" s="303"/>
      <c r="G166" s="244"/>
      <c r="H166" s="303"/>
      <c r="I166" s="244"/>
      <c r="J166" s="303"/>
      <c r="K166" s="244"/>
      <c r="L166" s="303"/>
      <c r="M166" s="244"/>
      <c r="N166" s="303"/>
      <c r="O166" s="244"/>
      <c r="P166" s="244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  <c r="AA166" s="244"/>
      <c r="AB166" s="244"/>
      <c r="AC166" s="244"/>
    </row>
    <row r="167" spans="1:29" ht="15.75" customHeight="1" x14ac:dyDescent="0.25">
      <c r="A167" s="244"/>
      <c r="B167" s="244"/>
      <c r="C167" s="244"/>
      <c r="D167" s="303"/>
      <c r="E167" s="244"/>
      <c r="F167" s="303"/>
      <c r="G167" s="244"/>
      <c r="H167" s="303"/>
      <c r="I167" s="244"/>
      <c r="J167" s="303"/>
      <c r="K167" s="244"/>
      <c r="L167" s="303"/>
      <c r="M167" s="244"/>
      <c r="N167" s="303"/>
      <c r="O167" s="244"/>
      <c r="P167" s="244"/>
      <c r="Q167" s="244"/>
      <c r="R167" s="244"/>
      <c r="S167" s="244"/>
      <c r="T167" s="244"/>
      <c r="U167" s="244"/>
      <c r="V167" s="244"/>
      <c r="W167" s="244"/>
      <c r="X167" s="244"/>
      <c r="Y167" s="244"/>
      <c r="Z167" s="244"/>
      <c r="AA167" s="244"/>
      <c r="AB167" s="244"/>
      <c r="AC167" s="244"/>
    </row>
    <row r="168" spans="1:29" ht="15.75" customHeight="1" x14ac:dyDescent="0.25">
      <c r="A168" s="244"/>
      <c r="B168" s="244"/>
      <c r="C168" s="244"/>
      <c r="D168" s="303"/>
      <c r="E168" s="244"/>
      <c r="F168" s="303"/>
      <c r="G168" s="244"/>
      <c r="H168" s="303"/>
      <c r="I168" s="244"/>
      <c r="J168" s="303"/>
      <c r="K168" s="244"/>
      <c r="L168" s="303"/>
      <c r="M168" s="244"/>
      <c r="N168" s="303"/>
      <c r="O168" s="244"/>
      <c r="P168" s="244"/>
      <c r="Q168" s="244"/>
      <c r="R168" s="244"/>
      <c r="S168" s="244"/>
      <c r="T168" s="244"/>
      <c r="U168" s="244"/>
      <c r="V168" s="244"/>
      <c r="W168" s="244"/>
      <c r="X168" s="244"/>
      <c r="Y168" s="244"/>
      <c r="Z168" s="244"/>
      <c r="AA168" s="244"/>
      <c r="AB168" s="244"/>
      <c r="AC168" s="244"/>
    </row>
    <row r="169" spans="1:29" ht="15.75" customHeight="1" x14ac:dyDescent="0.25">
      <c r="A169" s="244"/>
      <c r="B169" s="244"/>
      <c r="C169" s="244"/>
      <c r="D169" s="303"/>
      <c r="E169" s="244"/>
      <c r="F169" s="303"/>
      <c r="G169" s="244"/>
      <c r="H169" s="303"/>
      <c r="I169" s="244"/>
      <c r="J169" s="303"/>
      <c r="K169" s="244"/>
      <c r="L169" s="303"/>
      <c r="M169" s="244"/>
      <c r="N169" s="303"/>
      <c r="O169" s="244"/>
      <c r="P169" s="244"/>
      <c r="Q169" s="244"/>
      <c r="R169" s="244"/>
      <c r="S169" s="244"/>
      <c r="T169" s="244"/>
      <c r="U169" s="244"/>
      <c r="V169" s="244"/>
      <c r="W169" s="244"/>
      <c r="X169" s="244"/>
      <c r="Y169" s="244"/>
      <c r="Z169" s="244"/>
      <c r="AA169" s="244"/>
      <c r="AB169" s="244"/>
      <c r="AC169" s="244"/>
    </row>
    <row r="170" spans="1:29" ht="15.75" customHeight="1" x14ac:dyDescent="0.25">
      <c r="A170" s="244"/>
      <c r="B170" s="244"/>
      <c r="C170" s="244"/>
      <c r="D170" s="303"/>
      <c r="E170" s="244"/>
      <c r="F170" s="303"/>
      <c r="G170" s="244"/>
      <c r="H170" s="303"/>
      <c r="I170" s="244"/>
      <c r="J170" s="303"/>
      <c r="K170" s="244"/>
      <c r="L170" s="303"/>
      <c r="M170" s="244"/>
      <c r="N170" s="303"/>
      <c r="O170" s="244"/>
      <c r="P170" s="244"/>
      <c r="Q170" s="244"/>
      <c r="R170" s="244"/>
      <c r="S170" s="244"/>
      <c r="T170" s="244"/>
      <c r="U170" s="244"/>
      <c r="V170" s="244"/>
      <c r="W170" s="244"/>
      <c r="X170" s="244"/>
      <c r="Y170" s="244"/>
      <c r="Z170" s="244"/>
      <c r="AA170" s="244"/>
      <c r="AB170" s="244"/>
      <c r="AC170" s="244"/>
    </row>
    <row r="171" spans="1:29" ht="15.75" customHeight="1" x14ac:dyDescent="0.25">
      <c r="A171" s="244"/>
      <c r="B171" s="244"/>
      <c r="C171" s="244"/>
      <c r="D171" s="303"/>
      <c r="E171" s="244"/>
      <c r="F171" s="303"/>
      <c r="G171" s="244"/>
      <c r="H171" s="303"/>
      <c r="I171" s="244"/>
      <c r="J171" s="303"/>
      <c r="K171" s="244"/>
      <c r="L171" s="303"/>
      <c r="M171" s="244"/>
      <c r="N171" s="303"/>
      <c r="O171" s="244"/>
      <c r="P171" s="244"/>
      <c r="Q171" s="244"/>
      <c r="R171" s="244"/>
      <c r="S171" s="244"/>
      <c r="T171" s="244"/>
      <c r="U171" s="244"/>
      <c r="V171" s="244"/>
      <c r="W171" s="244"/>
      <c r="X171" s="244"/>
      <c r="Y171" s="244"/>
      <c r="Z171" s="244"/>
      <c r="AA171" s="244"/>
      <c r="AB171" s="244"/>
      <c r="AC171" s="244"/>
    </row>
    <row r="172" spans="1:29" ht="15.75" customHeight="1" x14ac:dyDescent="0.25">
      <c r="A172" s="244"/>
      <c r="B172" s="244"/>
      <c r="C172" s="244"/>
      <c r="D172" s="303"/>
      <c r="E172" s="244"/>
      <c r="F172" s="303"/>
      <c r="G172" s="244"/>
      <c r="H172" s="303"/>
      <c r="I172" s="244"/>
      <c r="J172" s="303"/>
      <c r="K172" s="244"/>
      <c r="L172" s="303"/>
      <c r="M172" s="244"/>
      <c r="N172" s="303"/>
      <c r="O172" s="244"/>
      <c r="P172" s="244"/>
      <c r="Q172" s="244"/>
      <c r="R172" s="244"/>
      <c r="S172" s="244"/>
      <c r="T172" s="244"/>
      <c r="U172" s="244"/>
      <c r="V172" s="244"/>
      <c r="W172" s="244"/>
      <c r="X172" s="244"/>
      <c r="Y172" s="244"/>
      <c r="Z172" s="244"/>
      <c r="AA172" s="244"/>
      <c r="AB172" s="244"/>
      <c r="AC172" s="244"/>
    </row>
    <row r="173" spans="1:29" ht="15.75" customHeight="1" x14ac:dyDescent="0.25">
      <c r="A173" s="244"/>
      <c r="B173" s="244"/>
      <c r="C173" s="244"/>
      <c r="D173" s="244"/>
      <c r="E173" s="244"/>
      <c r="F173" s="303"/>
      <c r="G173" s="244"/>
      <c r="H173" s="303"/>
      <c r="I173" s="244"/>
      <c r="J173" s="244"/>
      <c r="K173" s="244"/>
      <c r="L173" s="303"/>
      <c r="M173" s="244"/>
      <c r="N173" s="303"/>
      <c r="O173" s="244"/>
      <c r="P173" s="244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  <c r="AA173" s="244"/>
      <c r="AB173" s="244"/>
      <c r="AC173" s="244"/>
    </row>
    <row r="174" spans="1:29" ht="15.75" customHeight="1" x14ac:dyDescent="0.25">
      <c r="A174" s="244"/>
      <c r="B174" s="244"/>
      <c r="C174" s="244"/>
      <c r="D174" s="244"/>
      <c r="E174" s="244"/>
      <c r="F174" s="303"/>
      <c r="G174" s="244"/>
      <c r="H174" s="303"/>
      <c r="I174" s="244"/>
      <c r="J174" s="244"/>
      <c r="K174" s="244"/>
      <c r="L174" s="303"/>
      <c r="M174" s="244"/>
      <c r="N174" s="303"/>
      <c r="O174" s="244"/>
      <c r="P174" s="244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  <c r="AA174" s="244"/>
      <c r="AB174" s="244"/>
      <c r="AC174" s="244"/>
    </row>
    <row r="175" spans="1:29" ht="15.75" customHeight="1" x14ac:dyDescent="0.25">
      <c r="A175" s="244"/>
      <c r="B175" s="244"/>
      <c r="C175" s="244"/>
      <c r="D175" s="244"/>
      <c r="E175" s="244"/>
      <c r="F175" s="303"/>
      <c r="G175" s="244"/>
      <c r="H175" s="303"/>
      <c r="I175" s="244"/>
      <c r="J175" s="244"/>
      <c r="K175" s="244"/>
      <c r="L175" s="303"/>
      <c r="M175" s="244"/>
      <c r="N175" s="303"/>
      <c r="O175" s="244"/>
      <c r="P175" s="244"/>
      <c r="Q175" s="244"/>
      <c r="R175" s="244"/>
      <c r="S175" s="244"/>
      <c r="T175" s="244"/>
      <c r="U175" s="244"/>
      <c r="V175" s="244"/>
      <c r="W175" s="244"/>
      <c r="X175" s="244"/>
      <c r="Y175" s="244"/>
      <c r="Z175" s="244"/>
      <c r="AA175" s="244"/>
      <c r="AB175" s="244"/>
      <c r="AC175" s="244"/>
    </row>
    <row r="176" spans="1:29" ht="15.75" customHeight="1" x14ac:dyDescent="0.25">
      <c r="A176" s="244"/>
      <c r="B176" s="244"/>
      <c r="C176" s="244"/>
      <c r="D176" s="244"/>
      <c r="E176" s="244"/>
      <c r="F176" s="303"/>
      <c r="G176" s="244"/>
      <c r="H176" s="303"/>
      <c r="I176" s="244"/>
      <c r="J176" s="244"/>
      <c r="K176" s="244"/>
      <c r="L176" s="303"/>
      <c r="M176" s="244"/>
      <c r="N176" s="303"/>
      <c r="O176" s="244"/>
      <c r="P176" s="244"/>
      <c r="Q176" s="244"/>
      <c r="R176" s="244"/>
      <c r="S176" s="244"/>
      <c r="T176" s="244"/>
      <c r="U176" s="244"/>
      <c r="V176" s="244"/>
      <c r="W176" s="244"/>
      <c r="X176" s="244"/>
      <c r="Y176" s="244"/>
      <c r="Z176" s="244"/>
      <c r="AA176" s="244"/>
      <c r="AB176" s="244"/>
      <c r="AC176" s="244"/>
    </row>
    <row r="177" spans="1:29" ht="15.75" customHeight="1" x14ac:dyDescent="0.25">
      <c r="A177" s="244"/>
      <c r="B177" s="244"/>
      <c r="C177" s="244"/>
      <c r="D177" s="244"/>
      <c r="E177" s="244"/>
      <c r="F177" s="303"/>
      <c r="G177" s="244"/>
      <c r="H177" s="303"/>
      <c r="I177" s="244"/>
      <c r="J177" s="244"/>
      <c r="K177" s="244"/>
      <c r="L177" s="303"/>
      <c r="M177" s="244"/>
      <c r="N177" s="303"/>
      <c r="O177" s="244"/>
      <c r="P177" s="244"/>
      <c r="Q177" s="244"/>
      <c r="R177" s="244"/>
      <c r="S177" s="244"/>
      <c r="T177" s="244"/>
      <c r="U177" s="244"/>
      <c r="V177" s="244"/>
      <c r="W177" s="244"/>
      <c r="X177" s="244"/>
      <c r="Y177" s="244"/>
      <c r="Z177" s="244"/>
      <c r="AA177" s="244"/>
      <c r="AB177" s="244"/>
      <c r="AC177" s="244"/>
    </row>
    <row r="178" spans="1:29" ht="15.75" customHeight="1" x14ac:dyDescent="0.25">
      <c r="A178" s="244"/>
      <c r="B178" s="244"/>
      <c r="C178" s="244"/>
      <c r="D178" s="244"/>
      <c r="E178" s="244"/>
      <c r="F178" s="303"/>
      <c r="G178" s="244"/>
      <c r="H178" s="303"/>
      <c r="I178" s="244"/>
      <c r="J178" s="244"/>
      <c r="K178" s="244"/>
      <c r="L178" s="303"/>
      <c r="M178" s="244"/>
      <c r="N178" s="303"/>
      <c r="O178" s="244"/>
      <c r="P178" s="244"/>
      <c r="Q178" s="244"/>
      <c r="R178" s="244"/>
      <c r="S178" s="244"/>
      <c r="T178" s="244"/>
      <c r="U178" s="244"/>
      <c r="V178" s="244"/>
      <c r="W178" s="244"/>
      <c r="X178" s="244"/>
      <c r="Y178" s="244"/>
      <c r="Z178" s="244"/>
      <c r="AA178" s="244"/>
      <c r="AB178" s="244"/>
      <c r="AC178" s="244"/>
    </row>
    <row r="179" spans="1:29" ht="15.75" customHeight="1" x14ac:dyDescent="0.25">
      <c r="A179" s="244"/>
      <c r="B179" s="244"/>
      <c r="C179" s="244"/>
      <c r="D179" s="244"/>
      <c r="E179" s="244"/>
      <c r="F179" s="303"/>
      <c r="G179" s="244"/>
      <c r="H179" s="303"/>
      <c r="I179" s="244"/>
      <c r="J179" s="244"/>
      <c r="K179" s="244"/>
      <c r="L179" s="303"/>
      <c r="M179" s="244"/>
      <c r="N179" s="303"/>
      <c r="O179" s="244"/>
      <c r="P179" s="244"/>
      <c r="Q179" s="244"/>
      <c r="R179" s="244"/>
      <c r="S179" s="244"/>
      <c r="T179" s="244"/>
      <c r="U179" s="244"/>
      <c r="V179" s="244"/>
      <c r="W179" s="244"/>
      <c r="X179" s="244"/>
      <c r="Y179" s="244"/>
      <c r="Z179" s="244"/>
      <c r="AA179" s="244"/>
      <c r="AB179" s="244"/>
      <c r="AC179" s="244"/>
    </row>
    <row r="180" spans="1:29" ht="15.75" customHeight="1" x14ac:dyDescent="0.25">
      <c r="A180" s="244"/>
      <c r="B180" s="244"/>
      <c r="C180" s="244"/>
      <c r="D180" s="244"/>
      <c r="E180" s="244"/>
      <c r="F180" s="303"/>
      <c r="G180" s="244"/>
      <c r="H180" s="303"/>
      <c r="I180" s="244"/>
      <c r="J180" s="244"/>
      <c r="K180" s="244"/>
      <c r="L180" s="303"/>
      <c r="M180" s="244"/>
      <c r="N180" s="303"/>
      <c r="O180" s="244"/>
      <c r="P180" s="244"/>
      <c r="Q180" s="244"/>
      <c r="R180" s="244"/>
      <c r="S180" s="244"/>
      <c r="T180" s="244"/>
      <c r="U180" s="244"/>
      <c r="V180" s="244"/>
      <c r="W180" s="244"/>
      <c r="X180" s="244"/>
      <c r="Y180" s="244"/>
      <c r="Z180" s="244"/>
      <c r="AA180" s="244"/>
      <c r="AB180" s="244"/>
      <c r="AC180" s="244"/>
    </row>
    <row r="181" spans="1:29" ht="15.75" customHeight="1" x14ac:dyDescent="0.25">
      <c r="A181" s="244"/>
      <c r="B181" s="244"/>
      <c r="C181" s="244"/>
      <c r="D181" s="244"/>
      <c r="E181" s="244"/>
      <c r="F181" s="303"/>
      <c r="G181" s="244"/>
      <c r="H181" s="303"/>
      <c r="I181" s="244"/>
      <c r="J181" s="244"/>
      <c r="K181" s="244"/>
      <c r="L181" s="303"/>
      <c r="M181" s="244"/>
      <c r="N181" s="303"/>
      <c r="O181" s="244"/>
      <c r="P181" s="244"/>
      <c r="Q181" s="244"/>
      <c r="R181" s="244"/>
      <c r="S181" s="244"/>
      <c r="T181" s="244"/>
      <c r="U181" s="244"/>
      <c r="V181" s="244"/>
      <c r="W181" s="244"/>
      <c r="X181" s="244"/>
      <c r="Y181" s="244"/>
      <c r="Z181" s="244"/>
      <c r="AA181" s="244"/>
      <c r="AB181" s="244"/>
      <c r="AC181" s="244"/>
    </row>
    <row r="182" spans="1:29" ht="15.75" customHeight="1" x14ac:dyDescent="0.25">
      <c r="A182" s="244"/>
      <c r="B182" s="244"/>
      <c r="C182" s="244"/>
      <c r="D182" s="244"/>
      <c r="E182" s="244"/>
      <c r="F182" s="303"/>
      <c r="G182" s="244"/>
      <c r="H182" s="303"/>
      <c r="I182" s="244"/>
      <c r="J182" s="244"/>
      <c r="K182" s="244"/>
      <c r="L182" s="303"/>
      <c r="M182" s="244"/>
      <c r="N182" s="303"/>
      <c r="O182" s="244"/>
      <c r="P182" s="244"/>
      <c r="Q182" s="244"/>
      <c r="R182" s="244"/>
      <c r="S182" s="244"/>
      <c r="T182" s="244"/>
      <c r="U182" s="244"/>
      <c r="V182" s="244"/>
      <c r="W182" s="244"/>
      <c r="X182" s="244"/>
      <c r="Y182" s="244"/>
      <c r="Z182" s="244"/>
      <c r="AA182" s="244"/>
      <c r="AB182" s="244"/>
      <c r="AC182" s="244"/>
    </row>
    <row r="183" spans="1:29" ht="15.75" customHeight="1" x14ac:dyDescent="0.25">
      <c r="A183" s="244"/>
      <c r="B183" s="244"/>
      <c r="C183" s="244"/>
      <c r="D183" s="244"/>
      <c r="E183" s="244"/>
      <c r="F183" s="303"/>
      <c r="G183" s="244"/>
      <c r="H183" s="303"/>
      <c r="I183" s="244"/>
      <c r="J183" s="244"/>
      <c r="K183" s="244"/>
      <c r="L183" s="303"/>
      <c r="M183" s="244"/>
      <c r="N183" s="303"/>
      <c r="O183" s="244"/>
      <c r="P183" s="244"/>
      <c r="Q183" s="244"/>
      <c r="R183" s="244"/>
      <c r="S183" s="244"/>
      <c r="T183" s="244"/>
      <c r="U183" s="244"/>
      <c r="V183" s="244"/>
      <c r="W183" s="244"/>
      <c r="X183" s="244"/>
      <c r="Y183" s="244"/>
      <c r="Z183" s="244"/>
      <c r="AA183" s="244"/>
      <c r="AB183" s="244"/>
      <c r="AC183" s="244"/>
    </row>
    <row r="184" spans="1:29" ht="15.75" customHeight="1" x14ac:dyDescent="0.25">
      <c r="A184" s="244"/>
      <c r="B184" s="244"/>
      <c r="C184" s="244"/>
      <c r="D184" s="244"/>
      <c r="E184" s="244"/>
      <c r="F184" s="303"/>
      <c r="G184" s="244"/>
      <c r="H184" s="303"/>
      <c r="I184" s="244"/>
      <c r="J184" s="244"/>
      <c r="K184" s="244"/>
      <c r="L184" s="303"/>
      <c r="M184" s="244"/>
      <c r="N184" s="303"/>
      <c r="O184" s="244"/>
      <c r="P184" s="244"/>
      <c r="Q184" s="244"/>
      <c r="R184" s="244"/>
      <c r="S184" s="244"/>
      <c r="T184" s="244"/>
      <c r="U184" s="244"/>
      <c r="V184" s="244"/>
      <c r="W184" s="244"/>
      <c r="X184" s="244"/>
      <c r="Y184" s="244"/>
      <c r="Z184" s="244"/>
      <c r="AA184" s="244"/>
      <c r="AB184" s="244"/>
      <c r="AC184" s="244"/>
    </row>
    <row r="185" spans="1:29" ht="15.75" customHeight="1" x14ac:dyDescent="0.25">
      <c r="A185" s="244"/>
      <c r="B185" s="244"/>
      <c r="C185" s="244"/>
      <c r="D185" s="244"/>
      <c r="E185" s="244"/>
      <c r="F185" s="303"/>
      <c r="G185" s="244"/>
      <c r="H185" s="303"/>
      <c r="I185" s="244"/>
      <c r="J185" s="244"/>
      <c r="K185" s="244"/>
      <c r="L185" s="303"/>
      <c r="M185" s="244"/>
      <c r="N185" s="303"/>
      <c r="O185" s="244"/>
      <c r="P185" s="244"/>
      <c r="Q185" s="244"/>
      <c r="R185" s="244"/>
      <c r="S185" s="244"/>
      <c r="T185" s="244"/>
      <c r="U185" s="244"/>
      <c r="V185" s="244"/>
      <c r="W185" s="244"/>
      <c r="X185" s="244"/>
      <c r="Y185" s="244"/>
      <c r="Z185" s="244"/>
      <c r="AA185" s="244"/>
      <c r="AB185" s="244"/>
      <c r="AC185" s="244"/>
    </row>
    <row r="186" spans="1:29" ht="15.75" customHeight="1" x14ac:dyDescent="0.25">
      <c r="A186" s="244"/>
      <c r="B186" s="244"/>
      <c r="C186" s="244"/>
      <c r="D186" s="244"/>
      <c r="E186" s="244"/>
      <c r="F186" s="303"/>
      <c r="G186" s="244"/>
      <c r="H186" s="303"/>
      <c r="I186" s="244"/>
      <c r="J186" s="244"/>
      <c r="K186" s="244"/>
      <c r="L186" s="303"/>
      <c r="M186" s="244"/>
      <c r="N186" s="303"/>
      <c r="O186" s="244"/>
      <c r="P186" s="244"/>
      <c r="Q186" s="244"/>
      <c r="R186" s="244"/>
      <c r="S186" s="244"/>
      <c r="T186" s="244"/>
      <c r="U186" s="244"/>
      <c r="V186" s="244"/>
      <c r="W186" s="244"/>
      <c r="X186" s="244"/>
      <c r="Y186" s="244"/>
      <c r="Z186" s="244"/>
      <c r="AA186" s="244"/>
      <c r="AB186" s="244"/>
      <c r="AC186" s="244"/>
    </row>
    <row r="187" spans="1:29" ht="15.75" customHeight="1" x14ac:dyDescent="0.25">
      <c r="A187" s="244"/>
      <c r="B187" s="244"/>
      <c r="C187" s="244"/>
      <c r="D187" s="244"/>
      <c r="E187" s="244"/>
      <c r="F187" s="303"/>
      <c r="G187" s="244"/>
      <c r="H187" s="303"/>
      <c r="I187" s="244"/>
      <c r="J187" s="244"/>
      <c r="K187" s="244"/>
      <c r="L187" s="303"/>
      <c r="M187" s="244"/>
      <c r="N187" s="303"/>
      <c r="O187" s="244"/>
      <c r="P187" s="244"/>
      <c r="Q187" s="244"/>
      <c r="R187" s="244"/>
      <c r="S187" s="244"/>
      <c r="T187" s="244"/>
      <c r="U187" s="244"/>
      <c r="V187" s="244"/>
      <c r="W187" s="244"/>
      <c r="X187" s="244"/>
      <c r="Y187" s="244"/>
      <c r="Z187" s="244"/>
      <c r="AA187" s="244"/>
      <c r="AB187" s="244"/>
      <c r="AC187" s="244"/>
    </row>
    <row r="188" spans="1:29" ht="15.75" customHeight="1" x14ac:dyDescent="0.25">
      <c r="A188" s="244"/>
      <c r="B188" s="244"/>
      <c r="C188" s="244"/>
      <c r="D188" s="244"/>
      <c r="E188" s="244"/>
      <c r="F188" s="303"/>
      <c r="G188" s="244"/>
      <c r="H188" s="303"/>
      <c r="I188" s="244"/>
      <c r="J188" s="244"/>
      <c r="K188" s="244"/>
      <c r="L188" s="303"/>
      <c r="M188" s="244"/>
      <c r="N188" s="303"/>
      <c r="O188" s="244"/>
      <c r="P188" s="244"/>
      <c r="Q188" s="244"/>
      <c r="R188" s="244"/>
      <c r="S188" s="244"/>
      <c r="T188" s="244"/>
      <c r="U188" s="244"/>
      <c r="V188" s="244"/>
      <c r="W188" s="244"/>
      <c r="X188" s="244"/>
      <c r="Y188" s="244"/>
      <c r="Z188" s="244"/>
      <c r="AA188" s="244"/>
      <c r="AB188" s="244"/>
      <c r="AC188" s="244"/>
    </row>
    <row r="189" spans="1:29" ht="15.75" customHeight="1" x14ac:dyDescent="0.25">
      <c r="A189" s="244"/>
      <c r="B189" s="244"/>
      <c r="C189" s="244"/>
      <c r="D189" s="244"/>
      <c r="E189" s="244"/>
      <c r="F189" s="303"/>
      <c r="G189" s="244"/>
      <c r="H189" s="303"/>
      <c r="I189" s="244"/>
      <c r="J189" s="244"/>
      <c r="K189" s="244"/>
      <c r="L189" s="303"/>
      <c r="M189" s="244"/>
      <c r="N189" s="303"/>
      <c r="O189" s="244"/>
      <c r="P189" s="244"/>
      <c r="Q189" s="244"/>
      <c r="R189" s="244"/>
      <c r="S189" s="244"/>
      <c r="T189" s="244"/>
      <c r="U189" s="244"/>
      <c r="V189" s="244"/>
      <c r="W189" s="244"/>
      <c r="X189" s="244"/>
      <c r="Y189" s="244"/>
      <c r="Z189" s="244"/>
      <c r="AA189" s="244"/>
      <c r="AB189" s="244"/>
      <c r="AC189" s="244"/>
    </row>
    <row r="190" spans="1:29" ht="15.75" customHeight="1" x14ac:dyDescent="0.25">
      <c r="A190" s="244"/>
      <c r="B190" s="244"/>
      <c r="C190" s="244"/>
      <c r="D190" s="244"/>
      <c r="E190" s="244"/>
      <c r="F190" s="303"/>
      <c r="G190" s="244"/>
      <c r="H190" s="303"/>
      <c r="I190" s="244"/>
      <c r="J190" s="244"/>
      <c r="K190" s="244"/>
      <c r="L190" s="303"/>
      <c r="M190" s="244"/>
      <c r="N190" s="303"/>
      <c r="O190" s="244"/>
      <c r="P190" s="244"/>
      <c r="Q190" s="244"/>
      <c r="R190" s="244"/>
      <c r="S190" s="244"/>
      <c r="T190" s="244"/>
      <c r="U190" s="244"/>
      <c r="V190" s="244"/>
      <c r="W190" s="244"/>
      <c r="X190" s="244"/>
      <c r="Y190" s="244"/>
      <c r="Z190" s="244"/>
      <c r="AA190" s="244"/>
      <c r="AB190" s="244"/>
      <c r="AC190" s="244"/>
    </row>
    <row r="191" spans="1:29" ht="15.75" customHeight="1" x14ac:dyDescent="0.25">
      <c r="A191" s="244"/>
      <c r="B191" s="244"/>
      <c r="C191" s="244"/>
      <c r="D191" s="244"/>
      <c r="E191" s="244"/>
      <c r="F191" s="303"/>
      <c r="G191" s="244"/>
      <c r="H191" s="303"/>
      <c r="I191" s="244"/>
      <c r="J191" s="244"/>
      <c r="K191" s="244"/>
      <c r="L191" s="303"/>
      <c r="M191" s="244"/>
      <c r="N191" s="303"/>
      <c r="O191" s="244"/>
      <c r="P191" s="244"/>
      <c r="Q191" s="244"/>
      <c r="R191" s="244"/>
      <c r="S191" s="244"/>
      <c r="T191" s="244"/>
      <c r="U191" s="244"/>
      <c r="V191" s="244"/>
      <c r="W191" s="244"/>
      <c r="X191" s="244"/>
      <c r="Y191" s="244"/>
      <c r="Z191" s="244"/>
      <c r="AA191" s="244"/>
      <c r="AB191" s="244"/>
      <c r="AC191" s="244"/>
    </row>
    <row r="192" spans="1:29" ht="15.75" customHeight="1" x14ac:dyDescent="0.25">
      <c r="A192" s="244"/>
      <c r="B192" s="244"/>
      <c r="C192" s="244"/>
      <c r="D192" s="244"/>
      <c r="E192" s="244"/>
      <c r="F192" s="303"/>
      <c r="G192" s="244"/>
      <c r="H192" s="303"/>
      <c r="I192" s="244"/>
      <c r="J192" s="244"/>
      <c r="K192" s="244"/>
      <c r="L192" s="303"/>
      <c r="M192" s="244"/>
      <c r="N192" s="303"/>
      <c r="O192" s="244"/>
      <c r="P192" s="244"/>
      <c r="Q192" s="244"/>
      <c r="R192" s="244"/>
      <c r="S192" s="244"/>
      <c r="T192" s="244"/>
      <c r="U192" s="244"/>
      <c r="V192" s="244"/>
      <c r="W192" s="244"/>
      <c r="X192" s="244"/>
      <c r="Y192" s="244"/>
      <c r="Z192" s="244"/>
      <c r="AA192" s="244"/>
      <c r="AB192" s="244"/>
      <c r="AC192" s="244"/>
    </row>
    <row r="193" spans="1:29" ht="15.75" customHeight="1" x14ac:dyDescent="0.25">
      <c r="A193" s="244"/>
      <c r="B193" s="244"/>
      <c r="C193" s="244"/>
      <c r="D193" s="244"/>
      <c r="E193" s="244"/>
      <c r="F193" s="303"/>
      <c r="G193" s="244"/>
      <c r="H193" s="303"/>
      <c r="I193" s="244"/>
      <c r="J193" s="244"/>
      <c r="K193" s="244"/>
      <c r="L193" s="303"/>
      <c r="M193" s="244"/>
      <c r="N193" s="303"/>
      <c r="O193" s="244"/>
      <c r="P193" s="244"/>
      <c r="Q193" s="244"/>
      <c r="R193" s="244"/>
      <c r="S193" s="244"/>
      <c r="T193" s="244"/>
      <c r="U193" s="244"/>
      <c r="V193" s="244"/>
      <c r="W193" s="244"/>
      <c r="X193" s="244"/>
      <c r="Y193" s="244"/>
      <c r="Z193" s="244"/>
      <c r="AA193" s="244"/>
      <c r="AB193" s="244"/>
      <c r="AC193" s="244"/>
    </row>
    <row r="194" spans="1:29" ht="15.75" customHeight="1" x14ac:dyDescent="0.25">
      <c r="A194" s="244"/>
      <c r="B194" s="244"/>
      <c r="C194" s="244"/>
      <c r="D194" s="244"/>
      <c r="E194" s="244"/>
      <c r="F194" s="303"/>
      <c r="G194" s="244"/>
      <c r="H194" s="303"/>
      <c r="I194" s="244"/>
      <c r="J194" s="244"/>
      <c r="K194" s="244"/>
      <c r="L194" s="303"/>
      <c r="M194" s="244"/>
      <c r="N194" s="303"/>
      <c r="O194" s="244"/>
      <c r="P194" s="244"/>
      <c r="Q194" s="244"/>
      <c r="R194" s="244"/>
      <c r="S194" s="244"/>
      <c r="T194" s="244"/>
      <c r="U194" s="244"/>
      <c r="V194" s="244"/>
      <c r="W194" s="244"/>
      <c r="X194" s="244"/>
      <c r="Y194" s="244"/>
      <c r="Z194" s="244"/>
      <c r="AA194" s="244"/>
      <c r="AB194" s="244"/>
      <c r="AC194" s="244"/>
    </row>
    <row r="195" spans="1:29" ht="15.75" customHeight="1" x14ac:dyDescent="0.25">
      <c r="A195" s="244"/>
      <c r="B195" s="244"/>
      <c r="C195" s="244"/>
      <c r="D195" s="244"/>
      <c r="E195" s="244"/>
      <c r="F195" s="303"/>
      <c r="G195" s="244"/>
      <c r="H195" s="303"/>
      <c r="I195" s="244"/>
      <c r="J195" s="244"/>
      <c r="K195" s="244"/>
      <c r="L195" s="303"/>
      <c r="M195" s="244"/>
      <c r="N195" s="303"/>
      <c r="O195" s="244"/>
      <c r="P195" s="244"/>
      <c r="Q195" s="244"/>
      <c r="R195" s="244"/>
      <c r="S195" s="244"/>
      <c r="T195" s="244"/>
      <c r="U195" s="244"/>
      <c r="V195" s="244"/>
      <c r="W195" s="244"/>
      <c r="X195" s="244"/>
      <c r="Y195" s="244"/>
      <c r="Z195" s="244"/>
      <c r="AA195" s="244"/>
      <c r="AB195" s="244"/>
      <c r="AC195" s="244"/>
    </row>
    <row r="196" spans="1:29" ht="15.75" customHeight="1" x14ac:dyDescent="0.25">
      <c r="A196" s="244"/>
      <c r="B196" s="244"/>
      <c r="C196" s="244"/>
      <c r="D196" s="244"/>
      <c r="E196" s="244"/>
      <c r="F196" s="303"/>
      <c r="G196" s="244"/>
      <c r="H196" s="303"/>
      <c r="I196" s="244"/>
      <c r="J196" s="244"/>
      <c r="K196" s="244"/>
      <c r="L196" s="303"/>
      <c r="M196" s="244"/>
      <c r="N196" s="303"/>
      <c r="O196" s="244"/>
      <c r="P196" s="244"/>
      <c r="Q196" s="244"/>
      <c r="R196" s="244"/>
      <c r="S196" s="244"/>
      <c r="T196" s="244"/>
      <c r="U196" s="244"/>
      <c r="V196" s="244"/>
      <c r="W196" s="244"/>
      <c r="X196" s="244"/>
      <c r="Y196" s="244"/>
      <c r="Z196" s="244"/>
      <c r="AA196" s="244"/>
      <c r="AB196" s="244"/>
      <c r="AC196" s="244"/>
    </row>
    <row r="197" spans="1:29" ht="15.75" customHeight="1" x14ac:dyDescent="0.25">
      <c r="A197" s="244"/>
      <c r="B197" s="244"/>
      <c r="C197" s="244"/>
      <c r="D197" s="244"/>
      <c r="E197" s="244"/>
      <c r="F197" s="303"/>
      <c r="G197" s="244"/>
      <c r="H197" s="303"/>
      <c r="I197" s="244"/>
      <c r="J197" s="244"/>
      <c r="K197" s="244"/>
      <c r="L197" s="303"/>
      <c r="M197" s="244"/>
      <c r="N197" s="303"/>
      <c r="O197" s="244"/>
      <c r="P197" s="244"/>
      <c r="Q197" s="244"/>
      <c r="R197" s="244"/>
      <c r="S197" s="244"/>
      <c r="T197" s="244"/>
      <c r="U197" s="244"/>
      <c r="V197" s="244"/>
      <c r="W197" s="244"/>
      <c r="X197" s="244"/>
      <c r="Y197" s="244"/>
      <c r="Z197" s="244"/>
      <c r="AA197" s="244"/>
      <c r="AB197" s="244"/>
      <c r="AC197" s="244"/>
    </row>
    <row r="198" spans="1:29" ht="15.75" customHeight="1" x14ac:dyDescent="0.25">
      <c r="A198" s="244"/>
      <c r="B198" s="244"/>
      <c r="C198" s="244"/>
      <c r="D198" s="244"/>
      <c r="E198" s="244"/>
      <c r="F198" s="303"/>
      <c r="G198" s="244"/>
      <c r="H198" s="303"/>
      <c r="I198" s="244"/>
      <c r="J198" s="244"/>
      <c r="K198" s="244"/>
      <c r="L198" s="303"/>
      <c r="M198" s="244"/>
      <c r="N198" s="303"/>
      <c r="O198" s="244"/>
      <c r="P198" s="244"/>
      <c r="Q198" s="244"/>
      <c r="R198" s="244"/>
      <c r="S198" s="244"/>
      <c r="T198" s="244"/>
      <c r="U198" s="244"/>
      <c r="V198" s="244"/>
      <c r="W198" s="244"/>
      <c r="X198" s="244"/>
      <c r="Y198" s="244"/>
      <c r="Z198" s="244"/>
      <c r="AA198" s="244"/>
      <c r="AB198" s="244"/>
      <c r="AC198" s="244"/>
    </row>
    <row r="199" spans="1:29" ht="15.75" customHeight="1" x14ac:dyDescent="0.25">
      <c r="A199" s="244"/>
      <c r="B199" s="244"/>
      <c r="C199" s="244"/>
      <c r="D199" s="244"/>
      <c r="E199" s="244"/>
      <c r="F199" s="303"/>
      <c r="G199" s="244"/>
      <c r="H199" s="303"/>
      <c r="I199" s="244"/>
      <c r="J199" s="244"/>
      <c r="K199" s="244"/>
      <c r="L199" s="303"/>
      <c r="M199" s="244"/>
      <c r="N199" s="303"/>
      <c r="O199" s="244"/>
      <c r="P199" s="244"/>
      <c r="Q199" s="244"/>
      <c r="R199" s="244"/>
      <c r="S199" s="244"/>
      <c r="T199" s="244"/>
      <c r="U199" s="244"/>
      <c r="V199" s="244"/>
      <c r="W199" s="244"/>
      <c r="X199" s="244"/>
      <c r="Y199" s="244"/>
      <c r="Z199" s="244"/>
      <c r="AA199" s="244"/>
      <c r="AB199" s="244"/>
      <c r="AC199" s="244"/>
    </row>
    <row r="200" spans="1:29" ht="15.75" customHeight="1" x14ac:dyDescent="0.25">
      <c r="A200" s="244"/>
      <c r="B200" s="244"/>
      <c r="C200" s="244"/>
      <c r="D200" s="244"/>
      <c r="E200" s="244"/>
      <c r="F200" s="303"/>
      <c r="G200" s="244"/>
      <c r="H200" s="303"/>
      <c r="I200" s="244"/>
      <c r="J200" s="244"/>
      <c r="K200" s="244"/>
      <c r="L200" s="303"/>
      <c r="M200" s="244"/>
      <c r="N200" s="303"/>
      <c r="O200" s="244"/>
      <c r="P200" s="244"/>
      <c r="Q200" s="244"/>
      <c r="R200" s="244"/>
      <c r="S200" s="244"/>
      <c r="T200" s="244"/>
      <c r="U200" s="244"/>
      <c r="V200" s="244"/>
      <c r="W200" s="244"/>
      <c r="X200" s="244"/>
      <c r="Y200" s="244"/>
      <c r="Z200" s="244"/>
      <c r="AA200" s="244"/>
      <c r="AB200" s="244"/>
      <c r="AC200" s="244"/>
    </row>
    <row r="201" spans="1:29" ht="15.75" customHeight="1" x14ac:dyDescent="0.25">
      <c r="A201" s="244"/>
      <c r="B201" s="244"/>
      <c r="C201" s="244"/>
      <c r="D201" s="244"/>
      <c r="E201" s="244"/>
      <c r="F201" s="303"/>
      <c r="G201" s="244"/>
      <c r="H201" s="303"/>
      <c r="I201" s="244"/>
      <c r="J201" s="244"/>
      <c r="K201" s="244"/>
      <c r="L201" s="303"/>
      <c r="M201" s="244"/>
      <c r="N201" s="303"/>
      <c r="O201" s="244"/>
      <c r="P201" s="244"/>
      <c r="Q201" s="244"/>
      <c r="R201" s="244"/>
      <c r="S201" s="244"/>
      <c r="T201" s="244"/>
      <c r="U201" s="244"/>
      <c r="V201" s="244"/>
      <c r="W201" s="244"/>
      <c r="X201" s="244"/>
      <c r="Y201" s="244"/>
      <c r="Z201" s="244"/>
      <c r="AA201" s="244"/>
      <c r="AB201" s="244"/>
      <c r="AC201" s="244"/>
    </row>
    <row r="202" spans="1:29" ht="15.75" customHeight="1" x14ac:dyDescent="0.25">
      <c r="A202" s="244"/>
      <c r="B202" s="244"/>
      <c r="C202" s="244"/>
      <c r="D202" s="244"/>
      <c r="E202" s="244"/>
      <c r="F202" s="303"/>
      <c r="G202" s="244"/>
      <c r="H202" s="303"/>
      <c r="I202" s="244"/>
      <c r="J202" s="244"/>
      <c r="K202" s="244"/>
      <c r="L202" s="303"/>
      <c r="M202" s="244"/>
      <c r="N202" s="303"/>
      <c r="O202" s="244"/>
      <c r="P202" s="244"/>
      <c r="Q202" s="244"/>
      <c r="R202" s="244"/>
      <c r="S202" s="244"/>
      <c r="T202" s="244"/>
      <c r="U202" s="244"/>
      <c r="V202" s="244"/>
      <c r="W202" s="244"/>
      <c r="X202" s="244"/>
      <c r="Y202" s="244"/>
      <c r="Z202" s="244"/>
      <c r="AA202" s="244"/>
      <c r="AB202" s="244"/>
      <c r="AC202" s="244"/>
    </row>
    <row r="203" spans="1:29" ht="15.75" customHeight="1" x14ac:dyDescent="0.25">
      <c r="A203" s="244"/>
      <c r="B203" s="244"/>
      <c r="C203" s="244"/>
      <c r="D203" s="244"/>
      <c r="E203" s="244"/>
      <c r="F203" s="303"/>
      <c r="G203" s="244"/>
      <c r="H203" s="303"/>
      <c r="I203" s="244"/>
      <c r="J203" s="244"/>
      <c r="K203" s="244"/>
      <c r="L203" s="303"/>
      <c r="M203" s="244"/>
      <c r="N203" s="303"/>
      <c r="O203" s="244"/>
      <c r="P203" s="244"/>
      <c r="Q203" s="244"/>
      <c r="R203" s="244"/>
      <c r="S203" s="244"/>
      <c r="T203" s="244"/>
      <c r="U203" s="244"/>
      <c r="V203" s="244"/>
      <c r="W203" s="244"/>
      <c r="X203" s="244"/>
      <c r="Y203" s="244"/>
      <c r="Z203" s="244"/>
      <c r="AA203" s="244"/>
      <c r="AB203" s="244"/>
      <c r="AC203" s="244"/>
    </row>
    <row r="204" spans="1:29" ht="15.75" customHeight="1" x14ac:dyDescent="0.25">
      <c r="A204" s="244"/>
      <c r="B204" s="244"/>
      <c r="C204" s="244"/>
      <c r="D204" s="244"/>
      <c r="E204" s="244"/>
      <c r="F204" s="303"/>
      <c r="G204" s="244"/>
      <c r="H204" s="303"/>
      <c r="I204" s="244"/>
      <c r="J204" s="244"/>
      <c r="K204" s="244"/>
      <c r="L204" s="303"/>
      <c r="M204" s="244"/>
      <c r="N204" s="303"/>
      <c r="O204" s="244"/>
      <c r="P204" s="244"/>
      <c r="Q204" s="244"/>
      <c r="R204" s="244"/>
      <c r="S204" s="244"/>
      <c r="T204" s="244"/>
      <c r="U204" s="244"/>
      <c r="V204" s="244"/>
      <c r="W204" s="244"/>
      <c r="X204" s="244"/>
      <c r="Y204" s="244"/>
      <c r="Z204" s="244"/>
      <c r="AA204" s="244"/>
      <c r="AB204" s="244"/>
      <c r="AC204" s="244"/>
    </row>
    <row r="205" spans="1:29" ht="15.75" customHeight="1" x14ac:dyDescent="0.25">
      <c r="A205" s="244"/>
      <c r="B205" s="244"/>
      <c r="C205" s="244"/>
      <c r="D205" s="244"/>
      <c r="E205" s="244"/>
      <c r="F205" s="303"/>
      <c r="G205" s="244"/>
      <c r="H205" s="303"/>
      <c r="I205" s="244"/>
      <c r="J205" s="244"/>
      <c r="K205" s="244"/>
      <c r="L205" s="303"/>
      <c r="M205" s="244"/>
      <c r="N205" s="303"/>
      <c r="O205" s="244"/>
      <c r="P205" s="244"/>
      <c r="Q205" s="244"/>
      <c r="R205" s="244"/>
      <c r="S205" s="244"/>
      <c r="T205" s="244"/>
      <c r="U205" s="244"/>
      <c r="V205" s="244"/>
      <c r="W205" s="244"/>
      <c r="X205" s="244"/>
      <c r="Y205" s="244"/>
      <c r="Z205" s="244"/>
      <c r="AA205" s="244"/>
      <c r="AB205" s="244"/>
      <c r="AC205" s="244"/>
    </row>
    <row r="206" spans="1:29" ht="15.75" customHeight="1" x14ac:dyDescent="0.25">
      <c r="A206" s="244"/>
      <c r="B206" s="244"/>
      <c r="C206" s="244"/>
      <c r="D206" s="244"/>
      <c r="E206" s="244"/>
      <c r="F206" s="303"/>
      <c r="G206" s="244"/>
      <c r="H206" s="303"/>
      <c r="I206" s="244"/>
      <c r="J206" s="244"/>
      <c r="K206" s="244"/>
      <c r="L206" s="303"/>
      <c r="M206" s="244"/>
      <c r="N206" s="303"/>
      <c r="O206" s="244"/>
      <c r="P206" s="244"/>
      <c r="Q206" s="244"/>
      <c r="R206" s="244"/>
      <c r="S206" s="244"/>
      <c r="T206" s="244"/>
      <c r="U206" s="244"/>
      <c r="V206" s="244"/>
      <c r="W206" s="244"/>
      <c r="X206" s="244"/>
      <c r="Y206" s="244"/>
      <c r="Z206" s="244"/>
      <c r="AA206" s="244"/>
      <c r="AB206" s="244"/>
      <c r="AC206" s="244"/>
    </row>
    <row r="207" spans="1:29" ht="15.75" customHeight="1" x14ac:dyDescent="0.25">
      <c r="A207" s="244"/>
      <c r="B207" s="244"/>
      <c r="C207" s="244"/>
      <c r="D207" s="244"/>
      <c r="E207" s="244"/>
      <c r="F207" s="303"/>
      <c r="G207" s="244"/>
      <c r="H207" s="303"/>
      <c r="I207" s="244"/>
      <c r="J207" s="244"/>
      <c r="K207" s="244"/>
      <c r="L207" s="303"/>
      <c r="M207" s="244"/>
      <c r="N207" s="303"/>
      <c r="O207" s="244"/>
      <c r="P207" s="244"/>
      <c r="Q207" s="244"/>
      <c r="R207" s="244"/>
      <c r="S207" s="244"/>
      <c r="T207" s="244"/>
      <c r="U207" s="244"/>
      <c r="V207" s="244"/>
      <c r="W207" s="244"/>
      <c r="X207" s="244"/>
      <c r="Y207" s="244"/>
      <c r="Z207" s="244"/>
      <c r="AA207" s="244"/>
      <c r="AB207" s="244"/>
      <c r="AC207" s="244"/>
    </row>
    <row r="208" spans="1:29" ht="15.75" customHeight="1" x14ac:dyDescent="0.25">
      <c r="A208" s="244"/>
      <c r="B208" s="244"/>
      <c r="C208" s="244"/>
      <c r="D208" s="244"/>
      <c r="E208" s="244"/>
      <c r="F208" s="303"/>
      <c r="G208" s="244"/>
      <c r="H208" s="303"/>
      <c r="I208" s="244"/>
      <c r="J208" s="244"/>
      <c r="K208" s="244"/>
      <c r="L208" s="303"/>
      <c r="M208" s="244"/>
      <c r="N208" s="303"/>
      <c r="O208" s="244"/>
      <c r="P208" s="244"/>
      <c r="Q208" s="244"/>
      <c r="R208" s="244"/>
      <c r="S208" s="244"/>
      <c r="T208" s="244"/>
      <c r="U208" s="244"/>
      <c r="V208" s="244"/>
      <c r="W208" s="244"/>
      <c r="X208" s="244"/>
      <c r="Y208" s="244"/>
      <c r="Z208" s="244"/>
      <c r="AA208" s="244"/>
      <c r="AB208" s="244"/>
      <c r="AC208" s="244"/>
    </row>
    <row r="209" spans="1:29" ht="15.75" customHeight="1" x14ac:dyDescent="0.25">
      <c r="A209" s="244"/>
      <c r="B209" s="244"/>
      <c r="C209" s="244"/>
      <c r="D209" s="244"/>
      <c r="E209" s="244"/>
      <c r="F209" s="303"/>
      <c r="G209" s="244"/>
      <c r="H209" s="303"/>
      <c r="I209" s="244"/>
      <c r="J209" s="244"/>
      <c r="K209" s="244"/>
      <c r="L209" s="303"/>
      <c r="M209" s="244"/>
      <c r="N209" s="303"/>
      <c r="O209" s="244"/>
      <c r="P209" s="244"/>
      <c r="Q209" s="244"/>
      <c r="R209" s="244"/>
      <c r="S209" s="244"/>
      <c r="T209" s="244"/>
      <c r="U209" s="244"/>
      <c r="V209" s="244"/>
      <c r="W209" s="244"/>
      <c r="X209" s="244"/>
      <c r="Y209" s="244"/>
      <c r="Z209" s="244"/>
      <c r="AA209" s="244"/>
      <c r="AB209" s="244"/>
      <c r="AC209" s="244"/>
    </row>
    <row r="210" spans="1:29" ht="15.75" customHeight="1" x14ac:dyDescent="0.25">
      <c r="A210" s="244"/>
      <c r="B210" s="244"/>
      <c r="C210" s="244"/>
      <c r="D210" s="244"/>
      <c r="E210" s="244"/>
      <c r="F210" s="303"/>
      <c r="G210" s="244"/>
      <c r="H210" s="303"/>
      <c r="I210" s="244"/>
      <c r="J210" s="244"/>
      <c r="K210" s="244"/>
      <c r="L210" s="303"/>
      <c r="M210" s="244"/>
      <c r="N210" s="303"/>
      <c r="O210" s="244"/>
      <c r="P210" s="244"/>
      <c r="Q210" s="244"/>
      <c r="R210" s="244"/>
      <c r="S210" s="244"/>
      <c r="T210" s="244"/>
      <c r="U210" s="244"/>
      <c r="V210" s="244"/>
      <c r="W210" s="244"/>
      <c r="X210" s="244"/>
      <c r="Y210" s="244"/>
      <c r="Z210" s="244"/>
      <c r="AA210" s="244"/>
      <c r="AB210" s="244"/>
      <c r="AC210" s="244"/>
    </row>
    <row r="211" spans="1:29" ht="15.75" customHeight="1" x14ac:dyDescent="0.25">
      <c r="A211" s="244"/>
      <c r="B211" s="244"/>
      <c r="C211" s="244"/>
      <c r="D211" s="244"/>
      <c r="E211" s="244"/>
      <c r="F211" s="303"/>
      <c r="G211" s="244"/>
      <c r="H211" s="303"/>
      <c r="I211" s="244"/>
      <c r="J211" s="244"/>
      <c r="K211" s="244"/>
      <c r="L211" s="303"/>
      <c r="M211" s="244"/>
      <c r="N211" s="303"/>
      <c r="O211" s="244"/>
      <c r="P211" s="244"/>
      <c r="Q211" s="244"/>
      <c r="R211" s="244"/>
      <c r="S211" s="244"/>
      <c r="T211" s="244"/>
      <c r="U211" s="244"/>
      <c r="V211" s="244"/>
      <c r="W211" s="244"/>
      <c r="X211" s="244"/>
      <c r="Y211" s="244"/>
      <c r="Z211" s="244"/>
      <c r="AA211" s="244"/>
      <c r="AB211" s="244"/>
      <c r="AC211" s="244"/>
    </row>
    <row r="212" spans="1:29" ht="15.75" customHeight="1" x14ac:dyDescent="0.25">
      <c r="A212" s="244"/>
      <c r="B212" s="244"/>
      <c r="C212" s="244"/>
      <c r="D212" s="244"/>
      <c r="E212" s="244"/>
      <c r="F212" s="303"/>
      <c r="G212" s="244"/>
      <c r="H212" s="303"/>
      <c r="I212" s="244"/>
      <c r="J212" s="244"/>
      <c r="K212" s="244"/>
      <c r="L212" s="303"/>
      <c r="M212" s="244"/>
      <c r="N212" s="303"/>
      <c r="O212" s="244"/>
      <c r="P212" s="244"/>
      <c r="Q212" s="244"/>
      <c r="R212" s="244"/>
      <c r="S212" s="244"/>
      <c r="T212" s="244"/>
      <c r="U212" s="244"/>
      <c r="V212" s="244"/>
      <c r="W212" s="244"/>
      <c r="X212" s="244"/>
      <c r="Y212" s="244"/>
      <c r="Z212" s="244"/>
      <c r="AA212" s="244"/>
      <c r="AB212" s="244"/>
      <c r="AC212" s="244"/>
    </row>
    <row r="213" spans="1:29" ht="15.75" customHeight="1" x14ac:dyDescent="0.25">
      <c r="A213" s="244"/>
      <c r="B213" s="244"/>
      <c r="C213" s="244"/>
      <c r="D213" s="244"/>
      <c r="E213" s="244"/>
      <c r="F213" s="303"/>
      <c r="G213" s="244"/>
      <c r="H213" s="303"/>
      <c r="I213" s="244"/>
      <c r="J213" s="244"/>
      <c r="K213" s="244"/>
      <c r="L213" s="303"/>
      <c r="M213" s="244"/>
      <c r="N213" s="303"/>
      <c r="O213" s="244"/>
      <c r="P213" s="244"/>
      <c r="Q213" s="244"/>
      <c r="R213" s="244"/>
      <c r="S213" s="244"/>
      <c r="T213" s="244"/>
      <c r="U213" s="244"/>
      <c r="V213" s="244"/>
      <c r="W213" s="244"/>
      <c r="X213" s="244"/>
      <c r="Y213" s="244"/>
      <c r="Z213" s="244"/>
      <c r="AA213" s="244"/>
      <c r="AB213" s="244"/>
      <c r="AC213" s="244"/>
    </row>
    <row r="214" spans="1:29" ht="15.75" customHeight="1" x14ac:dyDescent="0.25">
      <c r="A214" s="244"/>
      <c r="B214" s="244"/>
      <c r="C214" s="244"/>
      <c r="D214" s="244"/>
      <c r="E214" s="244"/>
      <c r="F214" s="303"/>
      <c r="G214" s="244"/>
      <c r="H214" s="303"/>
      <c r="I214" s="244"/>
      <c r="J214" s="244"/>
      <c r="K214" s="244"/>
      <c r="L214" s="303"/>
      <c r="M214" s="244"/>
      <c r="N214" s="303"/>
      <c r="O214" s="244"/>
      <c r="P214" s="244"/>
      <c r="Q214" s="244"/>
      <c r="R214" s="244"/>
      <c r="S214" s="244"/>
      <c r="T214" s="244"/>
      <c r="U214" s="244"/>
      <c r="V214" s="244"/>
      <c r="W214" s="244"/>
      <c r="X214" s="244"/>
      <c r="Y214" s="244"/>
      <c r="Z214" s="244"/>
      <c r="AA214" s="244"/>
      <c r="AB214" s="244"/>
      <c r="AC214" s="244"/>
    </row>
    <row r="215" spans="1:29" ht="15.75" customHeight="1" x14ac:dyDescent="0.25">
      <c r="A215" s="244"/>
      <c r="B215" s="244"/>
      <c r="C215" s="244"/>
      <c r="D215" s="244"/>
      <c r="E215" s="244"/>
      <c r="F215" s="303"/>
      <c r="G215" s="244"/>
      <c r="H215" s="303"/>
      <c r="I215" s="244"/>
      <c r="J215" s="244"/>
      <c r="K215" s="244"/>
      <c r="L215" s="303"/>
      <c r="M215" s="244"/>
      <c r="N215" s="303"/>
      <c r="O215" s="244"/>
      <c r="P215" s="244"/>
      <c r="Q215" s="244"/>
      <c r="R215" s="244"/>
      <c r="S215" s="244"/>
      <c r="T215" s="244"/>
      <c r="U215" s="244"/>
      <c r="V215" s="244"/>
      <c r="W215" s="244"/>
      <c r="X215" s="244"/>
      <c r="Y215" s="244"/>
      <c r="Z215" s="244"/>
      <c r="AA215" s="244"/>
      <c r="AB215" s="244"/>
      <c r="AC215" s="244"/>
    </row>
    <row r="216" spans="1:29" ht="15.75" customHeight="1" x14ac:dyDescent="0.25">
      <c r="A216" s="244"/>
      <c r="B216" s="244"/>
      <c r="C216" s="244"/>
      <c r="D216" s="244"/>
      <c r="E216" s="244"/>
      <c r="F216" s="303"/>
      <c r="G216" s="244"/>
      <c r="H216" s="303"/>
      <c r="I216" s="244"/>
      <c r="J216" s="244"/>
      <c r="K216" s="244"/>
      <c r="L216" s="303"/>
      <c r="M216" s="244"/>
      <c r="N216" s="303"/>
      <c r="O216" s="244"/>
      <c r="P216" s="244"/>
      <c r="Q216" s="244"/>
      <c r="R216" s="244"/>
      <c r="S216" s="244"/>
      <c r="T216" s="244"/>
      <c r="U216" s="244"/>
      <c r="V216" s="244"/>
      <c r="W216" s="244"/>
      <c r="X216" s="244"/>
      <c r="Y216" s="244"/>
      <c r="Z216" s="244"/>
      <c r="AA216" s="244"/>
      <c r="AB216" s="244"/>
      <c r="AC216" s="244"/>
    </row>
    <row r="217" spans="1:29" ht="15.75" customHeight="1" x14ac:dyDescent="0.25">
      <c r="A217" s="244"/>
      <c r="B217" s="244"/>
      <c r="C217" s="244"/>
      <c r="D217" s="244"/>
      <c r="E217" s="244"/>
      <c r="F217" s="303"/>
      <c r="G217" s="244"/>
      <c r="H217" s="303"/>
      <c r="I217" s="244"/>
      <c r="J217" s="244"/>
      <c r="K217" s="244"/>
      <c r="L217" s="303"/>
      <c r="M217" s="244"/>
      <c r="N217" s="303"/>
      <c r="O217" s="244"/>
      <c r="P217" s="244"/>
      <c r="Q217" s="244"/>
      <c r="R217" s="244"/>
      <c r="S217" s="244"/>
      <c r="T217" s="244"/>
      <c r="U217" s="244"/>
      <c r="V217" s="244"/>
      <c r="W217" s="244"/>
      <c r="X217" s="244"/>
      <c r="Y217" s="244"/>
      <c r="Z217" s="244"/>
      <c r="AA217" s="244"/>
      <c r="AB217" s="244"/>
      <c r="AC217" s="244"/>
    </row>
    <row r="218" spans="1:29" ht="15.75" customHeight="1" x14ac:dyDescent="0.25">
      <c r="A218" s="244"/>
      <c r="B218" s="244"/>
      <c r="C218" s="244"/>
      <c r="D218" s="244"/>
      <c r="E218" s="244"/>
      <c r="F218" s="303"/>
      <c r="G218" s="244"/>
      <c r="H218" s="303"/>
      <c r="I218" s="244"/>
      <c r="J218" s="244"/>
      <c r="K218" s="244"/>
      <c r="L218" s="303"/>
      <c r="M218" s="244"/>
      <c r="N218" s="303"/>
      <c r="O218" s="244"/>
      <c r="P218" s="244"/>
      <c r="Q218" s="244"/>
      <c r="R218" s="244"/>
      <c r="S218" s="244"/>
      <c r="T218" s="244"/>
      <c r="U218" s="244"/>
      <c r="V218" s="244"/>
      <c r="W218" s="244"/>
      <c r="X218" s="244"/>
      <c r="Y218" s="244"/>
      <c r="Z218" s="244"/>
      <c r="AA218" s="244"/>
      <c r="AB218" s="244"/>
      <c r="AC218" s="244"/>
    </row>
    <row r="219" spans="1:29" ht="15.75" customHeight="1" x14ac:dyDescent="0.25">
      <c r="A219" s="244"/>
      <c r="B219" s="244"/>
      <c r="C219" s="244"/>
      <c r="D219" s="244"/>
      <c r="E219" s="244"/>
      <c r="F219" s="303"/>
      <c r="G219" s="244"/>
      <c r="H219" s="303"/>
      <c r="I219" s="244"/>
      <c r="J219" s="244"/>
      <c r="K219" s="244"/>
      <c r="L219" s="303"/>
      <c r="M219" s="244"/>
      <c r="N219" s="303"/>
      <c r="O219" s="244"/>
      <c r="P219" s="244"/>
      <c r="Q219" s="244"/>
      <c r="R219" s="244"/>
      <c r="S219" s="244"/>
      <c r="T219" s="244"/>
      <c r="U219" s="244"/>
      <c r="V219" s="244"/>
      <c r="W219" s="244"/>
      <c r="X219" s="244"/>
      <c r="Y219" s="244"/>
      <c r="Z219" s="244"/>
      <c r="AA219" s="244"/>
      <c r="AB219" s="244"/>
      <c r="AC219" s="244"/>
    </row>
    <row r="220" spans="1:29" ht="15.75" customHeight="1" x14ac:dyDescent="0.25">
      <c r="A220" s="244"/>
      <c r="B220" s="244"/>
      <c r="C220" s="244"/>
      <c r="D220" s="244"/>
      <c r="E220" s="244"/>
      <c r="F220" s="303"/>
      <c r="G220" s="244"/>
      <c r="H220" s="303"/>
      <c r="I220" s="244"/>
      <c r="J220" s="244"/>
      <c r="K220" s="244"/>
      <c r="L220" s="303"/>
      <c r="M220" s="244"/>
      <c r="N220" s="303"/>
      <c r="O220" s="244"/>
      <c r="P220" s="244"/>
      <c r="Q220" s="244"/>
      <c r="R220" s="244"/>
      <c r="S220" s="244"/>
      <c r="T220" s="244"/>
      <c r="U220" s="244"/>
      <c r="V220" s="244"/>
      <c r="W220" s="244"/>
      <c r="X220" s="244"/>
      <c r="Y220" s="244"/>
      <c r="Z220" s="244"/>
      <c r="AA220" s="244"/>
      <c r="AB220" s="244"/>
      <c r="AC220" s="244"/>
    </row>
    <row r="221" spans="1:29" ht="15.75" customHeight="1" x14ac:dyDescent="0.25">
      <c r="A221" s="244"/>
      <c r="B221" s="244"/>
      <c r="C221" s="244"/>
      <c r="D221" s="244"/>
      <c r="E221" s="244"/>
      <c r="F221" s="303"/>
      <c r="G221" s="244"/>
      <c r="H221" s="303"/>
      <c r="I221" s="244"/>
      <c r="J221" s="244"/>
      <c r="K221" s="244"/>
      <c r="L221" s="303"/>
      <c r="M221" s="244"/>
      <c r="N221" s="303"/>
      <c r="O221" s="244"/>
      <c r="P221" s="244"/>
      <c r="Q221" s="244"/>
      <c r="R221" s="244"/>
      <c r="S221" s="244"/>
      <c r="T221" s="244"/>
      <c r="U221" s="244"/>
      <c r="V221" s="244"/>
      <c r="W221" s="244"/>
      <c r="X221" s="244"/>
      <c r="Y221" s="244"/>
      <c r="Z221" s="244"/>
      <c r="AA221" s="244"/>
      <c r="AB221" s="244"/>
      <c r="AC221" s="244"/>
    </row>
    <row r="222" spans="1:29" ht="15.75" customHeight="1" x14ac:dyDescent="0.25">
      <c r="A222" s="244"/>
      <c r="B222" s="244"/>
      <c r="C222" s="244"/>
      <c r="D222" s="244"/>
      <c r="E222" s="244"/>
      <c r="F222" s="303"/>
      <c r="G222" s="244"/>
      <c r="H222" s="303"/>
      <c r="I222" s="244"/>
      <c r="J222" s="244"/>
      <c r="K222" s="244"/>
      <c r="L222" s="303"/>
      <c r="M222" s="244"/>
      <c r="N222" s="303"/>
      <c r="O222" s="244"/>
      <c r="P222" s="244"/>
      <c r="Q222" s="244"/>
      <c r="R222" s="244"/>
      <c r="S222" s="244"/>
      <c r="T222" s="244"/>
      <c r="U222" s="244"/>
      <c r="V222" s="244"/>
      <c r="W222" s="244"/>
      <c r="X222" s="244"/>
      <c r="Y222" s="244"/>
      <c r="Z222" s="244"/>
      <c r="AA222" s="244"/>
      <c r="AB222" s="244"/>
      <c r="AC222" s="244"/>
    </row>
    <row r="223" spans="1:29" ht="15.75" customHeight="1" x14ac:dyDescent="0.25">
      <c r="A223" s="244"/>
      <c r="B223" s="244"/>
      <c r="C223" s="244"/>
      <c r="D223" s="244"/>
      <c r="E223" s="244"/>
      <c r="F223" s="303"/>
      <c r="G223" s="244"/>
      <c r="H223" s="303"/>
      <c r="I223" s="244"/>
      <c r="J223" s="244"/>
      <c r="K223" s="244"/>
      <c r="L223" s="303"/>
      <c r="M223" s="244"/>
      <c r="N223" s="303"/>
      <c r="O223" s="244"/>
      <c r="P223" s="244"/>
      <c r="Q223" s="244"/>
      <c r="R223" s="244"/>
      <c r="S223" s="244"/>
      <c r="T223" s="244"/>
      <c r="U223" s="244"/>
      <c r="V223" s="244"/>
      <c r="W223" s="244"/>
      <c r="X223" s="244"/>
      <c r="Y223" s="244"/>
      <c r="Z223" s="244"/>
      <c r="AA223" s="244"/>
      <c r="AB223" s="244"/>
      <c r="AC223" s="244"/>
    </row>
    <row r="224" spans="1:29" ht="15.75" customHeight="1" x14ac:dyDescent="0.25">
      <c r="A224" s="244"/>
      <c r="B224" s="244"/>
      <c r="C224" s="244"/>
      <c r="D224" s="244"/>
      <c r="E224" s="244"/>
      <c r="F224" s="303"/>
      <c r="G224" s="244"/>
      <c r="H224" s="303"/>
      <c r="I224" s="244"/>
      <c r="J224" s="244"/>
      <c r="K224" s="244"/>
      <c r="L224" s="303"/>
      <c r="M224" s="244"/>
      <c r="N224" s="303"/>
      <c r="O224" s="244"/>
      <c r="P224" s="244"/>
      <c r="Q224" s="244"/>
      <c r="R224" s="244"/>
      <c r="S224" s="244"/>
      <c r="T224" s="244"/>
      <c r="U224" s="244"/>
      <c r="V224" s="244"/>
      <c r="W224" s="244"/>
      <c r="X224" s="244"/>
      <c r="Y224" s="244"/>
      <c r="Z224" s="244"/>
      <c r="AA224" s="244"/>
      <c r="AB224" s="244"/>
      <c r="AC224" s="244"/>
    </row>
    <row r="225" spans="1:29" ht="15.75" customHeight="1" x14ac:dyDescent="0.25">
      <c r="A225" s="244"/>
      <c r="B225" s="244"/>
      <c r="C225" s="244"/>
      <c r="D225" s="244"/>
      <c r="E225" s="244"/>
      <c r="F225" s="303"/>
      <c r="G225" s="244"/>
      <c r="H225" s="303"/>
      <c r="I225" s="244"/>
      <c r="J225" s="244"/>
      <c r="K225" s="244"/>
      <c r="L225" s="303"/>
      <c r="M225" s="244"/>
      <c r="N225" s="303"/>
      <c r="O225" s="244"/>
      <c r="P225" s="244"/>
      <c r="Q225" s="244"/>
      <c r="R225" s="244"/>
      <c r="S225" s="244"/>
      <c r="T225" s="244"/>
      <c r="U225" s="244"/>
      <c r="V225" s="244"/>
      <c r="W225" s="244"/>
      <c r="X225" s="244"/>
      <c r="Y225" s="244"/>
      <c r="Z225" s="244"/>
      <c r="AA225" s="244"/>
      <c r="AB225" s="244"/>
      <c r="AC225" s="244"/>
    </row>
    <row r="226" spans="1:29" ht="15.75" customHeight="1" x14ac:dyDescent="0.25">
      <c r="A226" s="244"/>
      <c r="B226" s="244"/>
      <c r="C226" s="244"/>
      <c r="D226" s="244"/>
      <c r="E226" s="244"/>
      <c r="F226" s="303"/>
      <c r="G226" s="244"/>
      <c r="H226" s="303"/>
      <c r="I226" s="244"/>
      <c r="J226" s="244"/>
      <c r="K226" s="244"/>
      <c r="L226" s="303"/>
      <c r="M226" s="244"/>
      <c r="N226" s="303"/>
      <c r="O226" s="244"/>
      <c r="P226" s="244"/>
      <c r="Q226" s="244"/>
      <c r="R226" s="244"/>
      <c r="S226" s="244"/>
      <c r="T226" s="244"/>
      <c r="U226" s="244"/>
      <c r="V226" s="244"/>
      <c r="W226" s="244"/>
      <c r="X226" s="244"/>
      <c r="Y226" s="244"/>
      <c r="Z226" s="244"/>
      <c r="AA226" s="244"/>
      <c r="AB226" s="244"/>
      <c r="AC226" s="244"/>
    </row>
    <row r="227" spans="1:29" ht="15.75" customHeight="1" x14ac:dyDescent="0.25">
      <c r="A227" s="244"/>
      <c r="B227" s="244"/>
      <c r="C227" s="244"/>
      <c r="D227" s="244"/>
      <c r="E227" s="244"/>
      <c r="F227" s="303"/>
      <c r="G227" s="244"/>
      <c r="H227" s="303"/>
      <c r="I227" s="244"/>
      <c r="J227" s="244"/>
      <c r="K227" s="244"/>
      <c r="L227" s="303"/>
      <c r="M227" s="244"/>
      <c r="N227" s="303"/>
      <c r="O227" s="244"/>
      <c r="P227" s="244"/>
      <c r="Q227" s="244"/>
      <c r="R227" s="244"/>
      <c r="S227" s="244"/>
      <c r="T227" s="244"/>
      <c r="U227" s="244"/>
      <c r="V227" s="244"/>
      <c r="W227" s="244"/>
      <c r="X227" s="244"/>
      <c r="Y227" s="244"/>
      <c r="Z227" s="244"/>
      <c r="AA227" s="244"/>
      <c r="AB227" s="244"/>
      <c r="AC227" s="244"/>
    </row>
    <row r="228" spans="1:29" ht="15.75" customHeight="1" x14ac:dyDescent="0.25">
      <c r="A228" s="244"/>
      <c r="B228" s="244"/>
      <c r="C228" s="244"/>
      <c r="D228" s="244"/>
      <c r="E228" s="244"/>
      <c r="F228" s="303"/>
      <c r="G228" s="244"/>
      <c r="H228" s="303"/>
      <c r="I228" s="244"/>
      <c r="J228" s="244"/>
      <c r="K228" s="244"/>
      <c r="L228" s="303"/>
      <c r="M228" s="244"/>
      <c r="N228" s="303"/>
      <c r="O228" s="244"/>
      <c r="P228" s="244"/>
      <c r="Q228" s="244"/>
      <c r="R228" s="244"/>
      <c r="S228" s="244"/>
      <c r="T228" s="244"/>
      <c r="U228" s="244"/>
      <c r="V228" s="244"/>
      <c r="W228" s="244"/>
      <c r="X228" s="244"/>
      <c r="Y228" s="244"/>
      <c r="Z228" s="244"/>
      <c r="AA228" s="244"/>
      <c r="AB228" s="244"/>
      <c r="AC228" s="244"/>
    </row>
    <row r="229" spans="1:29" ht="15.75" customHeight="1" x14ac:dyDescent="0.25">
      <c r="A229" s="244"/>
      <c r="B229" s="244"/>
      <c r="C229" s="244"/>
      <c r="D229" s="244"/>
      <c r="E229" s="244"/>
      <c r="F229" s="303"/>
      <c r="G229" s="244"/>
      <c r="H229" s="303"/>
      <c r="I229" s="244"/>
      <c r="J229" s="244"/>
      <c r="K229" s="244"/>
      <c r="L229" s="303"/>
      <c r="M229" s="244"/>
      <c r="N229" s="303"/>
      <c r="O229" s="244"/>
      <c r="P229" s="244"/>
      <c r="Q229" s="244"/>
      <c r="R229" s="244"/>
      <c r="S229" s="244"/>
      <c r="T229" s="244"/>
      <c r="U229" s="244"/>
      <c r="V229" s="244"/>
      <c r="W229" s="244"/>
      <c r="X229" s="244"/>
      <c r="Y229" s="244"/>
      <c r="Z229" s="244"/>
      <c r="AA229" s="244"/>
      <c r="AB229" s="244"/>
      <c r="AC229" s="244"/>
    </row>
    <row r="230" spans="1:29" ht="15.75" customHeight="1" x14ac:dyDescent="0.25">
      <c r="A230" s="244"/>
      <c r="B230" s="244"/>
      <c r="C230" s="244"/>
      <c r="D230" s="244"/>
      <c r="E230" s="244"/>
      <c r="F230" s="303"/>
      <c r="G230" s="244"/>
      <c r="H230" s="303"/>
      <c r="I230" s="244"/>
      <c r="J230" s="244"/>
      <c r="K230" s="244"/>
      <c r="L230" s="303"/>
      <c r="M230" s="244"/>
      <c r="N230" s="303"/>
      <c r="O230" s="244"/>
      <c r="P230" s="244"/>
      <c r="Q230" s="244"/>
      <c r="R230" s="244"/>
      <c r="S230" s="244"/>
      <c r="T230" s="244"/>
      <c r="U230" s="244"/>
      <c r="V230" s="244"/>
      <c r="W230" s="244"/>
      <c r="X230" s="244"/>
      <c r="Y230" s="244"/>
      <c r="Z230" s="244"/>
      <c r="AA230" s="244"/>
      <c r="AB230" s="244"/>
      <c r="AC230" s="244"/>
    </row>
    <row r="231" spans="1:29" ht="15.75" customHeight="1" x14ac:dyDescent="0.25">
      <c r="A231" s="244"/>
      <c r="B231" s="244"/>
      <c r="C231" s="244"/>
      <c r="D231" s="244"/>
      <c r="E231" s="244"/>
      <c r="F231" s="303"/>
      <c r="G231" s="244"/>
      <c r="H231" s="303"/>
      <c r="I231" s="244"/>
      <c r="J231" s="244"/>
      <c r="K231" s="244"/>
      <c r="L231" s="303"/>
      <c r="M231" s="244"/>
      <c r="N231" s="303"/>
      <c r="O231" s="244"/>
      <c r="P231" s="244"/>
      <c r="Q231" s="244"/>
      <c r="R231" s="244"/>
      <c r="S231" s="244"/>
      <c r="T231" s="244"/>
      <c r="U231" s="244"/>
      <c r="V231" s="244"/>
      <c r="W231" s="244"/>
      <c r="X231" s="244"/>
      <c r="Y231" s="244"/>
      <c r="Z231" s="244"/>
      <c r="AA231" s="244"/>
      <c r="AB231" s="244"/>
      <c r="AC231" s="244"/>
    </row>
    <row r="232" spans="1:29" ht="15.75" customHeight="1" x14ac:dyDescent="0.25">
      <c r="A232" s="244"/>
      <c r="B232" s="244"/>
      <c r="C232" s="244"/>
      <c r="D232" s="244"/>
      <c r="E232" s="244"/>
      <c r="F232" s="303"/>
      <c r="G232" s="244"/>
      <c r="H232" s="303"/>
      <c r="I232" s="244"/>
      <c r="J232" s="244"/>
      <c r="K232" s="244"/>
      <c r="L232" s="303"/>
      <c r="M232" s="244"/>
      <c r="N232" s="303"/>
      <c r="O232" s="244"/>
      <c r="P232" s="244"/>
      <c r="Q232" s="244"/>
      <c r="R232" s="244"/>
      <c r="S232" s="244"/>
      <c r="T232" s="244"/>
      <c r="U232" s="244"/>
      <c r="V232" s="244"/>
      <c r="W232" s="244"/>
      <c r="X232" s="244"/>
      <c r="Y232" s="244"/>
      <c r="Z232" s="244"/>
      <c r="AA232" s="244"/>
      <c r="AB232" s="244"/>
      <c r="AC232" s="244"/>
    </row>
    <row r="233" spans="1:29" ht="15.75" customHeight="1" x14ac:dyDescent="0.25">
      <c r="A233" s="244"/>
      <c r="B233" s="244"/>
      <c r="C233" s="244"/>
      <c r="D233" s="244"/>
      <c r="E233" s="244"/>
      <c r="F233" s="303"/>
      <c r="G233" s="244"/>
      <c r="H233" s="303"/>
      <c r="I233" s="244"/>
      <c r="J233" s="244"/>
      <c r="K233" s="244"/>
      <c r="L233" s="303"/>
      <c r="M233" s="244"/>
      <c r="N233" s="303"/>
      <c r="O233" s="244"/>
      <c r="P233" s="244"/>
      <c r="Q233" s="244"/>
      <c r="R233" s="244"/>
      <c r="S233" s="244"/>
      <c r="T233" s="244"/>
      <c r="U233" s="244"/>
      <c r="V233" s="244"/>
      <c r="W233" s="244"/>
      <c r="X233" s="244"/>
      <c r="Y233" s="244"/>
      <c r="Z233" s="244"/>
      <c r="AA233" s="244"/>
      <c r="AB233" s="244"/>
      <c r="AC233" s="244"/>
    </row>
    <row r="234" spans="1:29" ht="15.75" customHeight="1" x14ac:dyDescent="0.25">
      <c r="A234" s="244"/>
      <c r="B234" s="244"/>
      <c r="C234" s="244"/>
      <c r="D234" s="244"/>
      <c r="E234" s="244"/>
      <c r="F234" s="303"/>
      <c r="G234" s="244"/>
      <c r="H234" s="303"/>
      <c r="I234" s="244"/>
      <c r="J234" s="244"/>
      <c r="K234" s="244"/>
      <c r="L234" s="303"/>
      <c r="M234" s="244"/>
      <c r="N234" s="303"/>
      <c r="O234" s="244"/>
      <c r="P234" s="244"/>
      <c r="Q234" s="244"/>
      <c r="R234" s="244"/>
      <c r="S234" s="244"/>
      <c r="T234" s="244"/>
      <c r="U234" s="244"/>
      <c r="V234" s="244"/>
      <c r="W234" s="244"/>
      <c r="X234" s="244"/>
      <c r="Y234" s="244"/>
      <c r="Z234" s="244"/>
      <c r="AA234" s="244"/>
      <c r="AB234" s="244"/>
      <c r="AC234" s="244"/>
    </row>
    <row r="235" spans="1:29" ht="15.75" customHeight="1" x14ac:dyDescent="0.25">
      <c r="A235" s="244"/>
      <c r="B235" s="244"/>
      <c r="C235" s="244"/>
      <c r="D235" s="244"/>
      <c r="E235" s="244"/>
      <c r="F235" s="303"/>
      <c r="G235" s="244"/>
      <c r="H235" s="303"/>
      <c r="I235" s="244"/>
      <c r="J235" s="244"/>
      <c r="K235" s="244"/>
      <c r="L235" s="303"/>
      <c r="M235" s="244"/>
      <c r="N235" s="303"/>
      <c r="O235" s="244"/>
      <c r="P235" s="244"/>
      <c r="Q235" s="244"/>
      <c r="R235" s="244"/>
      <c r="S235" s="244"/>
      <c r="T235" s="244"/>
      <c r="U235" s="244"/>
      <c r="V235" s="244"/>
      <c r="W235" s="244"/>
      <c r="X235" s="244"/>
      <c r="Y235" s="244"/>
      <c r="Z235" s="244"/>
      <c r="AA235" s="244"/>
      <c r="AB235" s="244"/>
      <c r="AC235" s="244"/>
    </row>
    <row r="236" spans="1:29" ht="15.75" customHeight="1" x14ac:dyDescent="0.25">
      <c r="A236" s="244"/>
      <c r="B236" s="244"/>
      <c r="C236" s="244"/>
      <c r="D236" s="244"/>
      <c r="E236" s="244"/>
      <c r="F236" s="303"/>
      <c r="G236" s="244"/>
      <c r="H236" s="303"/>
      <c r="I236" s="244"/>
      <c r="J236" s="244"/>
      <c r="K236" s="244"/>
      <c r="L236" s="303"/>
      <c r="M236" s="244"/>
      <c r="N236" s="303"/>
      <c r="O236" s="244"/>
      <c r="P236" s="244"/>
      <c r="Q236" s="244"/>
      <c r="R236" s="244"/>
      <c r="S236" s="244"/>
      <c r="T236" s="244"/>
      <c r="U236" s="244"/>
      <c r="V236" s="244"/>
      <c r="W236" s="244"/>
      <c r="X236" s="244"/>
      <c r="Y236" s="244"/>
      <c r="Z236" s="244"/>
      <c r="AA236" s="244"/>
      <c r="AB236" s="244"/>
      <c r="AC236" s="244"/>
    </row>
    <row r="237" spans="1:29" ht="15.75" customHeight="1" x14ac:dyDescent="0.25">
      <c r="A237" s="244"/>
      <c r="B237" s="244"/>
      <c r="C237" s="244"/>
      <c r="D237" s="244"/>
      <c r="E237" s="244"/>
      <c r="F237" s="303"/>
      <c r="G237" s="244"/>
      <c r="H237" s="303"/>
      <c r="I237" s="244"/>
      <c r="J237" s="244"/>
      <c r="K237" s="244"/>
      <c r="L237" s="303"/>
      <c r="M237" s="244"/>
      <c r="N237" s="303"/>
      <c r="O237" s="244"/>
      <c r="P237" s="244"/>
      <c r="Q237" s="244"/>
      <c r="R237" s="244"/>
      <c r="S237" s="244"/>
      <c r="T237" s="244"/>
      <c r="U237" s="244"/>
      <c r="V237" s="244"/>
      <c r="W237" s="244"/>
      <c r="X237" s="244"/>
      <c r="Y237" s="244"/>
      <c r="Z237" s="244"/>
      <c r="AA237" s="244"/>
      <c r="AB237" s="244"/>
      <c r="AC237" s="244"/>
    </row>
    <row r="238" spans="1:29" ht="15.75" customHeight="1" x14ac:dyDescent="0.25">
      <c r="A238" s="244"/>
      <c r="B238" s="244"/>
      <c r="C238" s="244"/>
      <c r="D238" s="244"/>
      <c r="E238" s="244"/>
      <c r="F238" s="303"/>
      <c r="G238" s="244"/>
      <c r="H238" s="303"/>
      <c r="I238" s="244"/>
      <c r="J238" s="244"/>
      <c r="K238" s="244"/>
      <c r="L238" s="303"/>
      <c r="M238" s="244"/>
      <c r="N238" s="303"/>
      <c r="O238" s="244"/>
      <c r="P238" s="244"/>
      <c r="Q238" s="244"/>
      <c r="R238" s="244"/>
      <c r="S238" s="244"/>
      <c r="T238" s="244"/>
      <c r="U238" s="244"/>
      <c r="V238" s="244"/>
      <c r="W238" s="244"/>
      <c r="X238" s="244"/>
      <c r="Y238" s="244"/>
      <c r="Z238" s="244"/>
      <c r="AA238" s="244"/>
      <c r="AB238" s="244"/>
      <c r="AC238" s="244"/>
    </row>
    <row r="239" spans="1:29" ht="15.75" customHeight="1" x14ac:dyDescent="0.25">
      <c r="A239" s="244"/>
      <c r="B239" s="244"/>
      <c r="C239" s="244"/>
      <c r="D239" s="244"/>
      <c r="E239" s="244"/>
      <c r="F239" s="303"/>
      <c r="G239" s="244"/>
      <c r="H239" s="303"/>
      <c r="I239" s="244"/>
      <c r="J239" s="244"/>
      <c r="K239" s="244"/>
      <c r="L239" s="303"/>
      <c r="M239" s="244"/>
      <c r="N239" s="303"/>
      <c r="O239" s="244"/>
      <c r="P239" s="244"/>
      <c r="Q239" s="244"/>
      <c r="R239" s="244"/>
      <c r="S239" s="244"/>
      <c r="T239" s="244"/>
      <c r="U239" s="244"/>
      <c r="V239" s="244"/>
      <c r="W239" s="244"/>
      <c r="X239" s="244"/>
      <c r="Y239" s="244"/>
      <c r="Z239" s="244"/>
      <c r="AA239" s="244"/>
      <c r="AB239" s="244"/>
      <c r="AC239" s="244"/>
    </row>
    <row r="240" spans="1:29" ht="15.75" customHeight="1" x14ac:dyDescent="0.25">
      <c r="A240" s="244"/>
      <c r="B240" s="244"/>
      <c r="C240" s="244"/>
      <c r="D240" s="244"/>
      <c r="E240" s="244"/>
      <c r="F240" s="303"/>
      <c r="G240" s="244"/>
      <c r="H240" s="303"/>
      <c r="I240" s="244"/>
      <c r="J240" s="244"/>
      <c r="K240" s="244"/>
      <c r="L240" s="303"/>
      <c r="M240" s="244"/>
      <c r="N240" s="303"/>
      <c r="O240" s="244"/>
      <c r="P240" s="244"/>
      <c r="Q240" s="244"/>
      <c r="R240" s="244"/>
      <c r="S240" s="244"/>
      <c r="T240" s="244"/>
      <c r="U240" s="244"/>
      <c r="V240" s="244"/>
      <c r="W240" s="244"/>
      <c r="X240" s="244"/>
      <c r="Y240" s="244"/>
      <c r="Z240" s="244"/>
      <c r="AA240" s="244"/>
      <c r="AB240" s="244"/>
      <c r="AC240" s="244"/>
    </row>
    <row r="241" spans="1:29" ht="15.75" customHeight="1" x14ac:dyDescent="0.25">
      <c r="A241" s="244"/>
      <c r="B241" s="244"/>
      <c r="C241" s="244"/>
      <c r="D241" s="244"/>
      <c r="E241" s="244"/>
      <c r="F241" s="303"/>
      <c r="G241" s="244"/>
      <c r="H241" s="303"/>
      <c r="I241" s="244"/>
      <c r="J241" s="244"/>
      <c r="K241" s="244"/>
      <c r="L241" s="303"/>
      <c r="M241" s="244"/>
      <c r="N241" s="303"/>
      <c r="O241" s="244"/>
      <c r="P241" s="244"/>
      <c r="Q241" s="244"/>
      <c r="R241" s="244"/>
      <c r="S241" s="244"/>
      <c r="T241" s="244"/>
      <c r="U241" s="244"/>
      <c r="V241" s="244"/>
      <c r="W241" s="244"/>
      <c r="X241" s="244"/>
      <c r="Y241" s="244"/>
      <c r="Z241" s="244"/>
      <c r="AA241" s="244"/>
      <c r="AB241" s="244"/>
      <c r="AC241" s="244"/>
    </row>
    <row r="242" spans="1:29" ht="15.75" customHeight="1" x14ac:dyDescent="0.25">
      <c r="A242" s="244"/>
      <c r="B242" s="244"/>
      <c r="C242" s="244"/>
      <c r="D242" s="244"/>
      <c r="E242" s="244"/>
      <c r="F242" s="303"/>
      <c r="G242" s="244"/>
      <c r="H242" s="303"/>
      <c r="I242" s="244"/>
      <c r="J242" s="244"/>
      <c r="K242" s="244"/>
      <c r="L242" s="303"/>
      <c r="M242" s="244"/>
      <c r="N242" s="303"/>
      <c r="O242" s="244"/>
      <c r="P242" s="244"/>
      <c r="Q242" s="244"/>
      <c r="R242" s="244"/>
      <c r="S242" s="244"/>
      <c r="T242" s="244"/>
      <c r="U242" s="244"/>
      <c r="V242" s="244"/>
      <c r="W242" s="244"/>
      <c r="X242" s="244"/>
      <c r="Y242" s="244"/>
      <c r="Z242" s="244"/>
      <c r="AA242" s="244"/>
      <c r="AB242" s="244"/>
      <c r="AC242" s="244"/>
    </row>
    <row r="243" spans="1:29" ht="15.75" customHeight="1" x14ac:dyDescent="0.25">
      <c r="A243" s="244"/>
      <c r="B243" s="244"/>
      <c r="C243" s="244"/>
      <c r="D243" s="244"/>
      <c r="E243" s="244"/>
      <c r="F243" s="303"/>
      <c r="G243" s="244"/>
      <c r="H243" s="303"/>
      <c r="I243" s="244"/>
      <c r="J243" s="244"/>
      <c r="K243" s="244"/>
      <c r="L243" s="303"/>
      <c r="M243" s="244"/>
      <c r="N243" s="303"/>
      <c r="O243" s="244"/>
      <c r="P243" s="244"/>
      <c r="Q243" s="244"/>
      <c r="R243" s="244"/>
      <c r="S243" s="244"/>
      <c r="T243" s="244"/>
      <c r="U243" s="244"/>
      <c r="V243" s="244"/>
      <c r="W243" s="244"/>
      <c r="X243" s="244"/>
      <c r="Y243" s="244"/>
      <c r="Z243" s="244"/>
      <c r="AA243" s="244"/>
      <c r="AB243" s="244"/>
      <c r="AC243" s="244"/>
    </row>
    <row r="244" spans="1:29" ht="15.75" customHeight="1" x14ac:dyDescent="0.25">
      <c r="A244" s="244"/>
      <c r="B244" s="244"/>
      <c r="C244" s="244"/>
      <c r="D244" s="244"/>
      <c r="E244" s="244"/>
      <c r="F244" s="303"/>
      <c r="G244" s="244"/>
      <c r="H244" s="303"/>
      <c r="I244" s="244"/>
      <c r="J244" s="244"/>
      <c r="K244" s="244"/>
      <c r="L244" s="303"/>
      <c r="M244" s="244"/>
      <c r="N244" s="303"/>
      <c r="O244" s="244"/>
      <c r="P244" s="244"/>
      <c r="Q244" s="244"/>
      <c r="R244" s="244"/>
      <c r="S244" s="244"/>
      <c r="T244" s="244"/>
      <c r="U244" s="244"/>
      <c r="V244" s="244"/>
      <c r="W244" s="244"/>
      <c r="X244" s="244"/>
      <c r="Y244" s="244"/>
      <c r="Z244" s="244"/>
      <c r="AA244" s="244"/>
      <c r="AB244" s="244"/>
      <c r="AC244" s="244"/>
    </row>
    <row r="245" spans="1:29" ht="15.75" customHeight="1" x14ac:dyDescent="0.25">
      <c r="A245" s="244"/>
      <c r="B245" s="244"/>
      <c r="C245" s="244"/>
      <c r="D245" s="244"/>
      <c r="E245" s="244"/>
      <c r="F245" s="303"/>
      <c r="G245" s="244"/>
      <c r="H245" s="303"/>
      <c r="I245" s="244"/>
      <c r="J245" s="244"/>
      <c r="K245" s="244"/>
      <c r="L245" s="303"/>
      <c r="M245" s="244"/>
      <c r="N245" s="303"/>
      <c r="O245" s="244"/>
      <c r="P245" s="244"/>
      <c r="Q245" s="244"/>
      <c r="R245" s="244"/>
      <c r="S245" s="244"/>
      <c r="T245" s="244"/>
      <c r="U245" s="244"/>
      <c r="V245" s="244"/>
      <c r="W245" s="244"/>
      <c r="X245" s="244"/>
      <c r="Y245" s="244"/>
      <c r="Z245" s="244"/>
      <c r="AA245" s="244"/>
      <c r="AB245" s="244"/>
      <c r="AC245" s="244"/>
    </row>
    <row r="246" spans="1:29" ht="15.75" customHeight="1" x14ac:dyDescent="0.25">
      <c r="A246" s="244"/>
      <c r="B246" s="244"/>
      <c r="C246" s="244"/>
      <c r="D246" s="244"/>
      <c r="E246" s="244"/>
      <c r="F246" s="303"/>
      <c r="G246" s="244"/>
      <c r="H246" s="303"/>
      <c r="I246" s="244"/>
      <c r="J246" s="244"/>
      <c r="K246" s="244"/>
      <c r="L246" s="303"/>
      <c r="M246" s="244"/>
      <c r="N246" s="303"/>
      <c r="O246" s="244"/>
      <c r="P246" s="244"/>
      <c r="Q246" s="244"/>
      <c r="R246" s="244"/>
      <c r="S246" s="244"/>
      <c r="T246" s="244"/>
      <c r="U246" s="244"/>
      <c r="V246" s="244"/>
      <c r="W246" s="244"/>
      <c r="X246" s="244"/>
      <c r="Y246" s="244"/>
      <c r="Z246" s="244"/>
      <c r="AA246" s="244"/>
      <c r="AB246" s="244"/>
      <c r="AC246" s="244"/>
    </row>
    <row r="247" spans="1:29" ht="15.75" customHeight="1" x14ac:dyDescent="0.25">
      <c r="A247" s="244"/>
      <c r="B247" s="244"/>
      <c r="C247" s="244"/>
      <c r="D247" s="244"/>
      <c r="E247" s="244"/>
      <c r="F247" s="303"/>
      <c r="G247" s="244"/>
      <c r="H247" s="303"/>
      <c r="I247" s="244"/>
      <c r="J247" s="244"/>
      <c r="K247" s="244"/>
      <c r="L247" s="303"/>
      <c r="M247" s="244"/>
      <c r="N247" s="303"/>
      <c r="O247" s="244"/>
      <c r="P247" s="244"/>
      <c r="Q247" s="244"/>
      <c r="R247" s="244"/>
      <c r="S247" s="244"/>
      <c r="T247" s="244"/>
      <c r="U247" s="244"/>
      <c r="V247" s="244"/>
      <c r="W247" s="244"/>
      <c r="X247" s="244"/>
      <c r="Y247" s="244"/>
      <c r="Z247" s="244"/>
      <c r="AA247" s="244"/>
      <c r="AB247" s="244"/>
      <c r="AC247" s="244"/>
    </row>
    <row r="248" spans="1:29" ht="15.75" customHeight="1" x14ac:dyDescent="0.25">
      <c r="A248" s="244"/>
      <c r="B248" s="244"/>
      <c r="C248" s="244"/>
      <c r="D248" s="244"/>
      <c r="E248" s="244"/>
      <c r="F248" s="303"/>
      <c r="G248" s="244"/>
      <c r="H248" s="303"/>
      <c r="I248" s="244"/>
      <c r="J248" s="244"/>
      <c r="K248" s="244"/>
      <c r="L248" s="303"/>
      <c r="M248" s="244"/>
      <c r="N248" s="303"/>
      <c r="O248" s="244"/>
      <c r="P248" s="244"/>
      <c r="Q248" s="244"/>
      <c r="R248" s="244"/>
      <c r="S248" s="244"/>
      <c r="T248" s="244"/>
      <c r="U248" s="244"/>
      <c r="V248" s="244"/>
      <c r="W248" s="244"/>
      <c r="X248" s="244"/>
      <c r="Y248" s="244"/>
      <c r="Z248" s="244"/>
      <c r="AA248" s="244"/>
      <c r="AB248" s="244"/>
      <c r="AC248" s="244"/>
    </row>
    <row r="249" spans="1:29" ht="15.75" customHeight="1" x14ac:dyDescent="0.25">
      <c r="A249" s="244"/>
      <c r="B249" s="244"/>
      <c r="C249" s="244"/>
      <c r="D249" s="244"/>
      <c r="E249" s="244"/>
      <c r="F249" s="303"/>
      <c r="G249" s="244"/>
      <c r="H249" s="303"/>
      <c r="I249" s="244"/>
      <c r="J249" s="244"/>
      <c r="K249" s="244"/>
      <c r="L249" s="303"/>
      <c r="M249" s="244"/>
      <c r="N249" s="303"/>
      <c r="O249" s="244"/>
      <c r="P249" s="244"/>
      <c r="Q249" s="244"/>
      <c r="R249" s="244"/>
      <c r="S249" s="244"/>
      <c r="T249" s="244"/>
      <c r="U249" s="244"/>
      <c r="V249" s="244"/>
      <c r="W249" s="244"/>
      <c r="X249" s="244"/>
      <c r="Y249" s="244"/>
      <c r="Z249" s="244"/>
      <c r="AA249" s="244"/>
      <c r="AB249" s="244"/>
      <c r="AC249" s="244"/>
    </row>
    <row r="250" spans="1:29" ht="15.75" customHeight="1" x14ac:dyDescent="0.25">
      <c r="A250" s="244"/>
      <c r="B250" s="244"/>
      <c r="C250" s="244"/>
      <c r="D250" s="244"/>
      <c r="E250" s="244"/>
      <c r="F250" s="303"/>
      <c r="G250" s="244"/>
      <c r="H250" s="303"/>
      <c r="I250" s="244"/>
      <c r="J250" s="244"/>
      <c r="K250" s="244"/>
      <c r="L250" s="303"/>
      <c r="M250" s="244"/>
      <c r="N250" s="303"/>
      <c r="O250" s="244"/>
      <c r="P250" s="244"/>
      <c r="Q250" s="244"/>
      <c r="R250" s="244"/>
      <c r="S250" s="244"/>
      <c r="T250" s="244"/>
      <c r="U250" s="244"/>
      <c r="V250" s="244"/>
      <c r="W250" s="244"/>
      <c r="X250" s="244"/>
      <c r="Y250" s="244"/>
      <c r="Z250" s="244"/>
      <c r="AA250" s="244"/>
      <c r="AB250" s="244"/>
      <c r="AC250" s="244"/>
    </row>
    <row r="251" spans="1:29" ht="15.75" customHeight="1" x14ac:dyDescent="0.25">
      <c r="A251" s="244"/>
      <c r="B251" s="244"/>
      <c r="C251" s="244"/>
      <c r="D251" s="244"/>
      <c r="E251" s="244"/>
      <c r="F251" s="303"/>
      <c r="G251" s="244"/>
      <c r="H251" s="303"/>
      <c r="I251" s="244"/>
      <c r="J251" s="244"/>
      <c r="K251" s="244"/>
      <c r="L251" s="303"/>
      <c r="M251" s="244"/>
      <c r="N251" s="303"/>
      <c r="O251" s="244"/>
      <c r="P251" s="244"/>
      <c r="Q251" s="244"/>
      <c r="R251" s="244"/>
      <c r="S251" s="244"/>
      <c r="T251" s="244"/>
      <c r="U251" s="244"/>
      <c r="V251" s="244"/>
      <c r="W251" s="244"/>
      <c r="X251" s="244"/>
      <c r="Y251" s="244"/>
      <c r="Z251" s="244"/>
      <c r="AA251" s="244"/>
      <c r="AB251" s="244"/>
      <c r="AC251" s="244"/>
    </row>
    <row r="252" spans="1:29" ht="15.75" customHeight="1" x14ac:dyDescent="0.25">
      <c r="A252" s="244"/>
      <c r="B252" s="244"/>
      <c r="C252" s="244"/>
      <c r="D252" s="244"/>
      <c r="E252" s="244"/>
      <c r="F252" s="303"/>
      <c r="G252" s="244"/>
      <c r="H252" s="303"/>
      <c r="I252" s="244"/>
      <c r="J252" s="244"/>
      <c r="K252" s="244"/>
      <c r="L252" s="303"/>
      <c r="M252" s="244"/>
      <c r="N252" s="303"/>
      <c r="O252" s="244"/>
      <c r="P252" s="244"/>
      <c r="Q252" s="244"/>
      <c r="R252" s="244"/>
      <c r="S252" s="244"/>
      <c r="T252" s="244"/>
      <c r="U252" s="244"/>
      <c r="V252" s="244"/>
      <c r="W252" s="244"/>
      <c r="X252" s="244"/>
      <c r="Y252" s="244"/>
      <c r="Z252" s="244"/>
      <c r="AA252" s="244"/>
      <c r="AB252" s="244"/>
      <c r="AC252" s="244"/>
    </row>
    <row r="253" spans="1:29" ht="15.75" customHeight="1" x14ac:dyDescent="0.25">
      <c r="A253" s="244"/>
      <c r="B253" s="244"/>
      <c r="C253" s="244"/>
      <c r="D253" s="244"/>
      <c r="E253" s="244"/>
      <c r="F253" s="303"/>
      <c r="G253" s="244"/>
      <c r="H253" s="303"/>
      <c r="I253" s="244"/>
      <c r="J253" s="244"/>
      <c r="K253" s="244"/>
      <c r="L253" s="303"/>
      <c r="M253" s="244"/>
      <c r="N253" s="303"/>
      <c r="O253" s="244"/>
      <c r="P253" s="244"/>
      <c r="Q253" s="244"/>
      <c r="R253" s="244"/>
      <c r="S253" s="244"/>
      <c r="T253" s="244"/>
      <c r="U253" s="244"/>
      <c r="V253" s="244"/>
      <c r="W253" s="244"/>
      <c r="X253" s="244"/>
      <c r="Y253" s="244"/>
      <c r="Z253" s="244"/>
      <c r="AA253" s="244"/>
      <c r="AB253" s="244"/>
      <c r="AC253" s="244"/>
    </row>
    <row r="254" spans="1:29" ht="15.75" customHeight="1" x14ac:dyDescent="0.25">
      <c r="A254" s="244"/>
      <c r="B254" s="244"/>
      <c r="C254" s="244"/>
      <c r="D254" s="244"/>
      <c r="E254" s="244"/>
      <c r="F254" s="303"/>
      <c r="G254" s="244"/>
      <c r="H254" s="303"/>
      <c r="I254" s="244"/>
      <c r="J254" s="244"/>
      <c r="K254" s="244"/>
      <c r="L254" s="303"/>
      <c r="M254" s="244"/>
      <c r="N254" s="303"/>
      <c r="O254" s="244"/>
      <c r="P254" s="244"/>
      <c r="Q254" s="244"/>
      <c r="R254" s="244"/>
      <c r="S254" s="244"/>
      <c r="T254" s="244"/>
      <c r="U254" s="244"/>
      <c r="V254" s="244"/>
      <c r="W254" s="244"/>
      <c r="X254" s="244"/>
      <c r="Y254" s="244"/>
      <c r="Z254" s="244"/>
      <c r="AA254" s="244"/>
      <c r="AB254" s="244"/>
      <c r="AC254" s="244"/>
    </row>
    <row r="255" spans="1:29" ht="15.75" customHeight="1" x14ac:dyDescent="0.25">
      <c r="A255" s="244"/>
      <c r="B255" s="244"/>
      <c r="C255" s="244"/>
      <c r="D255" s="244"/>
      <c r="E255" s="244"/>
      <c r="F255" s="303"/>
      <c r="G255" s="244"/>
      <c r="H255" s="303"/>
      <c r="I255" s="244"/>
      <c r="J255" s="244"/>
      <c r="K255" s="244"/>
      <c r="L255" s="303"/>
      <c r="M255" s="244"/>
      <c r="N255" s="303"/>
      <c r="O255" s="244"/>
      <c r="P255" s="244"/>
      <c r="Q255" s="244"/>
      <c r="R255" s="244"/>
      <c r="S255" s="244"/>
      <c r="T255" s="244"/>
      <c r="U255" s="244"/>
      <c r="V255" s="244"/>
      <c r="W255" s="244"/>
      <c r="X255" s="244"/>
      <c r="Y255" s="244"/>
      <c r="Z255" s="244"/>
      <c r="AA255" s="244"/>
      <c r="AB255" s="244"/>
      <c r="AC255" s="244"/>
    </row>
    <row r="256" spans="1:29" ht="15.75" customHeight="1" x14ac:dyDescent="0.25">
      <c r="A256" s="244"/>
      <c r="B256" s="244"/>
      <c r="C256" s="244"/>
      <c r="D256" s="244"/>
      <c r="E256" s="244"/>
      <c r="F256" s="303"/>
      <c r="G256" s="244"/>
      <c r="H256" s="303"/>
      <c r="I256" s="244"/>
      <c r="J256" s="244"/>
      <c r="K256" s="244"/>
      <c r="L256" s="303"/>
      <c r="M256" s="244"/>
      <c r="N256" s="303"/>
      <c r="O256" s="244"/>
      <c r="P256" s="244"/>
      <c r="Q256" s="244"/>
      <c r="R256" s="244"/>
      <c r="S256" s="244"/>
      <c r="T256" s="244"/>
      <c r="U256" s="244"/>
      <c r="V256" s="244"/>
      <c r="W256" s="244"/>
      <c r="X256" s="244"/>
      <c r="Y256" s="244"/>
      <c r="Z256" s="244"/>
      <c r="AA256" s="244"/>
      <c r="AB256" s="244"/>
      <c r="AC256" s="244"/>
    </row>
    <row r="257" spans="1:29" ht="15.75" customHeight="1" x14ac:dyDescent="0.25">
      <c r="A257" s="244"/>
      <c r="B257" s="244"/>
      <c r="C257" s="244"/>
      <c r="D257" s="244"/>
      <c r="E257" s="244"/>
      <c r="F257" s="303"/>
      <c r="G257" s="244"/>
      <c r="H257" s="303"/>
      <c r="I257" s="244"/>
      <c r="J257" s="244"/>
      <c r="K257" s="244"/>
      <c r="L257" s="303"/>
      <c r="M257" s="244"/>
      <c r="N257" s="303"/>
      <c r="O257" s="244"/>
      <c r="P257" s="244"/>
      <c r="Q257" s="244"/>
      <c r="R257" s="244"/>
      <c r="S257" s="244"/>
      <c r="T257" s="244"/>
      <c r="U257" s="244"/>
      <c r="V257" s="244"/>
      <c r="W257" s="244"/>
      <c r="X257" s="244"/>
      <c r="Y257" s="244"/>
      <c r="Z257" s="244"/>
      <c r="AA257" s="244"/>
      <c r="AB257" s="244"/>
      <c r="AC257" s="244"/>
    </row>
    <row r="258" spans="1:29" ht="15.75" customHeight="1" x14ac:dyDescent="0.25">
      <c r="A258" s="244"/>
      <c r="B258" s="244"/>
      <c r="C258" s="244"/>
      <c r="D258" s="244"/>
      <c r="E258" s="244"/>
      <c r="F258" s="303"/>
      <c r="G258" s="244"/>
      <c r="H258" s="303"/>
      <c r="I258" s="244"/>
      <c r="J258" s="244"/>
      <c r="K258" s="244"/>
      <c r="L258" s="303"/>
      <c r="M258" s="244"/>
      <c r="N258" s="303"/>
      <c r="O258" s="244"/>
      <c r="P258" s="244"/>
      <c r="Q258" s="244"/>
      <c r="R258" s="244"/>
      <c r="S258" s="244"/>
      <c r="T258" s="244"/>
      <c r="U258" s="244"/>
      <c r="V258" s="244"/>
      <c r="W258" s="244"/>
      <c r="X258" s="244"/>
      <c r="Y258" s="244"/>
      <c r="Z258" s="244"/>
      <c r="AA258" s="244"/>
      <c r="AB258" s="244"/>
      <c r="AC258" s="244"/>
    </row>
    <row r="259" spans="1:29" ht="15.75" customHeight="1" x14ac:dyDescent="0.25">
      <c r="A259" s="244"/>
      <c r="B259" s="244"/>
      <c r="C259" s="244"/>
      <c r="D259" s="244"/>
      <c r="E259" s="244"/>
      <c r="F259" s="303"/>
      <c r="G259" s="244"/>
      <c r="H259" s="303"/>
      <c r="I259" s="244"/>
      <c r="J259" s="244"/>
      <c r="K259" s="244"/>
      <c r="L259" s="303"/>
      <c r="M259" s="244"/>
      <c r="N259" s="303"/>
      <c r="O259" s="244"/>
      <c r="P259" s="244"/>
      <c r="Q259" s="244"/>
      <c r="R259" s="244"/>
      <c r="S259" s="244"/>
      <c r="T259" s="244"/>
      <c r="U259" s="244"/>
      <c r="V259" s="244"/>
      <c r="W259" s="244"/>
      <c r="X259" s="244"/>
      <c r="Y259" s="244"/>
      <c r="Z259" s="244"/>
      <c r="AA259" s="244"/>
      <c r="AB259" s="244"/>
      <c r="AC259" s="244"/>
    </row>
    <row r="260" spans="1:29" ht="15.75" customHeight="1" x14ac:dyDescent="0.25">
      <c r="A260" s="244"/>
      <c r="B260" s="244"/>
      <c r="C260" s="244"/>
      <c r="D260" s="244"/>
      <c r="E260" s="244"/>
      <c r="F260" s="303"/>
      <c r="G260" s="244"/>
      <c r="H260" s="303"/>
      <c r="I260" s="244"/>
      <c r="J260" s="244"/>
      <c r="K260" s="244"/>
      <c r="L260" s="303"/>
      <c r="M260" s="244"/>
      <c r="N260" s="303"/>
      <c r="O260" s="244"/>
      <c r="P260" s="244"/>
      <c r="Q260" s="244"/>
      <c r="R260" s="244"/>
      <c r="S260" s="244"/>
      <c r="T260" s="244"/>
      <c r="U260" s="244"/>
      <c r="V260" s="244"/>
      <c r="W260" s="244"/>
      <c r="X260" s="244"/>
      <c r="Y260" s="244"/>
      <c r="Z260" s="244"/>
      <c r="AA260" s="244"/>
      <c r="AB260" s="244"/>
      <c r="AC260" s="244"/>
    </row>
    <row r="261" spans="1:29" ht="15.75" customHeight="1" x14ac:dyDescent="0.25">
      <c r="A261" s="244"/>
      <c r="B261" s="244"/>
      <c r="C261" s="244"/>
      <c r="D261" s="244"/>
      <c r="E261" s="244"/>
      <c r="F261" s="303"/>
      <c r="G261" s="244"/>
      <c r="H261" s="303"/>
      <c r="I261" s="244"/>
      <c r="J261" s="244"/>
      <c r="K261" s="244"/>
      <c r="L261" s="303"/>
      <c r="M261" s="244"/>
      <c r="N261" s="303"/>
      <c r="O261" s="244"/>
      <c r="P261" s="244"/>
      <c r="Q261" s="244"/>
      <c r="R261" s="244"/>
      <c r="S261" s="244"/>
      <c r="T261" s="244"/>
      <c r="U261" s="244"/>
      <c r="V261" s="244"/>
      <c r="W261" s="244"/>
      <c r="X261" s="244"/>
      <c r="Y261" s="244"/>
      <c r="Z261" s="244"/>
      <c r="AA261" s="244"/>
      <c r="AB261" s="244"/>
      <c r="AC261" s="244"/>
    </row>
    <row r="262" spans="1:29" ht="15.75" customHeight="1" x14ac:dyDescent="0.25">
      <c r="A262" s="244"/>
      <c r="B262" s="244"/>
      <c r="C262" s="244"/>
      <c r="D262" s="244"/>
      <c r="E262" s="244"/>
      <c r="F262" s="303"/>
      <c r="G262" s="244"/>
      <c r="H262" s="303"/>
      <c r="I262" s="244"/>
      <c r="J262" s="244"/>
      <c r="K262" s="244"/>
      <c r="L262" s="303"/>
      <c r="M262" s="244"/>
      <c r="N262" s="303"/>
      <c r="O262" s="244"/>
      <c r="P262" s="244"/>
      <c r="Q262" s="244"/>
      <c r="R262" s="244"/>
      <c r="S262" s="244"/>
      <c r="T262" s="244"/>
      <c r="U262" s="244"/>
      <c r="V262" s="244"/>
      <c r="W262" s="244"/>
      <c r="X262" s="244"/>
      <c r="Y262" s="244"/>
      <c r="Z262" s="244"/>
      <c r="AA262" s="244"/>
      <c r="AB262" s="244"/>
      <c r="AC262" s="244"/>
    </row>
    <row r="263" spans="1:29" ht="15.75" customHeight="1" x14ac:dyDescent="0.25">
      <c r="A263" s="244"/>
      <c r="B263" s="244"/>
      <c r="C263" s="244"/>
      <c r="D263" s="244"/>
      <c r="E263" s="244"/>
      <c r="F263" s="303"/>
      <c r="G263" s="244"/>
      <c r="H263" s="303"/>
      <c r="I263" s="244"/>
      <c r="J263" s="244"/>
      <c r="K263" s="244"/>
      <c r="L263" s="303"/>
      <c r="M263" s="244"/>
      <c r="N263" s="303"/>
      <c r="O263" s="244"/>
      <c r="P263" s="244"/>
      <c r="Q263" s="244"/>
      <c r="R263" s="244"/>
      <c r="S263" s="244"/>
      <c r="T263" s="244"/>
      <c r="U263" s="244"/>
      <c r="V263" s="244"/>
      <c r="W263" s="244"/>
      <c r="X263" s="244"/>
      <c r="Y263" s="244"/>
      <c r="Z263" s="244"/>
      <c r="AA263" s="244"/>
      <c r="AB263" s="244"/>
      <c r="AC263" s="244"/>
    </row>
    <row r="264" spans="1:29" ht="15.75" customHeight="1" x14ac:dyDescent="0.25">
      <c r="A264" s="244"/>
      <c r="B264" s="244"/>
      <c r="C264" s="244"/>
      <c r="D264" s="244"/>
      <c r="E264" s="244"/>
      <c r="F264" s="303"/>
      <c r="G264" s="244"/>
      <c r="H264" s="303"/>
      <c r="I264" s="244"/>
      <c r="J264" s="244"/>
      <c r="K264" s="244"/>
      <c r="L264" s="303"/>
      <c r="M264" s="244"/>
      <c r="N264" s="303"/>
      <c r="O264" s="244"/>
      <c r="P264" s="244"/>
      <c r="Q264" s="244"/>
      <c r="R264" s="244"/>
      <c r="S264" s="244"/>
      <c r="T264" s="244"/>
      <c r="U264" s="244"/>
      <c r="V264" s="244"/>
      <c r="W264" s="244"/>
      <c r="X264" s="244"/>
      <c r="Y264" s="244"/>
      <c r="Z264" s="244"/>
      <c r="AA264" s="244"/>
      <c r="AB264" s="244"/>
      <c r="AC264" s="244"/>
    </row>
    <row r="265" spans="1:29" ht="15.75" customHeight="1" x14ac:dyDescent="0.25">
      <c r="A265" s="244"/>
      <c r="B265" s="244"/>
      <c r="C265" s="244"/>
      <c r="D265" s="244"/>
      <c r="E265" s="244"/>
      <c r="F265" s="303"/>
      <c r="G265" s="244"/>
      <c r="H265" s="303"/>
      <c r="I265" s="244"/>
      <c r="J265" s="244"/>
      <c r="K265" s="244"/>
      <c r="L265" s="303"/>
      <c r="M265" s="244"/>
      <c r="N265" s="303"/>
      <c r="O265" s="244"/>
      <c r="P265" s="244"/>
      <c r="Q265" s="244"/>
      <c r="R265" s="244"/>
      <c r="S265" s="244"/>
      <c r="T265" s="244"/>
      <c r="U265" s="244"/>
      <c r="V265" s="244"/>
      <c r="W265" s="244"/>
      <c r="X265" s="244"/>
      <c r="Y265" s="244"/>
      <c r="Z265" s="244"/>
      <c r="AA265" s="244"/>
      <c r="AB265" s="244"/>
      <c r="AC265" s="244"/>
    </row>
    <row r="266" spans="1:29" ht="15.75" customHeight="1" x14ac:dyDescent="0.25">
      <c r="A266" s="244"/>
      <c r="B266" s="244"/>
      <c r="C266" s="244"/>
      <c r="D266" s="244"/>
      <c r="E266" s="244"/>
      <c r="F266" s="303"/>
      <c r="G266" s="244"/>
      <c r="H266" s="303"/>
      <c r="I266" s="244"/>
      <c r="J266" s="244"/>
      <c r="K266" s="244"/>
      <c r="L266" s="303"/>
      <c r="M266" s="244"/>
      <c r="N266" s="303"/>
      <c r="O266" s="244"/>
      <c r="P266" s="244"/>
      <c r="Q266" s="244"/>
      <c r="R266" s="244"/>
      <c r="S266" s="244"/>
      <c r="T266" s="244"/>
      <c r="U266" s="244"/>
      <c r="V266" s="244"/>
      <c r="W266" s="244"/>
      <c r="X266" s="244"/>
      <c r="Y266" s="244"/>
      <c r="Z266" s="244"/>
      <c r="AA266" s="244"/>
      <c r="AB266" s="244"/>
      <c r="AC266" s="244"/>
    </row>
    <row r="267" spans="1:29" ht="15.75" customHeight="1" x14ac:dyDescent="0.25">
      <c r="A267" s="244"/>
      <c r="B267" s="244"/>
      <c r="C267" s="244"/>
      <c r="D267" s="244"/>
      <c r="E267" s="244"/>
      <c r="F267" s="303"/>
      <c r="G267" s="244"/>
      <c r="H267" s="303"/>
      <c r="I267" s="244"/>
      <c r="J267" s="244"/>
      <c r="K267" s="244"/>
      <c r="L267" s="303"/>
      <c r="M267" s="244"/>
      <c r="N267" s="303"/>
      <c r="O267" s="244"/>
      <c r="P267" s="244"/>
      <c r="Q267" s="244"/>
      <c r="R267" s="244"/>
      <c r="S267" s="244"/>
      <c r="T267" s="244"/>
      <c r="U267" s="244"/>
      <c r="V267" s="244"/>
      <c r="W267" s="244"/>
      <c r="X267" s="244"/>
      <c r="Y267" s="244"/>
      <c r="Z267" s="244"/>
      <c r="AA267" s="244"/>
      <c r="AB267" s="244"/>
      <c r="AC267" s="244"/>
    </row>
    <row r="268" spans="1:29" ht="15.75" customHeight="1" x14ac:dyDescent="0.25">
      <c r="A268" s="244"/>
      <c r="B268" s="244"/>
      <c r="C268" s="244"/>
      <c r="D268" s="244"/>
      <c r="E268" s="244"/>
      <c r="F268" s="303"/>
      <c r="G268" s="244"/>
      <c r="H268" s="303"/>
      <c r="I268" s="244"/>
      <c r="J268" s="244"/>
      <c r="K268" s="244"/>
      <c r="L268" s="303"/>
      <c r="M268" s="244"/>
      <c r="N268" s="303"/>
      <c r="O268" s="244"/>
      <c r="P268" s="244"/>
      <c r="Q268" s="244"/>
      <c r="R268" s="244"/>
      <c r="S268" s="244"/>
      <c r="T268" s="244"/>
      <c r="U268" s="244"/>
      <c r="V268" s="244"/>
      <c r="W268" s="244"/>
      <c r="X268" s="244"/>
      <c r="Y268" s="244"/>
      <c r="Z268" s="244"/>
      <c r="AA268" s="244"/>
      <c r="AB268" s="244"/>
      <c r="AC268" s="244"/>
    </row>
    <row r="269" spans="1:29" ht="15.75" customHeight="1" x14ac:dyDescent="0.25">
      <c r="A269" s="244"/>
      <c r="B269" s="244"/>
      <c r="C269" s="244"/>
      <c r="D269" s="244"/>
      <c r="E269" s="244"/>
      <c r="F269" s="303"/>
      <c r="G269" s="244"/>
      <c r="H269" s="303"/>
      <c r="I269" s="244"/>
      <c r="J269" s="244"/>
      <c r="K269" s="244"/>
      <c r="L269" s="303"/>
      <c r="M269" s="244"/>
      <c r="N269" s="303"/>
      <c r="O269" s="244"/>
      <c r="P269" s="244"/>
      <c r="Q269" s="244"/>
      <c r="R269" s="244"/>
      <c r="S269" s="244"/>
      <c r="T269" s="244"/>
      <c r="U269" s="244"/>
      <c r="V269" s="244"/>
      <c r="W269" s="244"/>
      <c r="X269" s="244"/>
      <c r="Y269" s="244"/>
      <c r="Z269" s="244"/>
      <c r="AA269" s="244"/>
      <c r="AB269" s="244"/>
      <c r="AC269" s="244"/>
    </row>
    <row r="270" spans="1:29" ht="15.75" customHeight="1" x14ac:dyDescent="0.25">
      <c r="A270" s="244"/>
      <c r="B270" s="244"/>
      <c r="C270" s="244"/>
      <c r="D270" s="244"/>
      <c r="E270" s="244"/>
      <c r="F270" s="303"/>
      <c r="G270" s="244"/>
      <c r="H270" s="303"/>
      <c r="I270" s="244"/>
      <c r="J270" s="244"/>
      <c r="K270" s="244"/>
      <c r="L270" s="303"/>
      <c r="M270" s="244"/>
      <c r="N270" s="303"/>
      <c r="O270" s="244"/>
      <c r="P270" s="244"/>
      <c r="Q270" s="244"/>
      <c r="R270" s="244"/>
      <c r="S270" s="244"/>
      <c r="T270" s="244"/>
      <c r="U270" s="244"/>
      <c r="V270" s="244"/>
      <c r="W270" s="244"/>
      <c r="X270" s="244"/>
      <c r="Y270" s="244"/>
      <c r="Z270" s="244"/>
      <c r="AA270" s="244"/>
      <c r="AB270" s="244"/>
      <c r="AC270" s="244"/>
    </row>
    <row r="271" spans="1:29" ht="15.75" customHeight="1" x14ac:dyDescent="0.25">
      <c r="A271" s="244"/>
      <c r="B271" s="244"/>
      <c r="C271" s="244"/>
      <c r="D271" s="244"/>
      <c r="E271" s="244"/>
      <c r="F271" s="303"/>
      <c r="G271" s="244"/>
      <c r="H271" s="303"/>
      <c r="I271" s="244"/>
      <c r="J271" s="244"/>
      <c r="K271" s="244"/>
      <c r="L271" s="303"/>
      <c r="M271" s="244"/>
      <c r="N271" s="303"/>
      <c r="O271" s="244"/>
      <c r="P271" s="244"/>
      <c r="Q271" s="244"/>
      <c r="R271" s="244"/>
      <c r="S271" s="244"/>
      <c r="T271" s="244"/>
      <c r="U271" s="244"/>
      <c r="V271" s="244"/>
      <c r="W271" s="244"/>
      <c r="X271" s="244"/>
      <c r="Y271" s="244"/>
      <c r="Z271" s="244"/>
      <c r="AA271" s="244"/>
      <c r="AB271" s="244"/>
      <c r="AC271" s="244"/>
    </row>
    <row r="272" spans="1:29" ht="15.75" customHeight="1" x14ac:dyDescent="0.25">
      <c r="A272" s="244"/>
      <c r="B272" s="244"/>
      <c r="C272" s="244"/>
      <c r="D272" s="244"/>
      <c r="E272" s="244"/>
      <c r="F272" s="303"/>
      <c r="G272" s="244"/>
      <c r="H272" s="303"/>
      <c r="I272" s="244"/>
      <c r="J272" s="244"/>
      <c r="K272" s="244"/>
      <c r="L272" s="303"/>
      <c r="M272" s="244"/>
      <c r="N272" s="303"/>
      <c r="O272" s="244"/>
      <c r="P272" s="244"/>
      <c r="Q272" s="244"/>
      <c r="R272" s="244"/>
      <c r="S272" s="244"/>
      <c r="T272" s="244"/>
      <c r="U272" s="244"/>
      <c r="V272" s="244"/>
      <c r="W272" s="244"/>
      <c r="X272" s="244"/>
      <c r="Y272" s="244"/>
      <c r="Z272" s="244"/>
      <c r="AA272" s="244"/>
      <c r="AB272" s="244"/>
      <c r="AC272" s="244"/>
    </row>
    <row r="273" spans="1:29" ht="15.75" customHeight="1" x14ac:dyDescent="0.25">
      <c r="A273" s="244"/>
      <c r="B273" s="244"/>
      <c r="C273" s="244"/>
      <c r="D273" s="244"/>
      <c r="E273" s="244"/>
      <c r="F273" s="303"/>
      <c r="G273" s="244"/>
      <c r="H273" s="303"/>
      <c r="I273" s="244"/>
      <c r="J273" s="244"/>
      <c r="K273" s="244"/>
      <c r="L273" s="303"/>
      <c r="M273" s="244"/>
      <c r="N273" s="303"/>
      <c r="O273" s="244"/>
      <c r="P273" s="244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</row>
    <row r="274" spans="1:29" ht="15.75" customHeight="1" x14ac:dyDescent="0.25">
      <c r="A274" s="244"/>
      <c r="B274" s="244"/>
      <c r="C274" s="244"/>
      <c r="D274" s="244"/>
      <c r="E274" s="244"/>
      <c r="F274" s="303"/>
      <c r="G274" s="244"/>
      <c r="H274" s="303"/>
      <c r="I274" s="244"/>
      <c r="J274" s="244"/>
      <c r="K274" s="244"/>
      <c r="L274" s="303"/>
      <c r="M274" s="244"/>
      <c r="N274" s="303"/>
      <c r="O274" s="244"/>
      <c r="P274" s="244"/>
      <c r="Q274" s="244"/>
      <c r="R274" s="244"/>
      <c r="S274" s="244"/>
      <c r="T274" s="244"/>
      <c r="U274" s="244"/>
      <c r="V274" s="244"/>
      <c r="W274" s="244"/>
      <c r="X274" s="244"/>
      <c r="Y274" s="244"/>
      <c r="Z274" s="244"/>
      <c r="AA274" s="244"/>
      <c r="AB274" s="244"/>
      <c r="AC274" s="244"/>
    </row>
    <row r="275" spans="1:29" ht="15.75" customHeight="1" x14ac:dyDescent="0.25">
      <c r="A275" s="244"/>
      <c r="B275" s="244"/>
      <c r="C275" s="244"/>
      <c r="D275" s="244"/>
      <c r="E275" s="244"/>
      <c r="F275" s="303"/>
      <c r="G275" s="244"/>
      <c r="H275" s="303"/>
      <c r="I275" s="244"/>
      <c r="J275" s="244"/>
      <c r="K275" s="244"/>
      <c r="L275" s="303"/>
      <c r="M275" s="244"/>
      <c r="N275" s="303"/>
      <c r="O275" s="244"/>
      <c r="P275" s="244"/>
      <c r="Q275" s="244"/>
      <c r="R275" s="244"/>
      <c r="S275" s="244"/>
      <c r="T275" s="244"/>
      <c r="U275" s="244"/>
      <c r="V275" s="244"/>
      <c r="W275" s="244"/>
      <c r="X275" s="244"/>
      <c r="Y275" s="244"/>
      <c r="Z275" s="244"/>
      <c r="AA275" s="244"/>
      <c r="AB275" s="244"/>
      <c r="AC275" s="244"/>
    </row>
    <row r="276" spans="1:29" ht="15.75" customHeight="1" x14ac:dyDescent="0.25">
      <c r="A276" s="244"/>
      <c r="B276" s="244"/>
      <c r="C276" s="244"/>
      <c r="D276" s="244"/>
      <c r="E276" s="244"/>
      <c r="F276" s="303"/>
      <c r="G276" s="244"/>
      <c r="H276" s="303"/>
      <c r="I276" s="244"/>
      <c r="J276" s="244"/>
      <c r="K276" s="244"/>
      <c r="L276" s="303"/>
      <c r="M276" s="244"/>
      <c r="N276" s="303"/>
      <c r="O276" s="244"/>
      <c r="P276" s="244"/>
      <c r="Q276" s="244"/>
      <c r="R276" s="244"/>
      <c r="S276" s="244"/>
      <c r="T276" s="244"/>
      <c r="U276" s="244"/>
      <c r="V276" s="244"/>
      <c r="W276" s="244"/>
      <c r="X276" s="244"/>
      <c r="Y276" s="244"/>
      <c r="Z276" s="244"/>
      <c r="AA276" s="244"/>
      <c r="AB276" s="244"/>
      <c r="AC276" s="244"/>
    </row>
    <row r="277" spans="1:29" ht="15.75" customHeight="1" x14ac:dyDescent="0.25">
      <c r="A277" s="244"/>
      <c r="B277" s="244"/>
      <c r="C277" s="244"/>
      <c r="D277" s="244"/>
      <c r="E277" s="244"/>
      <c r="F277" s="303"/>
      <c r="G277" s="244"/>
      <c r="H277" s="303"/>
      <c r="I277" s="244"/>
      <c r="J277" s="244"/>
      <c r="K277" s="244"/>
      <c r="L277" s="303"/>
      <c r="M277" s="244"/>
      <c r="N277" s="303"/>
      <c r="O277" s="244"/>
      <c r="P277" s="244"/>
      <c r="Q277" s="244"/>
      <c r="R277" s="244"/>
      <c r="S277" s="244"/>
      <c r="T277" s="244"/>
      <c r="U277" s="244"/>
      <c r="V277" s="244"/>
      <c r="W277" s="244"/>
      <c r="X277" s="244"/>
      <c r="Y277" s="244"/>
      <c r="Z277" s="244"/>
      <c r="AA277" s="244"/>
      <c r="AB277" s="244"/>
      <c r="AC277" s="244"/>
    </row>
    <row r="278" spans="1:29" ht="15.75" customHeight="1" x14ac:dyDescent="0.25">
      <c r="A278" s="244"/>
      <c r="B278" s="244"/>
      <c r="C278" s="244"/>
      <c r="D278" s="244"/>
      <c r="E278" s="244"/>
      <c r="F278" s="303"/>
      <c r="G278" s="244"/>
      <c r="H278" s="303"/>
      <c r="I278" s="244"/>
      <c r="J278" s="244"/>
      <c r="K278" s="244"/>
      <c r="L278" s="303"/>
      <c r="M278" s="244"/>
      <c r="N278" s="303"/>
      <c r="O278" s="244"/>
      <c r="P278" s="244"/>
      <c r="Q278" s="244"/>
      <c r="R278" s="244"/>
      <c r="S278" s="244"/>
      <c r="T278" s="244"/>
      <c r="U278" s="244"/>
      <c r="V278" s="244"/>
      <c r="W278" s="244"/>
      <c r="X278" s="244"/>
      <c r="Y278" s="244"/>
      <c r="Z278" s="244"/>
      <c r="AA278" s="244"/>
      <c r="AB278" s="244"/>
      <c r="AC278" s="244"/>
    </row>
    <row r="279" spans="1:29" ht="15.75" customHeight="1" x14ac:dyDescent="0.25">
      <c r="A279" s="244"/>
      <c r="B279" s="244"/>
      <c r="C279" s="244"/>
      <c r="D279" s="244"/>
      <c r="E279" s="244"/>
      <c r="F279" s="303"/>
      <c r="G279" s="244"/>
      <c r="H279" s="303"/>
      <c r="I279" s="244"/>
      <c r="J279" s="244"/>
      <c r="K279" s="244"/>
      <c r="L279" s="303"/>
      <c r="M279" s="244"/>
      <c r="N279" s="303"/>
      <c r="O279" s="244"/>
      <c r="P279" s="244"/>
      <c r="Q279" s="244"/>
      <c r="R279" s="244"/>
      <c r="S279" s="244"/>
      <c r="T279" s="244"/>
      <c r="U279" s="244"/>
      <c r="V279" s="244"/>
      <c r="W279" s="244"/>
      <c r="X279" s="244"/>
      <c r="Y279" s="244"/>
      <c r="Z279" s="244"/>
      <c r="AA279" s="244"/>
      <c r="AB279" s="244"/>
      <c r="AC279" s="244"/>
    </row>
    <row r="280" spans="1:29" ht="15.75" customHeight="1" x14ac:dyDescent="0.25">
      <c r="A280" s="244"/>
      <c r="B280" s="244"/>
      <c r="C280" s="244"/>
      <c r="D280" s="244"/>
      <c r="E280" s="244"/>
      <c r="F280" s="303"/>
      <c r="G280" s="244"/>
      <c r="H280" s="303"/>
      <c r="I280" s="244"/>
      <c r="J280" s="244"/>
      <c r="K280" s="244"/>
      <c r="L280" s="303"/>
      <c r="M280" s="244"/>
      <c r="N280" s="303"/>
      <c r="O280" s="244"/>
      <c r="P280" s="244"/>
      <c r="Q280" s="244"/>
      <c r="R280" s="244"/>
      <c r="S280" s="244"/>
      <c r="T280" s="244"/>
      <c r="U280" s="244"/>
      <c r="V280" s="244"/>
      <c r="W280" s="244"/>
      <c r="X280" s="244"/>
      <c r="Y280" s="244"/>
      <c r="Z280" s="244"/>
      <c r="AA280" s="244"/>
      <c r="AB280" s="244"/>
      <c r="AC280" s="244"/>
    </row>
    <row r="281" spans="1:29" ht="15.75" customHeight="1" x14ac:dyDescent="0.25">
      <c r="A281" s="244"/>
      <c r="B281" s="244"/>
      <c r="C281" s="244"/>
      <c r="D281" s="244"/>
      <c r="E281" s="244"/>
      <c r="F281" s="303"/>
      <c r="G281" s="244"/>
      <c r="H281" s="303"/>
      <c r="I281" s="244"/>
      <c r="J281" s="244"/>
      <c r="K281" s="244"/>
      <c r="L281" s="303"/>
      <c r="M281" s="244"/>
      <c r="N281" s="303"/>
      <c r="O281" s="244"/>
      <c r="P281" s="244"/>
      <c r="Q281" s="244"/>
      <c r="R281" s="244"/>
      <c r="S281" s="244"/>
      <c r="T281" s="244"/>
      <c r="U281" s="244"/>
      <c r="V281" s="244"/>
      <c r="W281" s="244"/>
      <c r="X281" s="244"/>
      <c r="Y281" s="244"/>
      <c r="Z281" s="244"/>
      <c r="AA281" s="244"/>
      <c r="AB281" s="244"/>
      <c r="AC281" s="244"/>
    </row>
    <row r="282" spans="1:29" ht="15.75" customHeight="1" x14ac:dyDescent="0.25">
      <c r="A282" s="244"/>
      <c r="B282" s="244"/>
      <c r="C282" s="244"/>
      <c r="D282" s="244"/>
      <c r="E282" s="244"/>
      <c r="F282" s="303"/>
      <c r="G282" s="244"/>
      <c r="H282" s="303"/>
      <c r="I282" s="244"/>
      <c r="J282" s="244"/>
      <c r="K282" s="244"/>
      <c r="L282" s="303"/>
      <c r="M282" s="244"/>
      <c r="N282" s="303"/>
      <c r="O282" s="244"/>
      <c r="P282" s="244"/>
      <c r="Q282" s="244"/>
      <c r="R282" s="244"/>
      <c r="S282" s="244"/>
      <c r="T282" s="244"/>
      <c r="U282" s="244"/>
      <c r="V282" s="244"/>
      <c r="W282" s="244"/>
      <c r="X282" s="244"/>
      <c r="Y282" s="244"/>
      <c r="Z282" s="244"/>
      <c r="AA282" s="244"/>
      <c r="AB282" s="244"/>
      <c r="AC282" s="244"/>
    </row>
    <row r="283" spans="1:29" ht="15.75" customHeight="1" x14ac:dyDescent="0.25">
      <c r="A283" s="244"/>
      <c r="B283" s="244"/>
      <c r="C283" s="244"/>
      <c r="D283" s="244"/>
      <c r="E283" s="244"/>
      <c r="F283" s="303"/>
      <c r="G283" s="244"/>
      <c r="H283" s="303"/>
      <c r="I283" s="244"/>
      <c r="J283" s="244"/>
      <c r="K283" s="244"/>
      <c r="L283" s="303"/>
      <c r="M283" s="244"/>
      <c r="N283" s="303"/>
      <c r="O283" s="244"/>
      <c r="P283" s="244"/>
      <c r="Q283" s="244"/>
      <c r="R283" s="244"/>
      <c r="S283" s="244"/>
      <c r="T283" s="244"/>
      <c r="U283" s="244"/>
      <c r="V283" s="244"/>
      <c r="W283" s="244"/>
      <c r="X283" s="244"/>
      <c r="Y283" s="244"/>
      <c r="Z283" s="244"/>
      <c r="AA283" s="244"/>
      <c r="AB283" s="244"/>
      <c r="AC283" s="244"/>
    </row>
    <row r="284" spans="1:29" ht="15.75" customHeight="1" x14ac:dyDescent="0.25">
      <c r="A284" s="244"/>
      <c r="B284" s="244"/>
      <c r="C284" s="244"/>
      <c r="D284" s="244"/>
      <c r="E284" s="244"/>
      <c r="F284" s="303"/>
      <c r="G284" s="244"/>
      <c r="H284" s="303"/>
      <c r="I284" s="244"/>
      <c r="J284" s="244"/>
      <c r="K284" s="244"/>
      <c r="L284" s="303"/>
      <c r="M284" s="244"/>
      <c r="N284" s="303"/>
      <c r="O284" s="244"/>
      <c r="P284" s="244"/>
      <c r="Q284" s="244"/>
      <c r="R284" s="244"/>
      <c r="S284" s="244"/>
      <c r="T284" s="244"/>
      <c r="U284" s="244"/>
      <c r="V284" s="244"/>
      <c r="W284" s="244"/>
      <c r="X284" s="244"/>
      <c r="Y284" s="244"/>
      <c r="Z284" s="244"/>
      <c r="AA284" s="244"/>
      <c r="AB284" s="244"/>
      <c r="AC284" s="244"/>
    </row>
    <row r="285" spans="1:29" ht="15.75" customHeight="1" x14ac:dyDescent="0.25">
      <c r="A285" s="244"/>
      <c r="B285" s="244"/>
      <c r="C285" s="244"/>
      <c r="D285" s="244"/>
      <c r="E285" s="244"/>
      <c r="F285" s="303"/>
      <c r="G285" s="244"/>
      <c r="H285" s="303"/>
      <c r="I285" s="244"/>
      <c r="J285" s="244"/>
      <c r="K285" s="244"/>
      <c r="L285" s="303"/>
      <c r="M285" s="244"/>
      <c r="N285" s="303"/>
      <c r="O285" s="244"/>
      <c r="P285" s="244"/>
      <c r="Q285" s="244"/>
      <c r="R285" s="244"/>
      <c r="S285" s="244"/>
      <c r="T285" s="244"/>
      <c r="U285" s="244"/>
      <c r="V285" s="244"/>
      <c r="W285" s="244"/>
      <c r="X285" s="244"/>
      <c r="Y285" s="244"/>
      <c r="Z285" s="244"/>
      <c r="AA285" s="244"/>
      <c r="AB285" s="244"/>
      <c r="AC285" s="244"/>
    </row>
    <row r="286" spans="1:29" ht="15.75" customHeight="1" x14ac:dyDescent="0.25">
      <c r="A286" s="244"/>
      <c r="B286" s="244"/>
      <c r="C286" s="244"/>
      <c r="D286" s="244"/>
      <c r="E286" s="244"/>
      <c r="F286" s="303"/>
      <c r="G286" s="244"/>
      <c r="H286" s="303"/>
      <c r="I286" s="244"/>
      <c r="J286" s="244"/>
      <c r="K286" s="244"/>
      <c r="L286" s="303"/>
      <c r="M286" s="244"/>
      <c r="N286" s="303"/>
      <c r="O286" s="244"/>
      <c r="P286" s="244"/>
      <c r="Q286" s="244"/>
      <c r="R286" s="244"/>
      <c r="S286" s="244"/>
      <c r="T286" s="244"/>
      <c r="U286" s="244"/>
      <c r="V286" s="244"/>
      <c r="W286" s="244"/>
      <c r="X286" s="244"/>
      <c r="Y286" s="244"/>
      <c r="Z286" s="244"/>
      <c r="AA286" s="244"/>
      <c r="AB286" s="244"/>
      <c r="AC286" s="244"/>
    </row>
    <row r="287" spans="1:29" ht="15.75" customHeight="1" x14ac:dyDescent="0.25">
      <c r="A287" s="244"/>
      <c r="B287" s="244"/>
      <c r="C287" s="244"/>
      <c r="D287" s="244"/>
      <c r="E287" s="244"/>
      <c r="F287" s="303"/>
      <c r="G287" s="244"/>
      <c r="H287" s="303"/>
      <c r="I287" s="244"/>
      <c r="J287" s="244"/>
      <c r="K287" s="244"/>
      <c r="L287" s="303"/>
      <c r="M287" s="244"/>
      <c r="N287" s="303"/>
      <c r="O287" s="244"/>
      <c r="P287" s="244"/>
      <c r="Q287" s="244"/>
      <c r="R287" s="244"/>
      <c r="S287" s="244"/>
      <c r="T287" s="244"/>
      <c r="U287" s="244"/>
      <c r="V287" s="244"/>
      <c r="W287" s="244"/>
      <c r="X287" s="244"/>
      <c r="Y287" s="244"/>
      <c r="Z287" s="244"/>
      <c r="AA287" s="244"/>
      <c r="AB287" s="244"/>
      <c r="AC287" s="244"/>
    </row>
    <row r="288" spans="1:29" ht="15.75" customHeight="1" x14ac:dyDescent="0.25">
      <c r="A288" s="244"/>
      <c r="B288" s="244"/>
      <c r="C288" s="244"/>
      <c r="D288" s="244"/>
      <c r="E288" s="244"/>
      <c r="F288" s="303"/>
      <c r="G288" s="244"/>
      <c r="H288" s="303"/>
      <c r="I288" s="244"/>
      <c r="J288" s="244"/>
      <c r="K288" s="244"/>
      <c r="L288" s="303"/>
      <c r="M288" s="244"/>
      <c r="N288" s="303"/>
      <c r="O288" s="244"/>
      <c r="P288" s="244"/>
      <c r="Q288" s="244"/>
      <c r="R288" s="244"/>
      <c r="S288" s="244"/>
      <c r="T288" s="244"/>
      <c r="U288" s="244"/>
      <c r="V288" s="244"/>
      <c r="W288" s="244"/>
      <c r="X288" s="244"/>
      <c r="Y288" s="244"/>
      <c r="Z288" s="244"/>
      <c r="AA288" s="244"/>
      <c r="AB288" s="244"/>
      <c r="AC288" s="244"/>
    </row>
    <row r="289" spans="1:29" ht="15.75" customHeight="1" x14ac:dyDescent="0.25">
      <c r="A289" s="244"/>
      <c r="B289" s="244"/>
      <c r="C289" s="244"/>
      <c r="D289" s="244"/>
      <c r="E289" s="244"/>
      <c r="F289" s="303"/>
      <c r="G289" s="244"/>
      <c r="H289" s="303"/>
      <c r="I289" s="244"/>
      <c r="J289" s="244"/>
      <c r="K289" s="244"/>
      <c r="L289" s="303"/>
      <c r="M289" s="244"/>
      <c r="N289" s="303"/>
      <c r="O289" s="244"/>
      <c r="P289" s="244"/>
      <c r="Q289" s="244"/>
      <c r="R289" s="244"/>
      <c r="S289" s="244"/>
      <c r="T289" s="244"/>
      <c r="U289" s="244"/>
      <c r="V289" s="244"/>
      <c r="W289" s="244"/>
      <c r="X289" s="244"/>
      <c r="Y289" s="244"/>
      <c r="Z289" s="244"/>
      <c r="AA289" s="244"/>
      <c r="AB289" s="244"/>
      <c r="AC289" s="244"/>
    </row>
    <row r="290" spans="1:29" ht="15.75" customHeight="1" x14ac:dyDescent="0.25">
      <c r="A290" s="244"/>
      <c r="B290" s="244"/>
      <c r="C290" s="244"/>
      <c r="D290" s="244"/>
      <c r="E290" s="244"/>
      <c r="F290" s="303"/>
      <c r="G290" s="244"/>
      <c r="H290" s="303"/>
      <c r="I290" s="244"/>
      <c r="J290" s="244"/>
      <c r="K290" s="244"/>
      <c r="L290" s="303"/>
      <c r="M290" s="244"/>
      <c r="N290" s="303"/>
      <c r="O290" s="244"/>
      <c r="P290" s="244"/>
      <c r="Q290" s="244"/>
      <c r="R290" s="244"/>
      <c r="S290" s="244"/>
      <c r="T290" s="244"/>
      <c r="U290" s="244"/>
      <c r="V290" s="244"/>
      <c r="W290" s="244"/>
      <c r="X290" s="244"/>
      <c r="Y290" s="244"/>
      <c r="Z290" s="244"/>
      <c r="AA290" s="244"/>
      <c r="AB290" s="244"/>
      <c r="AC290" s="244"/>
    </row>
    <row r="291" spans="1:29" ht="15.75" customHeight="1" x14ac:dyDescent="0.25">
      <c r="A291" s="244"/>
      <c r="B291" s="244"/>
      <c r="C291" s="244"/>
      <c r="D291" s="244"/>
      <c r="E291" s="244"/>
      <c r="F291" s="303"/>
      <c r="G291" s="244"/>
      <c r="H291" s="303"/>
      <c r="I291" s="244"/>
      <c r="J291" s="244"/>
      <c r="K291" s="244"/>
      <c r="L291" s="303"/>
      <c r="M291" s="244"/>
      <c r="N291" s="303"/>
      <c r="O291" s="244"/>
      <c r="P291" s="244"/>
      <c r="Q291" s="244"/>
      <c r="R291" s="244"/>
      <c r="S291" s="244"/>
      <c r="T291" s="244"/>
      <c r="U291" s="244"/>
      <c r="V291" s="244"/>
      <c r="W291" s="244"/>
      <c r="X291" s="244"/>
      <c r="Y291" s="244"/>
      <c r="Z291" s="244"/>
      <c r="AA291" s="244"/>
      <c r="AB291" s="244"/>
      <c r="AC291" s="244"/>
    </row>
    <row r="292" spans="1:29" ht="15.75" customHeight="1" x14ac:dyDescent="0.25">
      <c r="A292" s="244"/>
      <c r="B292" s="244"/>
      <c r="C292" s="244"/>
      <c r="D292" s="244"/>
      <c r="E292" s="244"/>
      <c r="F292" s="303"/>
      <c r="G292" s="244"/>
      <c r="H292" s="303"/>
      <c r="I292" s="244"/>
      <c r="J292" s="244"/>
      <c r="K292" s="244"/>
      <c r="L292" s="303"/>
      <c r="M292" s="244"/>
      <c r="N292" s="303"/>
      <c r="O292" s="244"/>
      <c r="P292" s="244"/>
      <c r="Q292" s="244"/>
      <c r="R292" s="244"/>
      <c r="S292" s="244"/>
      <c r="T292" s="244"/>
      <c r="U292" s="244"/>
      <c r="V292" s="244"/>
      <c r="W292" s="244"/>
      <c r="X292" s="244"/>
      <c r="Y292" s="244"/>
      <c r="Z292" s="244"/>
      <c r="AA292" s="244"/>
      <c r="AB292" s="244"/>
      <c r="AC292" s="244"/>
    </row>
    <row r="293" spans="1:29" ht="15.75" customHeight="1" x14ac:dyDescent="0.25">
      <c r="A293" s="244"/>
      <c r="B293" s="244"/>
      <c r="C293" s="244"/>
      <c r="D293" s="244"/>
      <c r="E293" s="244"/>
      <c r="F293" s="303"/>
      <c r="G293" s="244"/>
      <c r="H293" s="303"/>
      <c r="I293" s="244"/>
      <c r="J293" s="244"/>
      <c r="K293" s="244"/>
      <c r="L293" s="303"/>
      <c r="M293" s="244"/>
      <c r="N293" s="303"/>
      <c r="O293" s="244"/>
      <c r="P293" s="244"/>
      <c r="Q293" s="244"/>
      <c r="R293" s="244"/>
      <c r="S293" s="244"/>
      <c r="T293" s="244"/>
      <c r="U293" s="244"/>
      <c r="V293" s="244"/>
      <c r="W293" s="244"/>
      <c r="X293" s="244"/>
      <c r="Y293" s="244"/>
      <c r="Z293" s="244"/>
      <c r="AA293" s="244"/>
      <c r="AB293" s="244"/>
      <c r="AC293" s="244"/>
    </row>
    <row r="294" spans="1:29" ht="15.75" customHeight="1" x14ac:dyDescent="0.25">
      <c r="A294" s="244"/>
      <c r="B294" s="244"/>
      <c r="C294" s="244"/>
      <c r="D294" s="244"/>
      <c r="E294" s="244"/>
      <c r="F294" s="303"/>
      <c r="G294" s="244"/>
      <c r="H294" s="303"/>
      <c r="I294" s="244"/>
      <c r="J294" s="244"/>
      <c r="K294" s="244"/>
      <c r="L294" s="303"/>
      <c r="M294" s="244"/>
      <c r="N294" s="303"/>
      <c r="O294" s="244"/>
      <c r="P294" s="244"/>
      <c r="Q294" s="244"/>
      <c r="R294" s="244"/>
      <c r="S294" s="244"/>
      <c r="T294" s="244"/>
      <c r="U294" s="244"/>
      <c r="V294" s="244"/>
      <c r="W294" s="244"/>
      <c r="X294" s="244"/>
      <c r="Y294" s="244"/>
      <c r="Z294" s="244"/>
      <c r="AA294" s="244"/>
      <c r="AB294" s="244"/>
      <c r="AC294" s="244"/>
    </row>
    <row r="295" spans="1:29" ht="15.75" customHeight="1" x14ac:dyDescent="0.25">
      <c r="A295" s="244"/>
      <c r="B295" s="244"/>
      <c r="C295" s="244"/>
      <c r="D295" s="244"/>
      <c r="E295" s="244"/>
      <c r="F295" s="303"/>
      <c r="G295" s="244"/>
      <c r="H295" s="303"/>
      <c r="I295" s="244"/>
      <c r="J295" s="244"/>
      <c r="K295" s="244"/>
      <c r="L295" s="303"/>
      <c r="M295" s="244"/>
      <c r="N295" s="303"/>
      <c r="O295" s="244"/>
      <c r="P295" s="244"/>
      <c r="Q295" s="244"/>
      <c r="R295" s="244"/>
      <c r="S295" s="244"/>
      <c r="T295" s="244"/>
      <c r="U295" s="244"/>
      <c r="V295" s="244"/>
      <c r="W295" s="244"/>
      <c r="X295" s="244"/>
      <c r="Y295" s="244"/>
      <c r="Z295" s="244"/>
      <c r="AA295" s="244"/>
      <c r="AB295" s="244"/>
      <c r="AC295" s="244"/>
    </row>
    <row r="296" spans="1:29" ht="15.75" customHeight="1" x14ac:dyDescent="0.25">
      <c r="A296" s="244"/>
      <c r="B296" s="244"/>
      <c r="C296" s="244"/>
      <c r="D296" s="244"/>
      <c r="E296" s="244"/>
      <c r="F296" s="303"/>
      <c r="G296" s="244"/>
      <c r="H296" s="303"/>
      <c r="I296" s="244"/>
      <c r="J296" s="244"/>
      <c r="K296" s="244"/>
      <c r="L296" s="303"/>
      <c r="M296" s="244"/>
      <c r="N296" s="303"/>
      <c r="O296" s="244"/>
      <c r="P296" s="244"/>
      <c r="Q296" s="244"/>
      <c r="R296" s="244"/>
      <c r="S296" s="244"/>
      <c r="T296" s="244"/>
      <c r="U296" s="244"/>
      <c r="V296" s="244"/>
      <c r="W296" s="244"/>
      <c r="X296" s="244"/>
      <c r="Y296" s="244"/>
      <c r="Z296" s="244"/>
      <c r="AA296" s="244"/>
      <c r="AB296" s="244"/>
      <c r="AC296" s="244"/>
    </row>
    <row r="297" spans="1:29" ht="15.75" customHeight="1" x14ac:dyDescent="0.25">
      <c r="A297" s="244"/>
      <c r="B297" s="244"/>
      <c r="C297" s="244"/>
      <c r="D297" s="244"/>
      <c r="E297" s="244"/>
      <c r="F297" s="303"/>
      <c r="G297" s="244"/>
      <c r="H297" s="303"/>
      <c r="I297" s="244"/>
      <c r="J297" s="244"/>
      <c r="K297" s="244"/>
      <c r="L297" s="303"/>
      <c r="M297" s="244"/>
      <c r="N297" s="303"/>
      <c r="O297" s="244"/>
      <c r="P297" s="244"/>
      <c r="Q297" s="244"/>
      <c r="R297" s="244"/>
      <c r="S297" s="244"/>
      <c r="T297" s="244"/>
      <c r="U297" s="244"/>
      <c r="V297" s="244"/>
      <c r="W297" s="244"/>
      <c r="X297" s="244"/>
      <c r="Y297" s="244"/>
      <c r="Z297" s="244"/>
      <c r="AA297" s="244"/>
      <c r="AB297" s="244"/>
      <c r="AC297" s="244"/>
    </row>
    <row r="298" spans="1:29" ht="15.75" customHeight="1" x14ac:dyDescent="0.25">
      <c r="A298" s="244"/>
      <c r="B298" s="244"/>
      <c r="C298" s="244"/>
      <c r="D298" s="244"/>
      <c r="E298" s="244"/>
      <c r="F298" s="303"/>
      <c r="G298" s="244"/>
      <c r="H298" s="303"/>
      <c r="I298" s="244"/>
      <c r="J298" s="244"/>
      <c r="K298" s="244"/>
      <c r="L298" s="303"/>
      <c r="M298" s="244"/>
      <c r="N298" s="303"/>
      <c r="O298" s="244"/>
      <c r="P298" s="244"/>
      <c r="Q298" s="244"/>
      <c r="R298" s="244"/>
      <c r="S298" s="244"/>
      <c r="T298" s="244"/>
      <c r="U298" s="244"/>
      <c r="V298" s="244"/>
      <c r="W298" s="244"/>
      <c r="X298" s="244"/>
      <c r="Y298" s="244"/>
      <c r="Z298" s="244"/>
      <c r="AA298" s="244"/>
      <c r="AB298" s="244"/>
      <c r="AC298" s="244"/>
    </row>
    <row r="299" spans="1:29" ht="15.75" customHeight="1" x14ac:dyDescent="0.25">
      <c r="A299" s="244"/>
      <c r="B299" s="244"/>
      <c r="C299" s="244"/>
      <c r="D299" s="244"/>
      <c r="E299" s="244"/>
      <c r="F299" s="303"/>
      <c r="G299" s="244"/>
      <c r="H299" s="303"/>
      <c r="I299" s="244"/>
      <c r="J299" s="244"/>
      <c r="K299" s="244"/>
      <c r="L299" s="303"/>
      <c r="M299" s="244"/>
      <c r="N299" s="303"/>
      <c r="O299" s="244"/>
      <c r="P299" s="244"/>
      <c r="Q299" s="244"/>
      <c r="R299" s="244"/>
      <c r="S299" s="244"/>
      <c r="T299" s="244"/>
      <c r="U299" s="244"/>
      <c r="V299" s="244"/>
      <c r="W299" s="244"/>
      <c r="X299" s="244"/>
      <c r="Y299" s="244"/>
      <c r="Z299" s="244"/>
      <c r="AA299" s="244"/>
      <c r="AB299" s="244"/>
      <c r="AC299" s="244"/>
    </row>
    <row r="300" spans="1:29" ht="15.75" customHeight="1" x14ac:dyDescent="0.25">
      <c r="A300" s="244"/>
      <c r="B300" s="244"/>
      <c r="C300" s="244"/>
      <c r="D300" s="244"/>
      <c r="E300" s="244"/>
      <c r="F300" s="303"/>
      <c r="G300" s="244"/>
      <c r="H300" s="303"/>
      <c r="I300" s="244"/>
      <c r="J300" s="244"/>
      <c r="K300" s="244"/>
      <c r="L300" s="303"/>
      <c r="M300" s="244"/>
      <c r="N300" s="303"/>
      <c r="O300" s="244"/>
      <c r="P300" s="244"/>
      <c r="Q300" s="244"/>
      <c r="R300" s="244"/>
      <c r="S300" s="244"/>
      <c r="T300" s="244"/>
      <c r="U300" s="244"/>
      <c r="V300" s="244"/>
      <c r="W300" s="244"/>
      <c r="X300" s="244"/>
      <c r="Y300" s="244"/>
      <c r="Z300" s="244"/>
      <c r="AA300" s="244"/>
      <c r="AB300" s="244"/>
      <c r="AC300" s="244"/>
    </row>
    <row r="301" spans="1:29" ht="15.75" customHeight="1" x14ac:dyDescent="0.25">
      <c r="A301" s="244"/>
      <c r="B301" s="244"/>
      <c r="C301" s="244"/>
      <c r="D301" s="244"/>
      <c r="E301" s="244"/>
      <c r="F301" s="303"/>
      <c r="G301" s="244"/>
      <c r="H301" s="303"/>
      <c r="I301" s="244"/>
      <c r="J301" s="244"/>
      <c r="K301" s="244"/>
      <c r="L301" s="303"/>
      <c r="M301" s="244"/>
      <c r="N301" s="303"/>
      <c r="O301" s="244"/>
      <c r="P301" s="244"/>
      <c r="Q301" s="244"/>
      <c r="R301" s="244"/>
      <c r="S301" s="244"/>
      <c r="T301" s="244"/>
      <c r="U301" s="244"/>
      <c r="V301" s="244"/>
      <c r="W301" s="244"/>
      <c r="X301" s="244"/>
      <c r="Y301" s="244"/>
      <c r="Z301" s="244"/>
      <c r="AA301" s="244"/>
      <c r="AB301" s="244"/>
      <c r="AC301" s="244"/>
    </row>
    <row r="302" spans="1:29" ht="15.75" customHeight="1" x14ac:dyDescent="0.25">
      <c r="A302" s="244"/>
      <c r="B302" s="244"/>
      <c r="C302" s="244"/>
      <c r="D302" s="244"/>
      <c r="E302" s="244"/>
      <c r="F302" s="303"/>
      <c r="G302" s="244"/>
      <c r="H302" s="303"/>
      <c r="I302" s="244"/>
      <c r="J302" s="244"/>
      <c r="K302" s="244"/>
      <c r="L302" s="303"/>
      <c r="M302" s="244"/>
      <c r="N302" s="303"/>
      <c r="O302" s="244"/>
      <c r="P302" s="244"/>
      <c r="Q302" s="244"/>
      <c r="R302" s="244"/>
      <c r="S302" s="244"/>
      <c r="T302" s="244"/>
      <c r="U302" s="244"/>
      <c r="V302" s="244"/>
      <c r="W302" s="244"/>
      <c r="X302" s="244"/>
      <c r="Y302" s="244"/>
      <c r="Z302" s="244"/>
      <c r="AA302" s="244"/>
      <c r="AB302" s="244"/>
      <c r="AC302" s="244"/>
    </row>
    <row r="303" spans="1:29" ht="15.75" customHeight="1" x14ac:dyDescent="0.25">
      <c r="A303" s="244"/>
      <c r="B303" s="244"/>
      <c r="C303" s="244"/>
      <c r="D303" s="244"/>
      <c r="E303" s="244"/>
      <c r="F303" s="303"/>
      <c r="G303" s="244"/>
      <c r="H303" s="303"/>
      <c r="I303" s="244"/>
      <c r="J303" s="244"/>
      <c r="K303" s="244"/>
      <c r="L303" s="303"/>
      <c r="M303" s="244"/>
      <c r="N303" s="303"/>
      <c r="O303" s="244"/>
      <c r="P303" s="244"/>
      <c r="Q303" s="244"/>
      <c r="R303" s="244"/>
      <c r="S303" s="244"/>
      <c r="T303" s="244"/>
      <c r="U303" s="244"/>
      <c r="V303" s="244"/>
      <c r="W303" s="244"/>
      <c r="X303" s="244"/>
      <c r="Y303" s="244"/>
      <c r="Z303" s="244"/>
      <c r="AA303" s="244"/>
      <c r="AB303" s="244"/>
      <c r="AC303" s="244"/>
    </row>
    <row r="304" spans="1:29" ht="15.75" customHeight="1" x14ac:dyDescent="0.25">
      <c r="A304" s="244"/>
      <c r="B304" s="244"/>
      <c r="C304" s="244"/>
      <c r="D304" s="244"/>
      <c r="E304" s="244"/>
      <c r="F304" s="303"/>
      <c r="G304" s="244"/>
      <c r="H304" s="303"/>
      <c r="I304" s="244"/>
      <c r="J304" s="244"/>
      <c r="K304" s="244"/>
      <c r="L304" s="303"/>
      <c r="M304" s="244"/>
      <c r="N304" s="303"/>
      <c r="O304" s="244"/>
      <c r="P304" s="244"/>
      <c r="Q304" s="244"/>
      <c r="R304" s="244"/>
      <c r="S304" s="244"/>
      <c r="T304" s="244"/>
      <c r="U304" s="244"/>
      <c r="V304" s="244"/>
      <c r="W304" s="244"/>
      <c r="X304" s="244"/>
      <c r="Y304" s="244"/>
      <c r="Z304" s="244"/>
      <c r="AA304" s="244"/>
      <c r="AB304" s="244"/>
      <c r="AC304" s="244"/>
    </row>
    <row r="305" spans="1:29" ht="15.75" customHeight="1" x14ac:dyDescent="0.25">
      <c r="A305" s="244"/>
      <c r="B305" s="244"/>
      <c r="C305" s="244"/>
      <c r="D305" s="244"/>
      <c r="E305" s="244"/>
      <c r="F305" s="303"/>
      <c r="G305" s="244"/>
      <c r="H305" s="303"/>
      <c r="I305" s="244"/>
      <c r="J305" s="244"/>
      <c r="K305" s="244"/>
      <c r="L305" s="303"/>
      <c r="M305" s="244"/>
      <c r="N305" s="303"/>
      <c r="O305" s="244"/>
      <c r="P305" s="244"/>
      <c r="Q305" s="244"/>
      <c r="R305" s="244"/>
      <c r="S305" s="244"/>
      <c r="T305" s="244"/>
      <c r="U305" s="244"/>
      <c r="V305" s="244"/>
      <c r="W305" s="244"/>
      <c r="X305" s="244"/>
      <c r="Y305" s="244"/>
      <c r="Z305" s="244"/>
      <c r="AA305" s="244"/>
      <c r="AB305" s="244"/>
      <c r="AC305" s="244"/>
    </row>
    <row r="306" spans="1:29" ht="15.75" customHeight="1" x14ac:dyDescent="0.25">
      <c r="A306" s="244"/>
      <c r="B306" s="244"/>
      <c r="C306" s="244"/>
      <c r="D306" s="244"/>
      <c r="E306" s="244"/>
      <c r="F306" s="303"/>
      <c r="G306" s="244"/>
      <c r="H306" s="303"/>
      <c r="I306" s="244"/>
      <c r="J306" s="244"/>
      <c r="K306" s="244"/>
      <c r="L306" s="303"/>
      <c r="M306" s="244"/>
      <c r="N306" s="303"/>
      <c r="O306" s="244"/>
      <c r="P306" s="244"/>
      <c r="Q306" s="244"/>
      <c r="R306" s="244"/>
      <c r="S306" s="244"/>
      <c r="T306" s="244"/>
      <c r="U306" s="244"/>
      <c r="V306" s="244"/>
      <c r="W306" s="244"/>
      <c r="X306" s="244"/>
      <c r="Y306" s="244"/>
      <c r="Z306" s="244"/>
      <c r="AA306" s="244"/>
      <c r="AB306" s="244"/>
      <c r="AC306" s="244"/>
    </row>
    <row r="307" spans="1:29" ht="15.75" customHeight="1" x14ac:dyDescent="0.25">
      <c r="A307" s="244"/>
      <c r="B307" s="244"/>
      <c r="C307" s="244"/>
      <c r="D307" s="244"/>
      <c r="E307" s="244"/>
      <c r="F307" s="303"/>
      <c r="G307" s="244"/>
      <c r="H307" s="303"/>
      <c r="I307" s="244"/>
      <c r="J307" s="244"/>
      <c r="K307" s="244"/>
      <c r="L307" s="303"/>
      <c r="M307" s="244"/>
      <c r="N307" s="303"/>
      <c r="O307" s="244"/>
      <c r="P307" s="244"/>
      <c r="Q307" s="244"/>
      <c r="R307" s="244"/>
      <c r="S307" s="244"/>
      <c r="T307" s="244"/>
      <c r="U307" s="244"/>
      <c r="V307" s="244"/>
      <c r="W307" s="244"/>
      <c r="X307" s="244"/>
      <c r="Y307" s="244"/>
      <c r="Z307" s="244"/>
      <c r="AA307" s="244"/>
      <c r="AB307" s="244"/>
      <c r="AC307" s="244"/>
    </row>
    <row r="308" spans="1:29" ht="15.75" customHeight="1" x14ac:dyDescent="0.25">
      <c r="A308" s="244"/>
      <c r="B308" s="244"/>
      <c r="C308" s="244"/>
      <c r="D308" s="244"/>
      <c r="E308" s="244"/>
      <c r="F308" s="303"/>
      <c r="G308" s="244"/>
      <c r="H308" s="303"/>
      <c r="I308" s="244"/>
      <c r="J308" s="244"/>
      <c r="K308" s="244"/>
      <c r="L308" s="303"/>
      <c r="M308" s="244"/>
      <c r="N308" s="303"/>
      <c r="O308" s="244"/>
      <c r="P308" s="244"/>
      <c r="Q308" s="244"/>
      <c r="R308" s="244"/>
      <c r="S308" s="244"/>
      <c r="T308" s="244"/>
      <c r="U308" s="244"/>
      <c r="V308" s="244"/>
      <c r="W308" s="244"/>
      <c r="X308" s="244"/>
      <c r="Y308" s="244"/>
      <c r="Z308" s="244"/>
      <c r="AA308" s="244"/>
      <c r="AB308" s="244"/>
      <c r="AC308" s="244"/>
    </row>
    <row r="309" spans="1:29" ht="15.75" customHeight="1" x14ac:dyDescent="0.25">
      <c r="A309" s="244"/>
      <c r="B309" s="244"/>
      <c r="C309" s="244"/>
      <c r="D309" s="244"/>
      <c r="E309" s="244"/>
      <c r="F309" s="303"/>
      <c r="G309" s="244"/>
      <c r="H309" s="303"/>
      <c r="I309" s="244"/>
      <c r="J309" s="244"/>
      <c r="K309" s="244"/>
      <c r="L309" s="303"/>
      <c r="M309" s="244"/>
      <c r="N309" s="303"/>
      <c r="O309" s="244"/>
      <c r="P309" s="244"/>
      <c r="Q309" s="244"/>
      <c r="R309" s="244"/>
      <c r="S309" s="244"/>
      <c r="T309" s="244"/>
      <c r="U309" s="244"/>
      <c r="V309" s="244"/>
      <c r="W309" s="244"/>
      <c r="X309" s="244"/>
      <c r="Y309" s="244"/>
      <c r="Z309" s="244"/>
      <c r="AA309" s="244"/>
      <c r="AB309" s="244"/>
      <c r="AC309" s="244"/>
    </row>
    <row r="310" spans="1:29" ht="15.75" customHeight="1" x14ac:dyDescent="0.25">
      <c r="A310" s="244"/>
      <c r="B310" s="244"/>
      <c r="C310" s="244"/>
      <c r="D310" s="244"/>
      <c r="E310" s="244"/>
      <c r="F310" s="303"/>
      <c r="G310" s="244"/>
      <c r="H310" s="303"/>
      <c r="I310" s="244"/>
      <c r="J310" s="244"/>
      <c r="K310" s="244"/>
      <c r="L310" s="303"/>
      <c r="M310" s="244"/>
      <c r="N310" s="303"/>
      <c r="O310" s="244"/>
      <c r="P310" s="244"/>
      <c r="Q310" s="244"/>
      <c r="R310" s="244"/>
      <c r="S310" s="244"/>
      <c r="T310" s="244"/>
      <c r="U310" s="244"/>
      <c r="V310" s="244"/>
      <c r="W310" s="244"/>
      <c r="X310" s="244"/>
      <c r="Y310" s="244"/>
      <c r="Z310" s="244"/>
      <c r="AA310" s="244"/>
      <c r="AB310" s="244"/>
      <c r="AC310" s="244"/>
    </row>
    <row r="311" spans="1:29" ht="15.75" customHeight="1" x14ac:dyDescent="0.25">
      <c r="A311" s="244"/>
      <c r="B311" s="244"/>
      <c r="C311" s="244"/>
      <c r="D311" s="244"/>
      <c r="E311" s="244"/>
      <c r="F311" s="303"/>
      <c r="G311" s="244"/>
      <c r="H311" s="303"/>
      <c r="I311" s="244"/>
      <c r="J311" s="244"/>
      <c r="K311" s="244"/>
      <c r="L311" s="303"/>
      <c r="M311" s="244"/>
      <c r="N311" s="303"/>
      <c r="O311" s="244"/>
      <c r="P311" s="244"/>
      <c r="Q311" s="244"/>
      <c r="R311" s="244"/>
      <c r="S311" s="244"/>
      <c r="T311" s="244"/>
      <c r="U311" s="244"/>
      <c r="V311" s="244"/>
      <c r="W311" s="244"/>
      <c r="X311" s="244"/>
      <c r="Y311" s="244"/>
      <c r="Z311" s="244"/>
      <c r="AA311" s="244"/>
      <c r="AB311" s="244"/>
      <c r="AC311" s="244"/>
    </row>
    <row r="312" spans="1:29" ht="15.75" customHeight="1" x14ac:dyDescent="0.25">
      <c r="A312" s="244"/>
      <c r="B312" s="244"/>
      <c r="C312" s="244"/>
      <c r="D312" s="244"/>
      <c r="E312" s="244"/>
      <c r="F312" s="303"/>
      <c r="G312" s="244"/>
      <c r="H312" s="303"/>
      <c r="I312" s="244"/>
      <c r="J312" s="244"/>
      <c r="K312" s="244"/>
      <c r="L312" s="303"/>
      <c r="M312" s="244"/>
      <c r="N312" s="303"/>
      <c r="O312" s="244"/>
      <c r="P312" s="244"/>
      <c r="Q312" s="244"/>
      <c r="R312" s="244"/>
      <c r="S312" s="244"/>
      <c r="T312" s="244"/>
      <c r="U312" s="244"/>
      <c r="V312" s="244"/>
      <c r="W312" s="244"/>
      <c r="X312" s="244"/>
      <c r="Y312" s="244"/>
      <c r="Z312" s="244"/>
      <c r="AA312" s="244"/>
      <c r="AB312" s="244"/>
      <c r="AC312" s="244"/>
    </row>
    <row r="313" spans="1:29" ht="15.75" customHeight="1" x14ac:dyDescent="0.25">
      <c r="A313" s="244"/>
      <c r="B313" s="244"/>
      <c r="C313" s="244"/>
      <c r="D313" s="244"/>
      <c r="E313" s="244"/>
      <c r="F313" s="303"/>
      <c r="G313" s="244"/>
      <c r="H313" s="303"/>
      <c r="I313" s="244"/>
      <c r="J313" s="244"/>
      <c r="K313" s="244"/>
      <c r="L313" s="303"/>
      <c r="M313" s="244"/>
      <c r="N313" s="303"/>
      <c r="O313" s="244"/>
      <c r="P313" s="244"/>
      <c r="Q313" s="244"/>
      <c r="R313" s="244"/>
      <c r="S313" s="244"/>
      <c r="T313" s="244"/>
      <c r="U313" s="244"/>
      <c r="V313" s="244"/>
      <c r="W313" s="244"/>
      <c r="X313" s="244"/>
      <c r="Y313" s="244"/>
      <c r="Z313" s="244"/>
      <c r="AA313" s="244"/>
      <c r="AB313" s="244"/>
      <c r="AC313" s="244"/>
    </row>
    <row r="314" spans="1:29" ht="15.75" customHeight="1" x14ac:dyDescent="0.25">
      <c r="A314" s="244"/>
      <c r="B314" s="244"/>
      <c r="C314" s="244"/>
      <c r="D314" s="244"/>
      <c r="E314" s="244"/>
      <c r="F314" s="303"/>
      <c r="G314" s="244"/>
      <c r="H314" s="303"/>
      <c r="I314" s="244"/>
      <c r="J314" s="244"/>
      <c r="K314" s="244"/>
      <c r="L314" s="303"/>
      <c r="M314" s="244"/>
      <c r="N314" s="303"/>
      <c r="O314" s="244"/>
      <c r="P314" s="244"/>
      <c r="Q314" s="244"/>
      <c r="R314" s="244"/>
      <c r="S314" s="244"/>
      <c r="T314" s="244"/>
      <c r="U314" s="244"/>
      <c r="V314" s="244"/>
      <c r="W314" s="244"/>
      <c r="X314" s="244"/>
      <c r="Y314" s="244"/>
      <c r="Z314" s="244"/>
      <c r="AA314" s="244"/>
      <c r="AB314" s="244"/>
      <c r="AC314" s="244"/>
    </row>
    <row r="315" spans="1:29" ht="15.75" customHeight="1" x14ac:dyDescent="0.25">
      <c r="A315" s="244"/>
      <c r="B315" s="244"/>
      <c r="C315" s="244"/>
      <c r="D315" s="244"/>
      <c r="E315" s="244"/>
      <c r="F315" s="303"/>
      <c r="G315" s="244"/>
      <c r="H315" s="303"/>
      <c r="I315" s="244"/>
      <c r="J315" s="244"/>
      <c r="K315" s="244"/>
      <c r="L315" s="303"/>
      <c r="M315" s="244"/>
      <c r="N315" s="303"/>
      <c r="O315" s="244"/>
      <c r="P315" s="244"/>
      <c r="Q315" s="244"/>
      <c r="R315" s="244"/>
      <c r="S315" s="244"/>
      <c r="T315" s="244"/>
      <c r="U315" s="244"/>
      <c r="V315" s="244"/>
      <c r="W315" s="244"/>
      <c r="X315" s="244"/>
      <c r="Y315" s="244"/>
      <c r="Z315" s="244"/>
      <c r="AA315" s="244"/>
      <c r="AB315" s="244"/>
      <c r="AC315" s="244"/>
    </row>
    <row r="316" spans="1:29" ht="15.75" customHeight="1" x14ac:dyDescent="0.25">
      <c r="A316" s="244"/>
      <c r="B316" s="244"/>
      <c r="C316" s="244"/>
      <c r="D316" s="244"/>
      <c r="E316" s="244"/>
      <c r="F316" s="303"/>
      <c r="G316" s="244"/>
      <c r="H316" s="303"/>
      <c r="I316" s="244"/>
      <c r="J316" s="244"/>
      <c r="K316" s="244"/>
      <c r="L316" s="303"/>
      <c r="M316" s="244"/>
      <c r="N316" s="303"/>
      <c r="O316" s="244"/>
      <c r="P316" s="244"/>
      <c r="Q316" s="244"/>
      <c r="R316" s="244"/>
      <c r="S316" s="244"/>
      <c r="T316" s="244"/>
      <c r="U316" s="244"/>
      <c r="V316" s="244"/>
      <c r="W316" s="244"/>
      <c r="X316" s="244"/>
      <c r="Y316" s="244"/>
      <c r="Z316" s="244"/>
      <c r="AA316" s="244"/>
      <c r="AB316" s="244"/>
      <c r="AC316" s="244"/>
    </row>
    <row r="317" spans="1:29" ht="15.75" customHeight="1" x14ac:dyDescent="0.25">
      <c r="A317" s="244"/>
      <c r="B317" s="244"/>
      <c r="C317" s="244"/>
      <c r="D317" s="244"/>
      <c r="E317" s="244"/>
      <c r="F317" s="303"/>
      <c r="G317" s="244"/>
      <c r="H317" s="303"/>
      <c r="I317" s="244"/>
      <c r="J317" s="244"/>
      <c r="K317" s="244"/>
      <c r="L317" s="303"/>
      <c r="M317" s="244"/>
      <c r="N317" s="303"/>
      <c r="O317" s="244"/>
      <c r="P317" s="244"/>
      <c r="Q317" s="244"/>
      <c r="R317" s="244"/>
      <c r="S317" s="244"/>
      <c r="T317" s="244"/>
      <c r="U317" s="244"/>
      <c r="V317" s="244"/>
      <c r="W317" s="244"/>
      <c r="X317" s="244"/>
      <c r="Y317" s="244"/>
      <c r="Z317" s="244"/>
      <c r="AA317" s="244"/>
      <c r="AB317" s="244"/>
      <c r="AC317" s="244"/>
    </row>
    <row r="318" spans="1:29" ht="15.75" customHeight="1" x14ac:dyDescent="0.25">
      <c r="A318" s="244"/>
      <c r="B318" s="244"/>
      <c r="C318" s="244"/>
      <c r="D318" s="244"/>
      <c r="E318" s="244"/>
      <c r="F318" s="303"/>
      <c r="G318" s="244"/>
      <c r="H318" s="303"/>
      <c r="I318" s="244"/>
      <c r="J318" s="244"/>
      <c r="K318" s="244"/>
      <c r="L318" s="303"/>
      <c r="M318" s="244"/>
      <c r="N318" s="303"/>
      <c r="O318" s="244"/>
      <c r="P318" s="244"/>
      <c r="Q318" s="244"/>
      <c r="R318" s="244"/>
      <c r="S318" s="244"/>
      <c r="T318" s="244"/>
      <c r="U318" s="244"/>
      <c r="V318" s="244"/>
      <c r="W318" s="244"/>
      <c r="X318" s="244"/>
      <c r="Y318" s="244"/>
      <c r="Z318" s="244"/>
      <c r="AA318" s="244"/>
      <c r="AB318" s="244"/>
      <c r="AC318" s="244"/>
    </row>
    <row r="319" spans="1:29" ht="15.75" customHeight="1" x14ac:dyDescent="0.25">
      <c r="A319" s="244"/>
      <c r="B319" s="244"/>
      <c r="C319" s="244"/>
      <c r="D319" s="244"/>
      <c r="E319" s="244"/>
      <c r="F319" s="303"/>
      <c r="G319" s="244"/>
      <c r="H319" s="303"/>
      <c r="I319" s="244"/>
      <c r="J319" s="244"/>
      <c r="K319" s="244"/>
      <c r="L319" s="303"/>
      <c r="M319" s="244"/>
      <c r="N319" s="303"/>
      <c r="O319" s="244"/>
      <c r="P319" s="244"/>
      <c r="Q319" s="244"/>
      <c r="R319" s="244"/>
      <c r="S319" s="244"/>
      <c r="T319" s="244"/>
      <c r="U319" s="244"/>
      <c r="V319" s="244"/>
      <c r="W319" s="244"/>
      <c r="X319" s="244"/>
      <c r="Y319" s="244"/>
      <c r="Z319" s="244"/>
      <c r="AA319" s="244"/>
      <c r="AB319" s="244"/>
      <c r="AC319" s="244"/>
    </row>
    <row r="320" spans="1:29" ht="15.75" customHeight="1" x14ac:dyDescent="0.25">
      <c r="A320" s="244"/>
      <c r="B320" s="244"/>
      <c r="C320" s="244"/>
      <c r="D320" s="244"/>
      <c r="E320" s="244"/>
      <c r="F320" s="303"/>
      <c r="G320" s="244"/>
      <c r="H320" s="303"/>
      <c r="I320" s="244"/>
      <c r="J320" s="244"/>
      <c r="K320" s="244"/>
      <c r="L320" s="303"/>
      <c r="M320" s="244"/>
      <c r="N320" s="303"/>
      <c r="O320" s="244"/>
      <c r="P320" s="244"/>
      <c r="Q320" s="244"/>
      <c r="R320" s="244"/>
      <c r="S320" s="244"/>
      <c r="T320" s="244"/>
      <c r="U320" s="244"/>
      <c r="V320" s="244"/>
      <c r="W320" s="244"/>
      <c r="X320" s="244"/>
      <c r="Y320" s="244"/>
      <c r="Z320" s="244"/>
      <c r="AA320" s="244"/>
      <c r="AB320" s="244"/>
      <c r="AC320" s="244"/>
    </row>
    <row r="321" spans="1:29" ht="15.75" customHeight="1" x14ac:dyDescent="0.25">
      <c r="A321" s="244"/>
      <c r="B321" s="244"/>
      <c r="C321" s="244"/>
      <c r="D321" s="244"/>
      <c r="E321" s="244"/>
      <c r="F321" s="303"/>
      <c r="G321" s="244"/>
      <c r="H321" s="303"/>
      <c r="I321" s="244"/>
      <c r="J321" s="244"/>
      <c r="K321" s="244"/>
      <c r="L321" s="303"/>
      <c r="M321" s="244"/>
      <c r="N321" s="303"/>
      <c r="O321" s="244"/>
      <c r="P321" s="244"/>
      <c r="Q321" s="244"/>
      <c r="R321" s="244"/>
      <c r="S321" s="244"/>
      <c r="T321" s="244"/>
      <c r="U321" s="244"/>
      <c r="V321" s="244"/>
      <c r="W321" s="244"/>
      <c r="X321" s="244"/>
      <c r="Y321" s="244"/>
      <c r="Z321" s="244"/>
      <c r="AA321" s="244"/>
      <c r="AB321" s="244"/>
      <c r="AC321" s="244"/>
    </row>
    <row r="322" spans="1:29" ht="15.75" customHeight="1" x14ac:dyDescent="0.25">
      <c r="A322" s="244"/>
      <c r="B322" s="244"/>
      <c r="C322" s="244"/>
      <c r="D322" s="244"/>
      <c r="E322" s="244"/>
      <c r="F322" s="303"/>
      <c r="G322" s="244"/>
      <c r="H322" s="303"/>
      <c r="I322" s="244"/>
      <c r="J322" s="244"/>
      <c r="K322" s="244"/>
      <c r="L322" s="303"/>
      <c r="M322" s="244"/>
      <c r="N322" s="303"/>
      <c r="O322" s="244"/>
      <c r="P322" s="244"/>
      <c r="Q322" s="244"/>
      <c r="R322" s="244"/>
      <c r="S322" s="244"/>
      <c r="T322" s="244"/>
      <c r="U322" s="244"/>
      <c r="V322" s="244"/>
      <c r="W322" s="244"/>
      <c r="X322" s="244"/>
      <c r="Y322" s="244"/>
      <c r="Z322" s="244"/>
      <c r="AA322" s="244"/>
      <c r="AB322" s="244"/>
      <c r="AC322" s="244"/>
    </row>
    <row r="323" spans="1:29" ht="15.75" customHeight="1" x14ac:dyDescent="0.25">
      <c r="A323" s="244"/>
      <c r="B323" s="244"/>
      <c r="C323" s="244"/>
      <c r="D323" s="244"/>
      <c r="E323" s="244"/>
      <c r="F323" s="303"/>
      <c r="G323" s="244"/>
      <c r="H323" s="303"/>
      <c r="I323" s="244"/>
      <c r="J323" s="244"/>
      <c r="K323" s="244"/>
      <c r="L323" s="303"/>
      <c r="M323" s="244"/>
      <c r="N323" s="303"/>
      <c r="O323" s="244"/>
      <c r="P323" s="244"/>
      <c r="Q323" s="244"/>
      <c r="R323" s="244"/>
      <c r="S323" s="244"/>
      <c r="T323" s="244"/>
      <c r="U323" s="244"/>
      <c r="V323" s="244"/>
      <c r="W323" s="244"/>
      <c r="X323" s="244"/>
      <c r="Y323" s="244"/>
      <c r="Z323" s="244"/>
      <c r="AA323" s="244"/>
      <c r="AB323" s="244"/>
      <c r="AC323" s="244"/>
    </row>
    <row r="324" spans="1:29" ht="15.75" customHeight="1" x14ac:dyDescent="0.25">
      <c r="A324" s="244"/>
      <c r="B324" s="244"/>
      <c r="C324" s="244"/>
      <c r="D324" s="244"/>
      <c r="E324" s="244"/>
      <c r="F324" s="303"/>
      <c r="G324" s="244"/>
      <c r="H324" s="303"/>
      <c r="I324" s="244"/>
      <c r="J324" s="244"/>
      <c r="K324" s="244"/>
      <c r="L324" s="303"/>
      <c r="M324" s="244"/>
      <c r="N324" s="303"/>
      <c r="O324" s="244"/>
      <c r="P324" s="244"/>
      <c r="Q324" s="244"/>
      <c r="R324" s="244"/>
      <c r="S324" s="244"/>
      <c r="T324" s="244"/>
      <c r="U324" s="244"/>
      <c r="V324" s="244"/>
      <c r="W324" s="244"/>
      <c r="X324" s="244"/>
      <c r="Y324" s="244"/>
      <c r="Z324" s="244"/>
      <c r="AA324" s="244"/>
      <c r="AB324" s="244"/>
      <c r="AC324" s="244"/>
    </row>
    <row r="325" spans="1:29" ht="15.75" customHeight="1" x14ac:dyDescent="0.25">
      <c r="A325" s="244"/>
      <c r="B325" s="244"/>
      <c r="C325" s="244"/>
      <c r="D325" s="244"/>
      <c r="E325" s="244"/>
      <c r="F325" s="303"/>
      <c r="G325" s="244"/>
      <c r="H325" s="303"/>
      <c r="I325" s="244"/>
      <c r="J325" s="244"/>
      <c r="K325" s="244"/>
      <c r="L325" s="303"/>
      <c r="M325" s="244"/>
      <c r="N325" s="303"/>
      <c r="O325" s="244"/>
      <c r="P325" s="244"/>
      <c r="Q325" s="244"/>
      <c r="R325" s="244"/>
      <c r="S325" s="244"/>
      <c r="T325" s="244"/>
      <c r="U325" s="244"/>
      <c r="V325" s="244"/>
      <c r="W325" s="244"/>
      <c r="X325" s="244"/>
      <c r="Y325" s="244"/>
      <c r="Z325" s="244"/>
      <c r="AA325" s="244"/>
      <c r="AB325" s="244"/>
      <c r="AC325" s="244"/>
    </row>
    <row r="326" spans="1:29" ht="15.75" customHeight="1" x14ac:dyDescent="0.25">
      <c r="A326" s="244"/>
      <c r="B326" s="244"/>
      <c r="C326" s="244"/>
      <c r="D326" s="244"/>
      <c r="E326" s="244"/>
      <c r="F326" s="303"/>
      <c r="G326" s="244"/>
      <c r="H326" s="303"/>
      <c r="I326" s="244"/>
      <c r="J326" s="244"/>
      <c r="K326" s="244"/>
      <c r="L326" s="303"/>
      <c r="M326" s="244"/>
      <c r="N326" s="303"/>
      <c r="O326" s="244"/>
      <c r="P326" s="244"/>
      <c r="Q326" s="244"/>
      <c r="R326" s="244"/>
      <c r="S326" s="244"/>
      <c r="T326" s="244"/>
      <c r="U326" s="244"/>
      <c r="V326" s="244"/>
      <c r="W326" s="244"/>
      <c r="X326" s="244"/>
      <c r="Y326" s="244"/>
      <c r="Z326" s="244"/>
      <c r="AA326" s="244"/>
      <c r="AB326" s="244"/>
      <c r="AC326" s="244"/>
    </row>
    <row r="327" spans="1:29" ht="15.75" customHeight="1" x14ac:dyDescent="0.25">
      <c r="A327" s="244"/>
      <c r="B327" s="244"/>
      <c r="C327" s="244"/>
      <c r="D327" s="244"/>
      <c r="E327" s="244"/>
      <c r="F327" s="303"/>
      <c r="G327" s="244"/>
      <c r="H327" s="303"/>
      <c r="I327" s="244"/>
      <c r="J327" s="244"/>
      <c r="K327" s="244"/>
      <c r="L327" s="303"/>
      <c r="M327" s="244"/>
      <c r="N327" s="303"/>
      <c r="O327" s="244"/>
      <c r="P327" s="244"/>
      <c r="Q327" s="244"/>
      <c r="R327" s="244"/>
      <c r="S327" s="244"/>
      <c r="T327" s="244"/>
      <c r="U327" s="244"/>
      <c r="V327" s="244"/>
      <c r="W327" s="244"/>
      <c r="X327" s="244"/>
      <c r="Y327" s="244"/>
      <c r="Z327" s="244"/>
      <c r="AA327" s="244"/>
      <c r="AB327" s="244"/>
      <c r="AC327" s="244"/>
    </row>
    <row r="328" spans="1:29" ht="15.75" customHeight="1" x14ac:dyDescent="0.25">
      <c r="A328" s="244"/>
      <c r="B328" s="244"/>
      <c r="C328" s="244"/>
      <c r="D328" s="244"/>
      <c r="E328" s="244"/>
      <c r="F328" s="303"/>
      <c r="G328" s="244"/>
      <c r="H328" s="303"/>
      <c r="I328" s="244"/>
      <c r="J328" s="244"/>
      <c r="K328" s="244"/>
      <c r="L328" s="303"/>
      <c r="M328" s="244"/>
      <c r="N328" s="303"/>
      <c r="O328" s="244"/>
      <c r="P328" s="244"/>
      <c r="Q328" s="244"/>
      <c r="R328" s="244"/>
      <c r="S328" s="244"/>
      <c r="T328" s="244"/>
      <c r="U328" s="244"/>
      <c r="V328" s="244"/>
      <c r="W328" s="244"/>
      <c r="X328" s="244"/>
      <c r="Y328" s="244"/>
      <c r="Z328" s="244"/>
      <c r="AA328" s="244"/>
      <c r="AB328" s="244"/>
      <c r="AC328" s="244"/>
    </row>
    <row r="329" spans="1:29" ht="15.75" customHeight="1" x14ac:dyDescent="0.25">
      <c r="A329" s="244"/>
      <c r="B329" s="244"/>
      <c r="C329" s="244"/>
      <c r="D329" s="244"/>
      <c r="E329" s="244"/>
      <c r="F329" s="303"/>
      <c r="G329" s="244"/>
      <c r="H329" s="303"/>
      <c r="I329" s="244"/>
      <c r="J329" s="244"/>
      <c r="K329" s="244"/>
      <c r="L329" s="303"/>
      <c r="M329" s="244"/>
      <c r="N329" s="303"/>
      <c r="O329" s="244"/>
      <c r="P329" s="244"/>
      <c r="Q329" s="244"/>
      <c r="R329" s="244"/>
      <c r="S329" s="244"/>
      <c r="T329" s="244"/>
      <c r="U329" s="244"/>
      <c r="V329" s="244"/>
      <c r="W329" s="244"/>
      <c r="X329" s="244"/>
      <c r="Y329" s="244"/>
      <c r="Z329" s="244"/>
      <c r="AA329" s="244"/>
      <c r="AB329" s="244"/>
      <c r="AC329" s="244"/>
    </row>
    <row r="330" spans="1:29" ht="15.75" customHeight="1" x14ac:dyDescent="0.25">
      <c r="A330" s="244"/>
      <c r="B330" s="244"/>
      <c r="C330" s="244"/>
      <c r="D330" s="244"/>
      <c r="E330" s="244"/>
      <c r="F330" s="303"/>
      <c r="G330" s="244"/>
      <c r="H330" s="303"/>
      <c r="I330" s="244"/>
      <c r="J330" s="244"/>
      <c r="K330" s="244"/>
      <c r="L330" s="303"/>
      <c r="M330" s="244"/>
      <c r="N330" s="303"/>
      <c r="O330" s="244"/>
      <c r="P330" s="244"/>
      <c r="Q330" s="244"/>
      <c r="R330" s="244"/>
      <c r="S330" s="244"/>
      <c r="T330" s="244"/>
      <c r="U330" s="244"/>
      <c r="V330" s="244"/>
      <c r="W330" s="244"/>
      <c r="X330" s="244"/>
      <c r="Y330" s="244"/>
      <c r="Z330" s="244"/>
      <c r="AA330" s="244"/>
      <c r="AB330" s="244"/>
      <c r="AC330" s="244"/>
    </row>
    <row r="331" spans="1:29" ht="15.75" customHeight="1" x14ac:dyDescent="0.25">
      <c r="A331" s="244"/>
      <c r="B331" s="244"/>
      <c r="C331" s="244"/>
      <c r="D331" s="244"/>
      <c r="E331" s="244"/>
      <c r="F331" s="303"/>
      <c r="G331" s="244"/>
      <c r="H331" s="303"/>
      <c r="I331" s="244"/>
      <c r="J331" s="244"/>
      <c r="K331" s="244"/>
      <c r="L331" s="303"/>
      <c r="M331" s="244"/>
      <c r="N331" s="303"/>
      <c r="O331" s="244"/>
      <c r="P331" s="244"/>
      <c r="Q331" s="244"/>
      <c r="R331" s="244"/>
      <c r="S331" s="244"/>
      <c r="T331" s="244"/>
      <c r="U331" s="244"/>
      <c r="V331" s="244"/>
      <c r="W331" s="244"/>
      <c r="X331" s="244"/>
      <c r="Y331" s="244"/>
      <c r="Z331" s="244"/>
      <c r="AA331" s="244"/>
      <c r="AB331" s="244"/>
      <c r="AC331" s="244"/>
    </row>
    <row r="332" spans="1:29" ht="15.75" customHeight="1" x14ac:dyDescent="0.25">
      <c r="A332" s="244"/>
      <c r="B332" s="244"/>
      <c r="C332" s="244"/>
      <c r="D332" s="244"/>
      <c r="E332" s="244"/>
      <c r="F332" s="303"/>
      <c r="G332" s="244"/>
      <c r="H332" s="303"/>
      <c r="I332" s="244"/>
      <c r="J332" s="244"/>
      <c r="K332" s="244"/>
      <c r="L332" s="303"/>
      <c r="M332" s="244"/>
      <c r="N332" s="303"/>
      <c r="O332" s="244"/>
      <c r="P332" s="244"/>
      <c r="Q332" s="244"/>
      <c r="R332" s="244"/>
      <c r="S332" s="244"/>
      <c r="T332" s="244"/>
      <c r="U332" s="244"/>
      <c r="V332" s="244"/>
      <c r="W332" s="244"/>
      <c r="X332" s="244"/>
      <c r="Y332" s="244"/>
      <c r="Z332" s="244"/>
      <c r="AA332" s="244"/>
      <c r="AB332" s="244"/>
      <c r="AC332" s="244"/>
    </row>
    <row r="333" spans="1:29" ht="15.75" customHeight="1" x14ac:dyDescent="0.25">
      <c r="A333" s="244"/>
      <c r="B333" s="244"/>
      <c r="C333" s="244"/>
      <c r="D333" s="244"/>
      <c r="E333" s="244"/>
      <c r="F333" s="303"/>
      <c r="G333" s="244"/>
      <c r="H333" s="303"/>
      <c r="I333" s="244"/>
      <c r="J333" s="244"/>
      <c r="K333" s="244"/>
      <c r="L333" s="303"/>
      <c r="M333" s="244"/>
      <c r="N333" s="303"/>
      <c r="O333" s="244"/>
      <c r="P333" s="244"/>
      <c r="Q333" s="244"/>
      <c r="R333" s="244"/>
      <c r="S333" s="244"/>
      <c r="T333" s="244"/>
      <c r="U333" s="244"/>
      <c r="V333" s="244"/>
      <c r="W333" s="244"/>
      <c r="X333" s="244"/>
      <c r="Y333" s="244"/>
      <c r="Z333" s="244"/>
      <c r="AA333" s="244"/>
      <c r="AB333" s="244"/>
      <c r="AC333" s="244"/>
    </row>
    <row r="334" spans="1:29" ht="15.75" customHeight="1" x14ac:dyDescent="0.25">
      <c r="A334" s="244"/>
      <c r="B334" s="244"/>
      <c r="C334" s="244"/>
      <c r="D334" s="244"/>
      <c r="E334" s="244"/>
      <c r="F334" s="303"/>
      <c r="G334" s="244"/>
      <c r="H334" s="303"/>
      <c r="I334" s="244"/>
      <c r="J334" s="244"/>
      <c r="K334" s="244"/>
      <c r="L334" s="303"/>
      <c r="M334" s="244"/>
      <c r="N334" s="303"/>
      <c r="O334" s="244"/>
      <c r="P334" s="244"/>
      <c r="Q334" s="244"/>
      <c r="R334" s="244"/>
      <c r="S334" s="244"/>
      <c r="T334" s="244"/>
      <c r="U334" s="244"/>
      <c r="V334" s="244"/>
      <c r="W334" s="244"/>
      <c r="X334" s="244"/>
      <c r="Y334" s="244"/>
      <c r="Z334" s="244"/>
      <c r="AA334" s="244"/>
      <c r="AB334" s="244"/>
      <c r="AC334" s="244"/>
    </row>
    <row r="335" spans="1:29" ht="15.75" customHeight="1" x14ac:dyDescent="0.25">
      <c r="A335" s="244"/>
      <c r="B335" s="244"/>
      <c r="C335" s="244"/>
      <c r="D335" s="244"/>
      <c r="E335" s="244"/>
      <c r="F335" s="303"/>
      <c r="G335" s="244"/>
      <c r="H335" s="303"/>
      <c r="I335" s="244"/>
      <c r="J335" s="244"/>
      <c r="K335" s="244"/>
      <c r="L335" s="303"/>
      <c r="M335" s="244"/>
      <c r="N335" s="303"/>
      <c r="O335" s="244"/>
      <c r="P335" s="244"/>
      <c r="Q335" s="244"/>
      <c r="R335" s="244"/>
      <c r="S335" s="244"/>
      <c r="T335" s="244"/>
      <c r="U335" s="244"/>
      <c r="V335" s="244"/>
      <c r="W335" s="244"/>
      <c r="X335" s="244"/>
      <c r="Y335" s="244"/>
      <c r="Z335" s="244"/>
      <c r="AA335" s="244"/>
      <c r="AB335" s="244"/>
      <c r="AC335" s="244"/>
    </row>
    <row r="336" spans="1:29" ht="15.75" customHeight="1" x14ac:dyDescent="0.25">
      <c r="A336" s="244"/>
      <c r="B336" s="244"/>
      <c r="C336" s="244"/>
      <c r="D336" s="244"/>
      <c r="E336" s="244"/>
      <c r="F336" s="303"/>
      <c r="G336" s="244"/>
      <c r="H336" s="303"/>
      <c r="I336" s="244"/>
      <c r="J336" s="244"/>
      <c r="K336" s="244"/>
      <c r="L336" s="303"/>
      <c r="M336" s="244"/>
      <c r="N336" s="303"/>
      <c r="O336" s="244"/>
      <c r="P336" s="244"/>
      <c r="Q336" s="244"/>
      <c r="R336" s="244"/>
      <c r="S336" s="244"/>
      <c r="T336" s="244"/>
      <c r="U336" s="244"/>
      <c r="V336" s="244"/>
      <c r="W336" s="244"/>
      <c r="X336" s="244"/>
      <c r="Y336" s="244"/>
      <c r="Z336" s="244"/>
      <c r="AA336" s="244"/>
      <c r="AB336" s="244"/>
      <c r="AC336" s="244"/>
    </row>
    <row r="337" spans="1:29" ht="15.75" customHeight="1" x14ac:dyDescent="0.25">
      <c r="A337" s="244"/>
      <c r="B337" s="244"/>
      <c r="C337" s="244"/>
      <c r="D337" s="244"/>
      <c r="E337" s="244"/>
      <c r="F337" s="303"/>
      <c r="G337" s="244"/>
      <c r="H337" s="303"/>
      <c r="I337" s="244"/>
      <c r="J337" s="244"/>
      <c r="K337" s="244"/>
      <c r="L337" s="303"/>
      <c r="M337" s="244"/>
      <c r="N337" s="303"/>
      <c r="O337" s="244"/>
      <c r="P337" s="244"/>
      <c r="Q337" s="244"/>
      <c r="R337" s="244"/>
      <c r="S337" s="244"/>
      <c r="T337" s="244"/>
      <c r="U337" s="244"/>
      <c r="V337" s="244"/>
      <c r="W337" s="244"/>
      <c r="X337" s="244"/>
      <c r="Y337" s="244"/>
      <c r="Z337" s="244"/>
      <c r="AA337" s="244"/>
      <c r="AB337" s="244"/>
      <c r="AC337" s="244"/>
    </row>
    <row r="338" spans="1:29" ht="15.75" customHeight="1" x14ac:dyDescent="0.25">
      <c r="A338" s="244"/>
      <c r="B338" s="244"/>
      <c r="C338" s="244"/>
      <c r="D338" s="244"/>
      <c r="E338" s="244"/>
      <c r="F338" s="303"/>
      <c r="G338" s="244"/>
      <c r="H338" s="303"/>
      <c r="I338" s="244"/>
      <c r="J338" s="244"/>
      <c r="K338" s="244"/>
      <c r="L338" s="303"/>
      <c r="M338" s="244"/>
      <c r="N338" s="303"/>
      <c r="O338" s="244"/>
      <c r="P338" s="244"/>
      <c r="Q338" s="244"/>
      <c r="R338" s="244"/>
      <c r="S338" s="244"/>
      <c r="T338" s="244"/>
      <c r="U338" s="244"/>
      <c r="V338" s="244"/>
      <c r="W338" s="244"/>
      <c r="X338" s="244"/>
      <c r="Y338" s="244"/>
      <c r="Z338" s="244"/>
      <c r="AA338" s="244"/>
      <c r="AB338" s="244"/>
      <c r="AC338" s="244"/>
    </row>
    <row r="339" spans="1:29" ht="15.75" customHeight="1" x14ac:dyDescent="0.25">
      <c r="A339" s="244"/>
      <c r="B339" s="244"/>
      <c r="C339" s="244"/>
      <c r="D339" s="244"/>
      <c r="E339" s="244"/>
      <c r="F339" s="303"/>
      <c r="G339" s="244"/>
      <c r="H339" s="303"/>
      <c r="I339" s="244"/>
      <c r="J339" s="244"/>
      <c r="K339" s="244"/>
      <c r="L339" s="303"/>
      <c r="M339" s="244"/>
      <c r="N339" s="303"/>
      <c r="O339" s="244"/>
      <c r="P339" s="244"/>
      <c r="Q339" s="244"/>
      <c r="R339" s="244"/>
      <c r="S339" s="244"/>
      <c r="T339" s="244"/>
      <c r="U339" s="244"/>
      <c r="V339" s="244"/>
      <c r="W339" s="244"/>
      <c r="X339" s="244"/>
      <c r="Y339" s="244"/>
      <c r="Z339" s="244"/>
      <c r="AA339" s="244"/>
      <c r="AB339" s="244"/>
      <c r="AC339" s="244"/>
    </row>
    <row r="340" spans="1:29" ht="15.75" customHeight="1" x14ac:dyDescent="0.25">
      <c r="A340" s="244"/>
      <c r="B340" s="244"/>
      <c r="C340" s="244"/>
      <c r="D340" s="244"/>
      <c r="E340" s="244"/>
      <c r="F340" s="303"/>
      <c r="G340" s="244"/>
      <c r="H340" s="303"/>
      <c r="I340" s="244"/>
      <c r="J340" s="244"/>
      <c r="K340" s="244"/>
      <c r="L340" s="303"/>
      <c r="M340" s="244"/>
      <c r="N340" s="303"/>
      <c r="O340" s="244"/>
      <c r="P340" s="244"/>
      <c r="Q340" s="244"/>
      <c r="R340" s="244"/>
      <c r="S340" s="244"/>
      <c r="T340" s="244"/>
      <c r="U340" s="244"/>
      <c r="V340" s="244"/>
      <c r="W340" s="244"/>
      <c r="X340" s="244"/>
      <c r="Y340" s="244"/>
      <c r="Z340" s="244"/>
      <c r="AA340" s="244"/>
      <c r="AB340" s="244"/>
      <c r="AC340" s="244"/>
    </row>
    <row r="341" spans="1:29" ht="15.75" customHeight="1" x14ac:dyDescent="0.25">
      <c r="A341" s="244"/>
      <c r="B341" s="244"/>
      <c r="C341" s="244"/>
      <c r="D341" s="244"/>
      <c r="E341" s="244"/>
      <c r="F341" s="303"/>
      <c r="G341" s="244"/>
      <c r="H341" s="303"/>
      <c r="I341" s="244"/>
      <c r="J341" s="244"/>
      <c r="K341" s="244"/>
      <c r="L341" s="303"/>
      <c r="M341" s="244"/>
      <c r="N341" s="303"/>
      <c r="O341" s="244"/>
      <c r="P341" s="244"/>
      <c r="Q341" s="244"/>
      <c r="R341" s="244"/>
      <c r="S341" s="244"/>
      <c r="T341" s="244"/>
      <c r="U341" s="244"/>
      <c r="V341" s="244"/>
      <c r="W341" s="244"/>
      <c r="X341" s="244"/>
      <c r="Y341" s="244"/>
      <c r="Z341" s="244"/>
      <c r="AA341" s="244"/>
      <c r="AB341" s="244"/>
      <c r="AC341" s="244"/>
    </row>
    <row r="342" spans="1:29" ht="15.75" customHeight="1" x14ac:dyDescent="0.25">
      <c r="A342" s="244"/>
      <c r="B342" s="244"/>
      <c r="C342" s="244"/>
      <c r="D342" s="244"/>
      <c r="E342" s="244"/>
      <c r="F342" s="303"/>
      <c r="G342" s="244"/>
      <c r="H342" s="303"/>
      <c r="I342" s="244"/>
      <c r="J342" s="244"/>
      <c r="K342" s="244"/>
      <c r="L342" s="303"/>
      <c r="M342" s="244"/>
      <c r="N342" s="303"/>
      <c r="O342" s="244"/>
      <c r="P342" s="244"/>
      <c r="Q342" s="244"/>
      <c r="R342" s="244"/>
      <c r="S342" s="244"/>
      <c r="T342" s="244"/>
      <c r="U342" s="244"/>
      <c r="V342" s="244"/>
      <c r="W342" s="244"/>
      <c r="X342" s="244"/>
      <c r="Y342" s="244"/>
      <c r="Z342" s="244"/>
      <c r="AA342" s="244"/>
      <c r="AB342" s="244"/>
      <c r="AC342" s="244"/>
    </row>
    <row r="343" spans="1:29" ht="15.75" customHeight="1" x14ac:dyDescent="0.2">
      <c r="F343" s="114"/>
      <c r="H343" s="114"/>
      <c r="L343" s="114"/>
      <c r="N343" s="114"/>
    </row>
    <row r="344" spans="1:29" ht="15.75" customHeight="1" x14ac:dyDescent="0.2">
      <c r="F344" s="114"/>
      <c r="H344" s="114"/>
      <c r="L344" s="114"/>
      <c r="N344" s="114"/>
    </row>
    <row r="345" spans="1:29" ht="15.75" customHeight="1" x14ac:dyDescent="0.2">
      <c r="F345" s="114"/>
      <c r="H345" s="114"/>
      <c r="L345" s="114"/>
      <c r="N345" s="114"/>
    </row>
    <row r="346" spans="1:29" ht="15.75" customHeight="1" x14ac:dyDescent="0.2">
      <c r="F346" s="114"/>
      <c r="H346" s="114"/>
      <c r="L346" s="114"/>
      <c r="N346" s="114"/>
    </row>
    <row r="347" spans="1:29" ht="15.75" customHeight="1" x14ac:dyDescent="0.2">
      <c r="F347" s="114"/>
      <c r="H347" s="114"/>
      <c r="L347" s="114"/>
      <c r="N347" s="114"/>
    </row>
    <row r="348" spans="1:29" ht="15.75" customHeight="1" x14ac:dyDescent="0.2">
      <c r="F348" s="114"/>
      <c r="H348" s="114"/>
      <c r="L348" s="114"/>
      <c r="N348" s="114"/>
    </row>
    <row r="349" spans="1:29" ht="15.75" customHeight="1" x14ac:dyDescent="0.2">
      <c r="F349" s="114"/>
      <c r="H349" s="114"/>
      <c r="L349" s="114"/>
      <c r="N349" s="114"/>
    </row>
    <row r="350" spans="1:29" ht="15.75" customHeight="1" x14ac:dyDescent="0.2">
      <c r="F350" s="114"/>
      <c r="H350" s="114"/>
      <c r="L350" s="114"/>
      <c r="N350" s="114"/>
    </row>
    <row r="351" spans="1:29" ht="15.75" customHeight="1" x14ac:dyDescent="0.2">
      <c r="F351" s="114"/>
      <c r="H351" s="114"/>
      <c r="L351" s="114"/>
      <c r="N351" s="114"/>
    </row>
    <row r="352" spans="1:29" ht="15.75" customHeight="1" x14ac:dyDescent="0.2">
      <c r="F352" s="114"/>
      <c r="H352" s="114"/>
      <c r="L352" s="114"/>
      <c r="N352" s="114"/>
    </row>
    <row r="353" spans="6:14" ht="15.75" customHeight="1" x14ac:dyDescent="0.2">
      <c r="F353" s="114"/>
      <c r="H353" s="114"/>
      <c r="L353" s="114"/>
      <c r="N353" s="114"/>
    </row>
    <row r="354" spans="6:14" ht="15.75" customHeight="1" x14ac:dyDescent="0.2">
      <c r="F354" s="114"/>
      <c r="H354" s="114"/>
      <c r="L354" s="114"/>
      <c r="N354" s="114"/>
    </row>
    <row r="355" spans="6:14" ht="15.75" customHeight="1" x14ac:dyDescent="0.2">
      <c r="F355" s="114"/>
      <c r="H355" s="114"/>
      <c r="L355" s="114"/>
      <c r="N355" s="114"/>
    </row>
    <row r="356" spans="6:14" ht="15.75" customHeight="1" x14ac:dyDescent="0.2">
      <c r="F356" s="114"/>
      <c r="H356" s="114"/>
      <c r="L356" s="114"/>
      <c r="N356" s="114"/>
    </row>
    <row r="357" spans="6:14" ht="15.75" customHeight="1" x14ac:dyDescent="0.2">
      <c r="F357" s="114"/>
      <c r="H357" s="114"/>
      <c r="L357" s="114"/>
      <c r="N357" s="114"/>
    </row>
    <row r="358" spans="6:14" ht="15.75" customHeight="1" x14ac:dyDescent="0.2">
      <c r="F358" s="114"/>
      <c r="H358" s="114"/>
      <c r="L358" s="114"/>
      <c r="N358" s="114"/>
    </row>
    <row r="359" spans="6:14" ht="15.75" customHeight="1" x14ac:dyDescent="0.2">
      <c r="F359" s="114"/>
      <c r="H359" s="114"/>
      <c r="L359" s="114"/>
      <c r="N359" s="114"/>
    </row>
    <row r="360" spans="6:14" ht="15.75" customHeight="1" x14ac:dyDescent="0.2">
      <c r="F360" s="114"/>
      <c r="H360" s="114"/>
      <c r="L360" s="114"/>
      <c r="N360" s="114"/>
    </row>
    <row r="361" spans="6:14" ht="15.75" customHeight="1" x14ac:dyDescent="0.2">
      <c r="F361" s="114"/>
      <c r="H361" s="114"/>
      <c r="L361" s="114"/>
      <c r="N361" s="114"/>
    </row>
    <row r="362" spans="6:14" ht="15.75" customHeight="1" x14ac:dyDescent="0.2">
      <c r="F362" s="114"/>
      <c r="H362" s="114"/>
      <c r="L362" s="114"/>
      <c r="N362" s="114"/>
    </row>
    <row r="363" spans="6:14" ht="15.75" customHeight="1" x14ac:dyDescent="0.2">
      <c r="F363" s="114"/>
      <c r="H363" s="114"/>
      <c r="L363" s="114"/>
      <c r="N363" s="114"/>
    </row>
    <row r="364" spans="6:14" ht="15.75" customHeight="1" x14ac:dyDescent="0.2">
      <c r="F364" s="114"/>
      <c r="H364" s="114"/>
      <c r="L364" s="114"/>
      <c r="N364" s="114"/>
    </row>
    <row r="365" spans="6:14" ht="15.75" customHeight="1" x14ac:dyDescent="0.2">
      <c r="F365" s="114"/>
      <c r="H365" s="114"/>
      <c r="L365" s="114"/>
      <c r="N365" s="114"/>
    </row>
    <row r="366" spans="6:14" ht="15.75" customHeight="1" x14ac:dyDescent="0.2">
      <c r="F366" s="114"/>
      <c r="H366" s="114"/>
      <c r="L366" s="114"/>
      <c r="N366" s="114"/>
    </row>
    <row r="367" spans="6:14" ht="15.75" customHeight="1" x14ac:dyDescent="0.2">
      <c r="F367" s="114"/>
      <c r="H367" s="114"/>
      <c r="L367" s="114"/>
      <c r="N367" s="114"/>
    </row>
    <row r="368" spans="6:14" ht="15.75" customHeight="1" x14ac:dyDescent="0.2">
      <c r="F368" s="114"/>
      <c r="H368" s="114"/>
      <c r="L368" s="114"/>
      <c r="N368" s="114"/>
    </row>
    <row r="369" spans="6:14" ht="15.75" customHeight="1" x14ac:dyDescent="0.2">
      <c r="F369" s="114"/>
      <c r="H369" s="114"/>
      <c r="L369" s="114"/>
      <c r="N369" s="114"/>
    </row>
    <row r="370" spans="6:14" ht="15.75" customHeight="1" x14ac:dyDescent="0.2">
      <c r="F370" s="114"/>
      <c r="H370" s="114"/>
      <c r="L370" s="114"/>
      <c r="N370" s="114"/>
    </row>
    <row r="371" spans="6:14" ht="15.75" customHeight="1" x14ac:dyDescent="0.2">
      <c r="F371" s="114"/>
      <c r="H371" s="114"/>
      <c r="L371" s="114"/>
      <c r="N371" s="114"/>
    </row>
    <row r="372" spans="6:14" ht="15.75" customHeight="1" x14ac:dyDescent="0.2">
      <c r="F372" s="114"/>
      <c r="H372" s="114"/>
      <c r="L372" s="114"/>
      <c r="N372" s="114"/>
    </row>
    <row r="373" spans="6:14" ht="15.75" customHeight="1" x14ac:dyDescent="0.2">
      <c r="F373" s="114"/>
      <c r="H373" s="114"/>
      <c r="L373" s="114"/>
      <c r="N373" s="114"/>
    </row>
    <row r="374" spans="6:14" ht="15.75" customHeight="1" x14ac:dyDescent="0.2">
      <c r="F374" s="114"/>
      <c r="H374" s="114"/>
      <c r="L374" s="114"/>
      <c r="N374" s="114"/>
    </row>
    <row r="375" spans="6:14" ht="15.75" customHeight="1" x14ac:dyDescent="0.2">
      <c r="F375" s="114"/>
      <c r="H375" s="114"/>
      <c r="L375" s="114"/>
      <c r="N375" s="114"/>
    </row>
    <row r="376" spans="6:14" ht="15.75" customHeight="1" x14ac:dyDescent="0.2">
      <c r="F376" s="114"/>
      <c r="H376" s="114"/>
      <c r="L376" s="114"/>
      <c r="N376" s="114"/>
    </row>
    <row r="377" spans="6:14" ht="15.75" customHeight="1" x14ac:dyDescent="0.2">
      <c r="F377" s="114"/>
      <c r="H377" s="114"/>
      <c r="L377" s="114"/>
      <c r="N377" s="114"/>
    </row>
    <row r="378" spans="6:14" ht="15.75" customHeight="1" x14ac:dyDescent="0.2">
      <c r="F378" s="114"/>
      <c r="H378" s="114"/>
      <c r="L378" s="114"/>
      <c r="N378" s="114"/>
    </row>
    <row r="379" spans="6:14" ht="15.75" customHeight="1" x14ac:dyDescent="0.2">
      <c r="F379" s="114"/>
      <c r="H379" s="114"/>
      <c r="L379" s="114"/>
      <c r="N379" s="114"/>
    </row>
    <row r="380" spans="6:14" ht="15.75" customHeight="1" x14ac:dyDescent="0.2">
      <c r="F380" s="114"/>
      <c r="H380" s="114"/>
      <c r="L380" s="114"/>
      <c r="N380" s="114"/>
    </row>
    <row r="381" spans="6:14" ht="15.75" customHeight="1" x14ac:dyDescent="0.2">
      <c r="F381" s="114"/>
      <c r="H381" s="114"/>
      <c r="L381" s="114"/>
      <c r="N381" s="114"/>
    </row>
    <row r="382" spans="6:14" ht="15.75" customHeight="1" x14ac:dyDescent="0.2">
      <c r="F382" s="114"/>
      <c r="H382" s="114"/>
      <c r="L382" s="114"/>
      <c r="N382" s="114"/>
    </row>
    <row r="383" spans="6:14" ht="15.75" customHeight="1" x14ac:dyDescent="0.2">
      <c r="F383" s="114"/>
      <c r="H383" s="114"/>
      <c r="L383" s="114"/>
      <c r="N383" s="114"/>
    </row>
    <row r="384" spans="6:14" ht="15.75" customHeight="1" x14ac:dyDescent="0.2">
      <c r="F384" s="114"/>
      <c r="H384" s="114"/>
      <c r="L384" s="114"/>
      <c r="N384" s="114"/>
    </row>
    <row r="385" spans="6:14" ht="15.75" customHeight="1" x14ac:dyDescent="0.2">
      <c r="F385" s="114"/>
      <c r="H385" s="114"/>
      <c r="L385" s="114"/>
      <c r="N385" s="114"/>
    </row>
    <row r="386" spans="6:14" ht="15.75" customHeight="1" x14ac:dyDescent="0.2">
      <c r="F386" s="114"/>
      <c r="H386" s="114"/>
      <c r="L386" s="114"/>
      <c r="N386" s="114"/>
    </row>
    <row r="387" spans="6:14" ht="15.75" customHeight="1" x14ac:dyDescent="0.2">
      <c r="F387" s="114"/>
      <c r="H387" s="114"/>
      <c r="L387" s="114"/>
      <c r="N387" s="114"/>
    </row>
    <row r="388" spans="6:14" ht="15.75" customHeight="1" x14ac:dyDescent="0.2">
      <c r="F388" s="114"/>
      <c r="H388" s="114"/>
      <c r="L388" s="114"/>
      <c r="N388" s="114"/>
    </row>
    <row r="389" spans="6:14" ht="15.75" customHeight="1" x14ac:dyDescent="0.2">
      <c r="F389" s="114"/>
      <c r="H389" s="114"/>
      <c r="L389" s="114"/>
      <c r="N389" s="114"/>
    </row>
    <row r="390" spans="6:14" ht="15.75" customHeight="1" x14ac:dyDescent="0.2">
      <c r="F390" s="114"/>
      <c r="H390" s="114"/>
      <c r="L390" s="114"/>
      <c r="N390" s="114"/>
    </row>
    <row r="391" spans="6:14" ht="15.75" customHeight="1" x14ac:dyDescent="0.2">
      <c r="F391" s="114"/>
      <c r="H391" s="114"/>
      <c r="L391" s="114"/>
      <c r="N391" s="114"/>
    </row>
    <row r="392" spans="6:14" ht="15.75" customHeight="1" x14ac:dyDescent="0.2">
      <c r="F392" s="114"/>
      <c r="H392" s="114"/>
      <c r="L392" s="114"/>
      <c r="N392" s="114"/>
    </row>
    <row r="393" spans="6:14" ht="15.75" customHeight="1" x14ac:dyDescent="0.2">
      <c r="F393" s="114"/>
      <c r="H393" s="114"/>
      <c r="L393" s="114"/>
      <c r="N393" s="114"/>
    </row>
    <row r="394" spans="6:14" ht="15.75" customHeight="1" x14ac:dyDescent="0.2">
      <c r="F394" s="114"/>
      <c r="H394" s="114"/>
      <c r="L394" s="114"/>
      <c r="N394" s="114"/>
    </row>
    <row r="395" spans="6:14" ht="15.75" customHeight="1" x14ac:dyDescent="0.2">
      <c r="F395" s="114"/>
      <c r="H395" s="114"/>
      <c r="L395" s="114"/>
      <c r="N395" s="114"/>
    </row>
    <row r="396" spans="6:14" ht="15.75" customHeight="1" x14ac:dyDescent="0.2">
      <c r="F396" s="114"/>
      <c r="H396" s="114"/>
      <c r="L396" s="114"/>
      <c r="N396" s="114"/>
    </row>
    <row r="397" spans="6:14" ht="15.75" customHeight="1" x14ac:dyDescent="0.2">
      <c r="F397" s="114"/>
      <c r="H397" s="114"/>
      <c r="L397" s="114"/>
      <c r="N397" s="114"/>
    </row>
    <row r="398" spans="6:14" ht="15.75" customHeight="1" x14ac:dyDescent="0.2">
      <c r="F398" s="114"/>
      <c r="H398" s="114"/>
      <c r="L398" s="114"/>
      <c r="N398" s="114"/>
    </row>
    <row r="399" spans="6:14" ht="15.75" customHeight="1" x14ac:dyDescent="0.2">
      <c r="F399" s="114"/>
      <c r="H399" s="114"/>
      <c r="L399" s="114"/>
      <c r="N399" s="114"/>
    </row>
    <row r="400" spans="6:14" ht="15.75" customHeight="1" x14ac:dyDescent="0.2">
      <c r="F400" s="114"/>
      <c r="H400" s="114"/>
      <c r="L400" s="114"/>
      <c r="N400" s="114"/>
    </row>
    <row r="401" spans="6:14" ht="15.75" customHeight="1" x14ac:dyDescent="0.2">
      <c r="F401" s="114"/>
      <c r="H401" s="114"/>
      <c r="L401" s="114"/>
      <c r="N401" s="114"/>
    </row>
    <row r="402" spans="6:14" ht="15.75" customHeight="1" x14ac:dyDescent="0.2">
      <c r="F402" s="114"/>
      <c r="H402" s="114"/>
      <c r="L402" s="114"/>
      <c r="N402" s="114"/>
    </row>
    <row r="403" spans="6:14" ht="15.75" customHeight="1" x14ac:dyDescent="0.2">
      <c r="F403" s="114"/>
      <c r="H403" s="114"/>
      <c r="L403" s="114"/>
      <c r="N403" s="114"/>
    </row>
    <row r="404" spans="6:14" ht="15.75" customHeight="1" x14ac:dyDescent="0.2">
      <c r="F404" s="114"/>
      <c r="H404" s="114"/>
      <c r="L404" s="114"/>
      <c r="N404" s="114"/>
    </row>
    <row r="405" spans="6:14" ht="15.75" customHeight="1" x14ac:dyDescent="0.2">
      <c r="F405" s="114"/>
      <c r="H405" s="114"/>
      <c r="L405" s="114"/>
      <c r="N405" s="114"/>
    </row>
    <row r="406" spans="6:14" ht="15.75" customHeight="1" x14ac:dyDescent="0.2">
      <c r="F406" s="114"/>
      <c r="H406" s="114"/>
      <c r="L406" s="114"/>
      <c r="N406" s="114"/>
    </row>
    <row r="407" spans="6:14" ht="15.75" customHeight="1" x14ac:dyDescent="0.2">
      <c r="F407" s="114"/>
      <c r="H407" s="114"/>
      <c r="L407" s="114"/>
      <c r="N407" s="114"/>
    </row>
    <row r="408" spans="6:14" ht="15.75" customHeight="1" x14ac:dyDescent="0.2">
      <c r="F408" s="114"/>
      <c r="H408" s="114"/>
      <c r="L408" s="114"/>
      <c r="N408" s="114"/>
    </row>
    <row r="409" spans="6:14" ht="15.75" customHeight="1" x14ac:dyDescent="0.2">
      <c r="F409" s="114"/>
      <c r="H409" s="114"/>
      <c r="L409" s="114"/>
      <c r="N409" s="114"/>
    </row>
    <row r="410" spans="6:14" ht="15.75" customHeight="1" x14ac:dyDescent="0.2">
      <c r="F410" s="114"/>
      <c r="H410" s="114"/>
      <c r="L410" s="114"/>
      <c r="N410" s="114"/>
    </row>
    <row r="411" spans="6:14" ht="15.75" customHeight="1" x14ac:dyDescent="0.2">
      <c r="F411" s="114"/>
      <c r="H411" s="114"/>
      <c r="L411" s="114"/>
      <c r="N411" s="114"/>
    </row>
    <row r="412" spans="6:14" ht="15.75" customHeight="1" x14ac:dyDescent="0.2">
      <c r="F412" s="114"/>
      <c r="H412" s="114"/>
      <c r="L412" s="114"/>
      <c r="N412" s="114"/>
    </row>
    <row r="413" spans="6:14" ht="15.75" customHeight="1" x14ac:dyDescent="0.2">
      <c r="F413" s="114"/>
      <c r="H413" s="114"/>
      <c r="L413" s="114"/>
      <c r="N413" s="114"/>
    </row>
    <row r="414" spans="6:14" ht="15.75" customHeight="1" x14ac:dyDescent="0.2">
      <c r="F414" s="114"/>
      <c r="H414" s="114"/>
      <c r="L414" s="114"/>
      <c r="N414" s="114"/>
    </row>
    <row r="415" spans="6:14" ht="15.75" customHeight="1" x14ac:dyDescent="0.2">
      <c r="F415" s="114"/>
      <c r="H415" s="114"/>
      <c r="L415" s="114"/>
      <c r="N415" s="114"/>
    </row>
    <row r="416" spans="6:14" ht="15.75" customHeight="1" x14ac:dyDescent="0.2">
      <c r="F416" s="114"/>
      <c r="H416" s="114"/>
      <c r="L416" s="114"/>
      <c r="N416" s="114"/>
    </row>
    <row r="417" spans="6:14" ht="15.75" customHeight="1" x14ac:dyDescent="0.2">
      <c r="F417" s="114"/>
      <c r="H417" s="114"/>
      <c r="L417" s="114"/>
      <c r="N417" s="114"/>
    </row>
    <row r="418" spans="6:14" ht="15.75" customHeight="1" x14ac:dyDescent="0.2">
      <c r="F418" s="114"/>
      <c r="H418" s="114"/>
      <c r="L418" s="114"/>
      <c r="N418" s="114"/>
    </row>
    <row r="419" spans="6:14" ht="15.75" customHeight="1" x14ac:dyDescent="0.2">
      <c r="F419" s="114"/>
      <c r="H419" s="114"/>
      <c r="L419" s="114"/>
      <c r="N419" s="114"/>
    </row>
    <row r="420" spans="6:14" ht="15.75" customHeight="1" x14ac:dyDescent="0.2">
      <c r="F420" s="114"/>
      <c r="H420" s="114"/>
      <c r="L420" s="114"/>
      <c r="N420" s="114"/>
    </row>
    <row r="421" spans="6:14" ht="15.75" customHeight="1" x14ac:dyDescent="0.2">
      <c r="F421" s="114"/>
      <c r="H421" s="114"/>
      <c r="L421" s="114"/>
      <c r="N421" s="114"/>
    </row>
    <row r="422" spans="6:14" ht="15.75" customHeight="1" x14ac:dyDescent="0.2">
      <c r="F422" s="114"/>
      <c r="H422" s="114"/>
      <c r="L422" s="114"/>
      <c r="N422" s="114"/>
    </row>
    <row r="423" spans="6:14" ht="15.75" customHeight="1" x14ac:dyDescent="0.2">
      <c r="F423" s="114"/>
      <c r="H423" s="114"/>
      <c r="L423" s="114"/>
      <c r="N423" s="114"/>
    </row>
    <row r="424" spans="6:14" ht="15.75" customHeight="1" x14ac:dyDescent="0.2">
      <c r="F424" s="114"/>
      <c r="H424" s="114"/>
      <c r="L424" s="114"/>
      <c r="N424" s="114"/>
    </row>
    <row r="425" spans="6:14" ht="15.75" customHeight="1" x14ac:dyDescent="0.2">
      <c r="F425" s="114"/>
      <c r="H425" s="114"/>
      <c r="L425" s="114"/>
      <c r="N425" s="114"/>
    </row>
    <row r="426" spans="6:14" ht="15.75" customHeight="1" x14ac:dyDescent="0.2">
      <c r="F426" s="114"/>
      <c r="H426" s="114"/>
      <c r="L426" s="114"/>
      <c r="N426" s="114"/>
    </row>
    <row r="427" spans="6:14" ht="15.75" customHeight="1" x14ac:dyDescent="0.2">
      <c r="F427" s="114"/>
      <c r="H427" s="114"/>
      <c r="L427" s="114"/>
      <c r="N427" s="114"/>
    </row>
    <row r="428" spans="6:14" ht="15.75" customHeight="1" x14ac:dyDescent="0.2">
      <c r="F428" s="114"/>
      <c r="H428" s="114"/>
      <c r="L428" s="114"/>
      <c r="N428" s="114"/>
    </row>
    <row r="429" spans="6:14" ht="15.75" customHeight="1" x14ac:dyDescent="0.2">
      <c r="F429" s="114"/>
      <c r="H429" s="114"/>
      <c r="L429" s="114"/>
      <c r="N429" s="114"/>
    </row>
    <row r="430" spans="6:14" ht="15.75" customHeight="1" x14ac:dyDescent="0.2">
      <c r="F430" s="114"/>
      <c r="H430" s="114"/>
      <c r="L430" s="114"/>
      <c r="N430" s="114"/>
    </row>
    <row r="431" spans="6:14" ht="15.75" customHeight="1" x14ac:dyDescent="0.2">
      <c r="F431" s="114"/>
      <c r="H431" s="114"/>
      <c r="L431" s="114"/>
      <c r="N431" s="114"/>
    </row>
    <row r="432" spans="6:14" ht="15.75" customHeight="1" x14ac:dyDescent="0.2">
      <c r="F432" s="114"/>
      <c r="H432" s="114"/>
      <c r="L432" s="114"/>
      <c r="N432" s="114"/>
    </row>
    <row r="433" spans="6:14" ht="15.75" customHeight="1" x14ac:dyDescent="0.2">
      <c r="F433" s="114"/>
      <c r="H433" s="114"/>
      <c r="L433" s="114"/>
      <c r="N433" s="114"/>
    </row>
    <row r="434" spans="6:14" ht="15.75" customHeight="1" x14ac:dyDescent="0.2">
      <c r="F434" s="114"/>
      <c r="H434" s="114"/>
      <c r="L434" s="114"/>
      <c r="N434" s="114"/>
    </row>
    <row r="435" spans="6:14" ht="15.75" customHeight="1" x14ac:dyDescent="0.2">
      <c r="F435" s="114"/>
      <c r="H435" s="114"/>
      <c r="L435" s="114"/>
      <c r="N435" s="114"/>
    </row>
    <row r="436" spans="6:14" ht="15.75" customHeight="1" x14ac:dyDescent="0.2">
      <c r="F436" s="114"/>
      <c r="H436" s="114"/>
      <c r="L436" s="114"/>
      <c r="N436" s="114"/>
    </row>
    <row r="437" spans="6:14" ht="15.75" customHeight="1" x14ac:dyDescent="0.2">
      <c r="F437" s="114"/>
      <c r="H437" s="114"/>
      <c r="L437" s="114"/>
      <c r="N437" s="114"/>
    </row>
    <row r="438" spans="6:14" ht="15.75" customHeight="1" x14ac:dyDescent="0.2">
      <c r="F438" s="114"/>
      <c r="H438" s="114"/>
      <c r="L438" s="114"/>
      <c r="N438" s="114"/>
    </row>
    <row r="439" spans="6:14" ht="15.75" customHeight="1" x14ac:dyDescent="0.2">
      <c r="F439" s="114"/>
      <c r="H439" s="114"/>
      <c r="L439" s="114"/>
      <c r="N439" s="114"/>
    </row>
    <row r="440" spans="6:14" ht="15.75" customHeight="1" x14ac:dyDescent="0.2">
      <c r="F440" s="114"/>
      <c r="H440" s="114"/>
      <c r="L440" s="114"/>
      <c r="N440" s="114"/>
    </row>
    <row r="441" spans="6:14" ht="15.75" customHeight="1" x14ac:dyDescent="0.2">
      <c r="F441" s="114"/>
      <c r="H441" s="114"/>
      <c r="L441" s="114"/>
      <c r="N441" s="114"/>
    </row>
    <row r="442" spans="6:14" ht="15.75" customHeight="1" x14ac:dyDescent="0.2">
      <c r="F442" s="114"/>
      <c r="H442" s="114"/>
      <c r="L442" s="114"/>
      <c r="N442" s="114"/>
    </row>
    <row r="443" spans="6:14" ht="15.75" customHeight="1" x14ac:dyDescent="0.2">
      <c r="F443" s="114"/>
      <c r="H443" s="114"/>
      <c r="L443" s="114"/>
      <c r="N443" s="114"/>
    </row>
    <row r="444" spans="6:14" ht="15.75" customHeight="1" x14ac:dyDescent="0.2">
      <c r="F444" s="114"/>
      <c r="H444" s="114"/>
      <c r="L444" s="114"/>
      <c r="N444" s="114"/>
    </row>
    <row r="445" spans="6:14" ht="15.75" customHeight="1" x14ac:dyDescent="0.2">
      <c r="F445" s="114"/>
      <c r="H445" s="114"/>
      <c r="L445" s="114"/>
      <c r="N445" s="114"/>
    </row>
    <row r="446" spans="6:14" ht="15.75" customHeight="1" x14ac:dyDescent="0.2">
      <c r="F446" s="114"/>
      <c r="H446" s="114"/>
      <c r="L446" s="114"/>
      <c r="N446" s="114"/>
    </row>
    <row r="447" spans="6:14" ht="15.75" customHeight="1" x14ac:dyDescent="0.2">
      <c r="F447" s="114"/>
      <c r="H447" s="114"/>
      <c r="L447" s="114"/>
      <c r="N447" s="114"/>
    </row>
    <row r="448" spans="6:14" ht="15.75" customHeight="1" x14ac:dyDescent="0.2">
      <c r="F448" s="114"/>
      <c r="H448" s="114"/>
      <c r="L448" s="114"/>
      <c r="N448" s="114"/>
    </row>
    <row r="449" spans="6:14" ht="15.75" customHeight="1" x14ac:dyDescent="0.2">
      <c r="F449" s="114"/>
      <c r="H449" s="114"/>
      <c r="L449" s="114"/>
      <c r="N449" s="114"/>
    </row>
    <row r="450" spans="6:14" ht="15.75" customHeight="1" x14ac:dyDescent="0.2">
      <c r="F450" s="114"/>
      <c r="H450" s="114"/>
      <c r="L450" s="114"/>
      <c r="N450" s="114"/>
    </row>
    <row r="451" spans="6:14" ht="15.75" customHeight="1" x14ac:dyDescent="0.2">
      <c r="F451" s="114"/>
      <c r="H451" s="114"/>
      <c r="L451" s="114"/>
      <c r="N451" s="114"/>
    </row>
    <row r="452" spans="6:14" ht="15.75" customHeight="1" x14ac:dyDescent="0.2">
      <c r="F452" s="114"/>
      <c r="H452" s="114"/>
      <c r="L452" s="114"/>
      <c r="N452" s="114"/>
    </row>
    <row r="453" spans="6:14" ht="15.75" customHeight="1" x14ac:dyDescent="0.2">
      <c r="F453" s="114"/>
      <c r="H453" s="114"/>
      <c r="L453" s="114"/>
      <c r="N453" s="114"/>
    </row>
    <row r="454" spans="6:14" ht="15.75" customHeight="1" x14ac:dyDescent="0.2">
      <c r="F454" s="114"/>
      <c r="H454" s="114"/>
      <c r="L454" s="114"/>
      <c r="N454" s="114"/>
    </row>
    <row r="455" spans="6:14" ht="15.75" customHeight="1" x14ac:dyDescent="0.2">
      <c r="F455" s="114"/>
      <c r="H455" s="114"/>
      <c r="L455" s="114"/>
      <c r="N455" s="114"/>
    </row>
    <row r="456" spans="6:14" ht="15.75" customHeight="1" x14ac:dyDescent="0.2">
      <c r="F456" s="114"/>
      <c r="H456" s="114"/>
      <c r="L456" s="114"/>
      <c r="N456" s="114"/>
    </row>
    <row r="457" spans="6:14" ht="15.75" customHeight="1" x14ac:dyDescent="0.2">
      <c r="F457" s="114"/>
      <c r="H457" s="114"/>
      <c r="L457" s="114"/>
      <c r="N457" s="114"/>
    </row>
    <row r="458" spans="6:14" ht="15.75" customHeight="1" x14ac:dyDescent="0.2">
      <c r="F458" s="114"/>
      <c r="H458" s="114"/>
      <c r="L458" s="114"/>
      <c r="N458" s="114"/>
    </row>
    <row r="459" spans="6:14" ht="15.75" customHeight="1" x14ac:dyDescent="0.2">
      <c r="F459" s="114"/>
      <c r="H459" s="114"/>
      <c r="L459" s="114"/>
      <c r="N459" s="114"/>
    </row>
    <row r="460" spans="6:14" ht="15.75" customHeight="1" x14ac:dyDescent="0.2">
      <c r="F460" s="114"/>
      <c r="H460" s="114"/>
      <c r="L460" s="114"/>
      <c r="N460" s="114"/>
    </row>
    <row r="461" spans="6:14" ht="15.75" customHeight="1" x14ac:dyDescent="0.2">
      <c r="F461" s="114"/>
      <c r="H461" s="114"/>
      <c r="L461" s="114"/>
      <c r="N461" s="114"/>
    </row>
    <row r="462" spans="6:14" ht="15.75" customHeight="1" x14ac:dyDescent="0.2">
      <c r="F462" s="114"/>
      <c r="H462" s="114"/>
      <c r="L462" s="114"/>
      <c r="N462" s="114"/>
    </row>
    <row r="463" spans="6:14" ht="15.75" customHeight="1" x14ac:dyDescent="0.2">
      <c r="F463" s="114"/>
      <c r="H463" s="114"/>
      <c r="L463" s="114"/>
      <c r="N463" s="114"/>
    </row>
    <row r="464" spans="6:14" ht="15.75" customHeight="1" x14ac:dyDescent="0.2">
      <c r="F464" s="114"/>
      <c r="H464" s="114"/>
      <c r="L464" s="114"/>
      <c r="N464" s="114"/>
    </row>
    <row r="465" spans="6:14" ht="15.75" customHeight="1" x14ac:dyDescent="0.2">
      <c r="F465" s="114"/>
      <c r="H465" s="114"/>
      <c r="L465" s="114"/>
      <c r="N465" s="114"/>
    </row>
    <row r="466" spans="6:14" ht="15.75" customHeight="1" x14ac:dyDescent="0.2">
      <c r="F466" s="114"/>
      <c r="H466" s="114"/>
      <c r="L466" s="114"/>
      <c r="N466" s="114"/>
    </row>
    <row r="467" spans="6:14" ht="15.75" customHeight="1" x14ac:dyDescent="0.2">
      <c r="F467" s="114"/>
      <c r="H467" s="114"/>
      <c r="L467" s="114"/>
      <c r="N467" s="114"/>
    </row>
    <row r="468" spans="6:14" ht="15.75" customHeight="1" x14ac:dyDescent="0.2">
      <c r="F468" s="114"/>
      <c r="H468" s="114"/>
      <c r="L468" s="114"/>
      <c r="N468" s="114"/>
    </row>
    <row r="469" spans="6:14" ht="15.75" customHeight="1" x14ac:dyDescent="0.2">
      <c r="F469" s="114"/>
      <c r="H469" s="114"/>
      <c r="L469" s="114"/>
      <c r="N469" s="114"/>
    </row>
    <row r="470" spans="6:14" ht="15.75" customHeight="1" x14ac:dyDescent="0.2">
      <c r="F470" s="114"/>
      <c r="H470" s="114"/>
      <c r="L470" s="114"/>
      <c r="N470" s="114"/>
    </row>
    <row r="471" spans="6:14" ht="15.75" customHeight="1" x14ac:dyDescent="0.2">
      <c r="F471" s="114"/>
      <c r="H471" s="114"/>
      <c r="L471" s="114"/>
      <c r="N471" s="114"/>
    </row>
    <row r="472" spans="6:14" ht="15.75" customHeight="1" x14ac:dyDescent="0.2">
      <c r="F472" s="114"/>
      <c r="H472" s="114"/>
      <c r="L472" s="114"/>
      <c r="N472" s="114"/>
    </row>
    <row r="473" spans="6:14" ht="15.75" customHeight="1" x14ac:dyDescent="0.2">
      <c r="F473" s="114"/>
      <c r="H473" s="114"/>
      <c r="L473" s="114"/>
      <c r="N473" s="114"/>
    </row>
    <row r="474" spans="6:14" ht="15.75" customHeight="1" x14ac:dyDescent="0.2">
      <c r="F474" s="114"/>
      <c r="H474" s="114"/>
      <c r="L474" s="114"/>
      <c r="N474" s="114"/>
    </row>
    <row r="475" spans="6:14" ht="15.75" customHeight="1" x14ac:dyDescent="0.2">
      <c r="F475" s="114"/>
      <c r="H475" s="114"/>
      <c r="L475" s="114"/>
      <c r="N475" s="114"/>
    </row>
    <row r="476" spans="6:14" ht="15.75" customHeight="1" x14ac:dyDescent="0.2">
      <c r="F476" s="114"/>
      <c r="H476" s="114"/>
      <c r="L476" s="114"/>
      <c r="N476" s="114"/>
    </row>
    <row r="477" spans="6:14" ht="15.75" customHeight="1" x14ac:dyDescent="0.2">
      <c r="F477" s="114"/>
      <c r="H477" s="114"/>
      <c r="L477" s="114"/>
      <c r="N477" s="114"/>
    </row>
    <row r="478" spans="6:14" ht="15.75" customHeight="1" x14ac:dyDescent="0.2">
      <c r="F478" s="114"/>
      <c r="H478" s="114"/>
      <c r="L478" s="114"/>
      <c r="N478" s="114"/>
    </row>
    <row r="479" spans="6:14" ht="15.75" customHeight="1" x14ac:dyDescent="0.2">
      <c r="F479" s="114"/>
      <c r="H479" s="114"/>
      <c r="L479" s="114"/>
      <c r="N479" s="114"/>
    </row>
    <row r="480" spans="6:14" ht="15.75" customHeight="1" x14ac:dyDescent="0.2">
      <c r="F480" s="114"/>
      <c r="H480" s="114"/>
      <c r="L480" s="114"/>
      <c r="N480" s="114"/>
    </row>
    <row r="481" spans="6:14" ht="15.75" customHeight="1" x14ac:dyDescent="0.2">
      <c r="F481" s="114"/>
      <c r="H481" s="114"/>
      <c r="L481" s="114"/>
      <c r="N481" s="114"/>
    </row>
    <row r="482" spans="6:14" ht="15.75" customHeight="1" x14ac:dyDescent="0.2">
      <c r="F482" s="114"/>
      <c r="H482" s="114"/>
      <c r="L482" s="114"/>
      <c r="N482" s="114"/>
    </row>
    <row r="483" spans="6:14" ht="15.75" customHeight="1" x14ac:dyDescent="0.2">
      <c r="F483" s="114"/>
      <c r="H483" s="114"/>
      <c r="L483" s="114"/>
      <c r="N483" s="114"/>
    </row>
    <row r="484" spans="6:14" ht="15.75" customHeight="1" x14ac:dyDescent="0.2">
      <c r="F484" s="114"/>
      <c r="H484" s="114"/>
      <c r="L484" s="114"/>
      <c r="N484" s="114"/>
    </row>
    <row r="485" spans="6:14" ht="15.75" customHeight="1" x14ac:dyDescent="0.2">
      <c r="F485" s="114"/>
      <c r="H485" s="114"/>
      <c r="L485" s="114"/>
      <c r="N485" s="114"/>
    </row>
    <row r="486" spans="6:14" ht="15.75" customHeight="1" x14ac:dyDescent="0.2">
      <c r="F486" s="114"/>
      <c r="H486" s="114"/>
      <c r="L486" s="114"/>
      <c r="N486" s="114"/>
    </row>
    <row r="487" spans="6:14" ht="15.75" customHeight="1" x14ac:dyDescent="0.2">
      <c r="F487" s="114"/>
      <c r="H487" s="114"/>
      <c r="L487" s="114"/>
      <c r="N487" s="114"/>
    </row>
    <row r="488" spans="6:14" ht="15.75" customHeight="1" x14ac:dyDescent="0.2">
      <c r="F488" s="114"/>
      <c r="H488" s="114"/>
      <c r="L488" s="114"/>
      <c r="N488" s="114"/>
    </row>
    <row r="489" spans="6:14" ht="15.75" customHeight="1" x14ac:dyDescent="0.2">
      <c r="F489" s="114"/>
      <c r="H489" s="114"/>
      <c r="L489" s="114"/>
      <c r="N489" s="114"/>
    </row>
    <row r="490" spans="6:14" ht="15.75" customHeight="1" x14ac:dyDescent="0.2">
      <c r="F490" s="114"/>
      <c r="H490" s="114"/>
      <c r="L490" s="114"/>
      <c r="N490" s="114"/>
    </row>
    <row r="491" spans="6:14" ht="15.75" customHeight="1" x14ac:dyDescent="0.2">
      <c r="F491" s="114"/>
      <c r="H491" s="114"/>
      <c r="L491" s="114"/>
      <c r="N491" s="114"/>
    </row>
    <row r="492" spans="6:14" ht="15.75" customHeight="1" x14ac:dyDescent="0.2">
      <c r="F492" s="114"/>
      <c r="H492" s="114"/>
      <c r="L492" s="114"/>
      <c r="N492" s="114"/>
    </row>
    <row r="493" spans="6:14" ht="15.75" customHeight="1" x14ac:dyDescent="0.2">
      <c r="F493" s="114"/>
      <c r="H493" s="114"/>
      <c r="L493" s="114"/>
      <c r="N493" s="114"/>
    </row>
    <row r="494" spans="6:14" ht="15.75" customHeight="1" x14ac:dyDescent="0.2">
      <c r="F494" s="114"/>
      <c r="H494" s="114"/>
      <c r="L494" s="114"/>
      <c r="N494" s="114"/>
    </row>
    <row r="495" spans="6:14" ht="15.75" customHeight="1" x14ac:dyDescent="0.2">
      <c r="F495" s="114"/>
      <c r="H495" s="114"/>
      <c r="L495" s="114"/>
      <c r="N495" s="114"/>
    </row>
    <row r="496" spans="6:14" ht="15.75" customHeight="1" x14ac:dyDescent="0.2">
      <c r="F496" s="114"/>
      <c r="H496" s="114"/>
      <c r="L496" s="114"/>
      <c r="N496" s="114"/>
    </row>
    <row r="497" spans="6:14" ht="15.75" customHeight="1" x14ac:dyDescent="0.2">
      <c r="F497" s="114"/>
      <c r="H497" s="114"/>
      <c r="L497" s="114"/>
      <c r="N497" s="114"/>
    </row>
    <row r="498" spans="6:14" ht="15.75" customHeight="1" x14ac:dyDescent="0.2">
      <c r="F498" s="114"/>
      <c r="H498" s="114"/>
      <c r="L498" s="114"/>
      <c r="N498" s="114"/>
    </row>
    <row r="499" spans="6:14" ht="15.75" customHeight="1" x14ac:dyDescent="0.2">
      <c r="F499" s="114"/>
      <c r="H499" s="114"/>
      <c r="L499" s="114"/>
      <c r="N499" s="114"/>
    </row>
    <row r="500" spans="6:14" ht="15.75" customHeight="1" x14ac:dyDescent="0.2">
      <c r="F500" s="114"/>
      <c r="H500" s="114"/>
      <c r="L500" s="114"/>
      <c r="N500" s="114"/>
    </row>
    <row r="501" spans="6:14" ht="15.75" customHeight="1" x14ac:dyDescent="0.2">
      <c r="F501" s="114"/>
      <c r="H501" s="114"/>
      <c r="L501" s="114"/>
      <c r="N501" s="114"/>
    </row>
    <row r="502" spans="6:14" ht="15.75" customHeight="1" x14ac:dyDescent="0.2">
      <c r="F502" s="114"/>
      <c r="H502" s="114"/>
      <c r="L502" s="114"/>
      <c r="N502" s="114"/>
    </row>
    <row r="503" spans="6:14" ht="15.75" customHeight="1" x14ac:dyDescent="0.2">
      <c r="F503" s="114"/>
      <c r="H503" s="114"/>
      <c r="L503" s="114"/>
      <c r="N503" s="114"/>
    </row>
    <row r="504" spans="6:14" ht="15.75" customHeight="1" x14ac:dyDescent="0.2">
      <c r="F504" s="114"/>
      <c r="H504" s="114"/>
      <c r="L504" s="114"/>
      <c r="N504" s="114"/>
    </row>
    <row r="505" spans="6:14" ht="15.75" customHeight="1" x14ac:dyDescent="0.2">
      <c r="F505" s="114"/>
      <c r="H505" s="114"/>
      <c r="L505" s="114"/>
      <c r="N505" s="114"/>
    </row>
    <row r="506" spans="6:14" ht="15.75" customHeight="1" x14ac:dyDescent="0.2">
      <c r="F506" s="114"/>
      <c r="H506" s="114"/>
      <c r="L506" s="114"/>
      <c r="N506" s="114"/>
    </row>
    <row r="507" spans="6:14" ht="15.75" customHeight="1" x14ac:dyDescent="0.2">
      <c r="F507" s="114"/>
      <c r="H507" s="114"/>
      <c r="L507" s="114"/>
      <c r="N507" s="114"/>
    </row>
    <row r="508" spans="6:14" ht="15.75" customHeight="1" x14ac:dyDescent="0.2">
      <c r="F508" s="114"/>
      <c r="H508" s="114"/>
      <c r="L508" s="114"/>
      <c r="N508" s="114"/>
    </row>
    <row r="509" spans="6:14" ht="15.75" customHeight="1" x14ac:dyDescent="0.2">
      <c r="F509" s="114"/>
      <c r="H509" s="114"/>
      <c r="L509" s="114"/>
      <c r="N509" s="114"/>
    </row>
    <row r="510" spans="6:14" ht="15.75" customHeight="1" x14ac:dyDescent="0.2">
      <c r="F510" s="114"/>
      <c r="H510" s="114"/>
      <c r="L510" s="114"/>
      <c r="N510" s="114"/>
    </row>
    <row r="511" spans="6:14" ht="15.75" customHeight="1" x14ac:dyDescent="0.2">
      <c r="F511" s="114"/>
      <c r="H511" s="114"/>
      <c r="L511" s="114"/>
      <c r="N511" s="114"/>
    </row>
    <row r="512" spans="6:14" ht="15.75" customHeight="1" x14ac:dyDescent="0.2">
      <c r="F512" s="114"/>
      <c r="H512" s="114"/>
      <c r="L512" s="114"/>
      <c r="N512" s="114"/>
    </row>
    <row r="513" spans="6:14" ht="15.75" customHeight="1" x14ac:dyDescent="0.2">
      <c r="F513" s="114"/>
      <c r="H513" s="114"/>
      <c r="L513" s="114"/>
      <c r="N513" s="114"/>
    </row>
    <row r="514" spans="6:14" ht="15.75" customHeight="1" x14ac:dyDescent="0.2">
      <c r="F514" s="114"/>
      <c r="H514" s="114"/>
      <c r="L514" s="114"/>
      <c r="N514" s="114"/>
    </row>
    <row r="515" spans="6:14" ht="15.75" customHeight="1" x14ac:dyDescent="0.2">
      <c r="F515" s="114"/>
      <c r="H515" s="114"/>
      <c r="L515" s="114"/>
      <c r="N515" s="114"/>
    </row>
    <row r="516" spans="6:14" ht="15.75" customHeight="1" x14ac:dyDescent="0.2">
      <c r="F516" s="114"/>
      <c r="H516" s="114"/>
      <c r="L516" s="114"/>
      <c r="N516" s="114"/>
    </row>
    <row r="517" spans="6:14" ht="15.75" customHeight="1" x14ac:dyDescent="0.2">
      <c r="F517" s="114"/>
      <c r="H517" s="114"/>
      <c r="L517" s="114"/>
      <c r="N517" s="114"/>
    </row>
    <row r="518" spans="6:14" ht="15.75" customHeight="1" x14ac:dyDescent="0.2">
      <c r="F518" s="114"/>
      <c r="H518" s="114"/>
      <c r="L518" s="114"/>
      <c r="N518" s="114"/>
    </row>
    <row r="519" spans="6:14" ht="15.75" customHeight="1" x14ac:dyDescent="0.2">
      <c r="F519" s="114"/>
      <c r="H519" s="114"/>
      <c r="L519" s="114"/>
      <c r="N519" s="114"/>
    </row>
    <row r="520" spans="6:14" ht="15.75" customHeight="1" x14ac:dyDescent="0.2">
      <c r="F520" s="114"/>
      <c r="H520" s="114"/>
      <c r="L520" s="114"/>
      <c r="N520" s="114"/>
    </row>
    <row r="521" spans="6:14" ht="15.75" customHeight="1" x14ac:dyDescent="0.2">
      <c r="F521" s="114"/>
      <c r="H521" s="114"/>
      <c r="L521" s="114"/>
      <c r="N521" s="114"/>
    </row>
    <row r="522" spans="6:14" ht="15.75" customHeight="1" x14ac:dyDescent="0.2">
      <c r="F522" s="114"/>
      <c r="H522" s="114"/>
      <c r="L522" s="114"/>
      <c r="N522" s="114"/>
    </row>
    <row r="523" spans="6:14" ht="15.75" customHeight="1" x14ac:dyDescent="0.2">
      <c r="F523" s="114"/>
      <c r="H523" s="114"/>
      <c r="L523" s="114"/>
      <c r="N523" s="114"/>
    </row>
    <row r="524" spans="6:14" ht="15.75" customHeight="1" x14ac:dyDescent="0.2">
      <c r="F524" s="114"/>
      <c r="H524" s="114"/>
      <c r="L524" s="114"/>
      <c r="N524" s="114"/>
    </row>
    <row r="525" spans="6:14" ht="15.75" customHeight="1" x14ac:dyDescent="0.2">
      <c r="F525" s="114"/>
      <c r="H525" s="114"/>
      <c r="L525" s="114"/>
      <c r="N525" s="114"/>
    </row>
    <row r="526" spans="6:14" ht="15.75" customHeight="1" x14ac:dyDescent="0.2">
      <c r="F526" s="114"/>
      <c r="H526" s="114"/>
      <c r="L526" s="114"/>
      <c r="N526" s="114"/>
    </row>
    <row r="527" spans="6:14" ht="15.75" customHeight="1" x14ac:dyDescent="0.2">
      <c r="F527" s="114"/>
      <c r="H527" s="114"/>
      <c r="L527" s="114"/>
      <c r="N527" s="114"/>
    </row>
    <row r="528" spans="6:14" ht="15.75" customHeight="1" x14ac:dyDescent="0.2">
      <c r="F528" s="114"/>
      <c r="H528" s="114"/>
      <c r="L528" s="114"/>
      <c r="N528" s="114"/>
    </row>
    <row r="529" spans="6:14" ht="15.75" customHeight="1" x14ac:dyDescent="0.2">
      <c r="F529" s="114"/>
      <c r="H529" s="114"/>
      <c r="L529" s="114"/>
      <c r="N529" s="114"/>
    </row>
    <row r="530" spans="6:14" ht="15.75" customHeight="1" x14ac:dyDescent="0.2">
      <c r="F530" s="114"/>
      <c r="H530" s="114"/>
      <c r="L530" s="114"/>
      <c r="N530" s="114"/>
    </row>
    <row r="531" spans="6:14" ht="15.75" customHeight="1" x14ac:dyDescent="0.2">
      <c r="F531" s="114"/>
      <c r="H531" s="114"/>
      <c r="L531" s="114"/>
      <c r="N531" s="114"/>
    </row>
    <row r="532" spans="6:14" ht="15.75" customHeight="1" x14ac:dyDescent="0.2">
      <c r="F532" s="114"/>
      <c r="H532" s="114"/>
      <c r="L532" s="114"/>
      <c r="N532" s="114"/>
    </row>
    <row r="533" spans="6:14" ht="15.75" customHeight="1" x14ac:dyDescent="0.2">
      <c r="F533" s="114"/>
      <c r="H533" s="114"/>
      <c r="L533" s="114"/>
      <c r="N533" s="114"/>
    </row>
    <row r="534" spans="6:14" ht="15.75" customHeight="1" x14ac:dyDescent="0.2">
      <c r="F534" s="114"/>
      <c r="H534" s="114"/>
      <c r="L534" s="114"/>
      <c r="N534" s="114"/>
    </row>
    <row r="535" spans="6:14" ht="15.75" customHeight="1" x14ac:dyDescent="0.2">
      <c r="F535" s="114"/>
      <c r="H535" s="114"/>
      <c r="L535" s="114"/>
      <c r="N535" s="114"/>
    </row>
    <row r="536" spans="6:14" ht="15.75" customHeight="1" x14ac:dyDescent="0.2">
      <c r="F536" s="114"/>
      <c r="H536" s="114"/>
      <c r="L536" s="114"/>
      <c r="N536" s="114"/>
    </row>
    <row r="537" spans="6:14" ht="15.75" customHeight="1" x14ac:dyDescent="0.2">
      <c r="F537" s="114"/>
      <c r="H537" s="114"/>
      <c r="L537" s="114"/>
      <c r="N537" s="114"/>
    </row>
    <row r="538" spans="6:14" ht="15.75" customHeight="1" x14ac:dyDescent="0.2">
      <c r="F538" s="114"/>
      <c r="H538" s="114"/>
      <c r="L538" s="114"/>
      <c r="N538" s="114"/>
    </row>
    <row r="539" spans="6:14" ht="15.75" customHeight="1" x14ac:dyDescent="0.2">
      <c r="F539" s="114"/>
      <c r="H539" s="114"/>
      <c r="L539" s="114"/>
      <c r="N539" s="114"/>
    </row>
    <row r="540" spans="6:14" ht="15.75" customHeight="1" x14ac:dyDescent="0.2">
      <c r="F540" s="114"/>
      <c r="H540" s="114"/>
      <c r="L540" s="114"/>
      <c r="N540" s="114"/>
    </row>
    <row r="541" spans="6:14" ht="15.75" customHeight="1" x14ac:dyDescent="0.2">
      <c r="F541" s="114"/>
      <c r="H541" s="114"/>
      <c r="L541" s="114"/>
      <c r="N541" s="114"/>
    </row>
    <row r="542" spans="6:14" ht="15.75" customHeight="1" x14ac:dyDescent="0.2">
      <c r="F542" s="114"/>
      <c r="H542" s="114"/>
      <c r="L542" s="114"/>
      <c r="N542" s="114"/>
    </row>
    <row r="543" spans="6:14" ht="15.75" customHeight="1" x14ac:dyDescent="0.2">
      <c r="F543" s="114"/>
      <c r="H543" s="114"/>
      <c r="L543" s="114"/>
      <c r="N543" s="114"/>
    </row>
    <row r="544" spans="6:14" ht="15.75" customHeight="1" x14ac:dyDescent="0.2">
      <c r="F544" s="114"/>
      <c r="H544" s="114"/>
      <c r="L544" s="114"/>
      <c r="N544" s="114"/>
    </row>
    <row r="545" spans="6:14" ht="15.75" customHeight="1" x14ac:dyDescent="0.2">
      <c r="F545" s="114"/>
      <c r="H545" s="114"/>
      <c r="L545" s="114"/>
      <c r="N545" s="114"/>
    </row>
    <row r="546" spans="6:14" ht="15.75" customHeight="1" x14ac:dyDescent="0.2">
      <c r="F546" s="114"/>
      <c r="H546" s="114"/>
      <c r="L546" s="114"/>
      <c r="N546" s="114"/>
    </row>
    <row r="547" spans="6:14" ht="15.75" customHeight="1" x14ac:dyDescent="0.2">
      <c r="F547" s="114"/>
      <c r="H547" s="114"/>
      <c r="L547" s="114"/>
      <c r="N547" s="114"/>
    </row>
    <row r="548" spans="6:14" ht="15.75" customHeight="1" x14ac:dyDescent="0.2">
      <c r="F548" s="114"/>
      <c r="H548" s="114"/>
      <c r="L548" s="114"/>
      <c r="N548" s="114"/>
    </row>
    <row r="549" spans="6:14" ht="15.75" customHeight="1" x14ac:dyDescent="0.2">
      <c r="F549" s="114"/>
      <c r="H549" s="114"/>
      <c r="L549" s="114"/>
      <c r="N549" s="114"/>
    </row>
    <row r="550" spans="6:14" ht="15.75" customHeight="1" x14ac:dyDescent="0.2">
      <c r="F550" s="114"/>
      <c r="H550" s="114"/>
      <c r="L550" s="114"/>
      <c r="N550" s="114"/>
    </row>
    <row r="551" spans="6:14" ht="15.75" customHeight="1" x14ac:dyDescent="0.2">
      <c r="F551" s="114"/>
      <c r="H551" s="114"/>
      <c r="L551" s="114"/>
      <c r="N551" s="114"/>
    </row>
    <row r="552" spans="6:14" ht="15.75" customHeight="1" x14ac:dyDescent="0.2">
      <c r="F552" s="114"/>
      <c r="H552" s="114"/>
      <c r="L552" s="114"/>
      <c r="N552" s="114"/>
    </row>
    <row r="553" spans="6:14" ht="15.75" customHeight="1" x14ac:dyDescent="0.2">
      <c r="F553" s="114"/>
      <c r="H553" s="114"/>
      <c r="L553" s="114"/>
      <c r="N553" s="114"/>
    </row>
    <row r="554" spans="6:14" ht="15.75" customHeight="1" x14ac:dyDescent="0.2">
      <c r="F554" s="114"/>
      <c r="H554" s="114"/>
      <c r="L554" s="114"/>
      <c r="N554" s="114"/>
    </row>
    <row r="555" spans="6:14" ht="15.75" customHeight="1" x14ac:dyDescent="0.2">
      <c r="F555" s="114"/>
      <c r="H555" s="114"/>
      <c r="L555" s="114"/>
      <c r="N555" s="114"/>
    </row>
    <row r="556" spans="6:14" ht="15.75" customHeight="1" x14ac:dyDescent="0.2">
      <c r="F556" s="114"/>
      <c r="H556" s="114"/>
      <c r="L556" s="114"/>
      <c r="N556" s="114"/>
    </row>
    <row r="557" spans="6:14" ht="15.75" customHeight="1" x14ac:dyDescent="0.2">
      <c r="F557" s="114"/>
      <c r="H557" s="114"/>
      <c r="L557" s="114"/>
      <c r="N557" s="114"/>
    </row>
    <row r="558" spans="6:14" ht="15.75" customHeight="1" x14ac:dyDescent="0.2">
      <c r="F558" s="114"/>
      <c r="H558" s="114"/>
      <c r="L558" s="114"/>
      <c r="N558" s="114"/>
    </row>
    <row r="559" spans="6:14" ht="15.75" customHeight="1" x14ac:dyDescent="0.2">
      <c r="F559" s="114"/>
      <c r="H559" s="114"/>
      <c r="L559" s="114"/>
      <c r="N559" s="114"/>
    </row>
    <row r="560" spans="6:14" ht="15.75" customHeight="1" x14ac:dyDescent="0.2">
      <c r="F560" s="114"/>
      <c r="H560" s="114"/>
      <c r="L560" s="114"/>
      <c r="N560" s="114"/>
    </row>
    <row r="561" spans="6:14" ht="15.75" customHeight="1" x14ac:dyDescent="0.2">
      <c r="F561" s="114"/>
      <c r="H561" s="114"/>
      <c r="L561" s="114"/>
      <c r="N561" s="114"/>
    </row>
    <row r="562" spans="6:14" ht="15.75" customHeight="1" x14ac:dyDescent="0.2">
      <c r="F562" s="114"/>
      <c r="H562" s="114"/>
      <c r="L562" s="114"/>
      <c r="N562" s="114"/>
    </row>
    <row r="563" spans="6:14" ht="15.75" customHeight="1" x14ac:dyDescent="0.2">
      <c r="F563" s="114"/>
      <c r="H563" s="114"/>
      <c r="L563" s="114"/>
      <c r="N563" s="114"/>
    </row>
    <row r="564" spans="6:14" ht="15.75" customHeight="1" x14ac:dyDescent="0.2">
      <c r="F564" s="114"/>
      <c r="H564" s="114"/>
      <c r="L564" s="114"/>
      <c r="N564" s="114"/>
    </row>
    <row r="565" spans="6:14" ht="15.75" customHeight="1" x14ac:dyDescent="0.2">
      <c r="F565" s="114"/>
      <c r="H565" s="114"/>
      <c r="L565" s="114"/>
      <c r="N565" s="114"/>
    </row>
    <row r="566" spans="6:14" ht="15.75" customHeight="1" x14ac:dyDescent="0.2">
      <c r="F566" s="114"/>
      <c r="H566" s="114"/>
      <c r="L566" s="114"/>
      <c r="N566" s="114"/>
    </row>
    <row r="567" spans="6:14" ht="15.75" customHeight="1" x14ac:dyDescent="0.2">
      <c r="F567" s="114"/>
      <c r="H567" s="114"/>
      <c r="L567" s="114"/>
      <c r="N567" s="114"/>
    </row>
    <row r="568" spans="6:14" ht="15.75" customHeight="1" x14ac:dyDescent="0.2">
      <c r="F568" s="114"/>
      <c r="H568" s="114"/>
      <c r="L568" s="114"/>
      <c r="N568" s="114"/>
    </row>
    <row r="569" spans="6:14" ht="15.75" customHeight="1" x14ac:dyDescent="0.2">
      <c r="F569" s="114"/>
      <c r="H569" s="114"/>
      <c r="L569" s="114"/>
      <c r="N569" s="114"/>
    </row>
    <row r="570" spans="6:14" ht="15.75" customHeight="1" x14ac:dyDescent="0.2">
      <c r="F570" s="114"/>
      <c r="H570" s="114"/>
      <c r="L570" s="114"/>
      <c r="N570" s="114"/>
    </row>
    <row r="571" spans="6:14" ht="15.75" customHeight="1" x14ac:dyDescent="0.2">
      <c r="F571" s="114"/>
      <c r="H571" s="114"/>
      <c r="L571" s="114"/>
      <c r="N571" s="114"/>
    </row>
    <row r="572" spans="6:14" ht="15.75" customHeight="1" x14ac:dyDescent="0.2">
      <c r="F572" s="114"/>
      <c r="H572" s="114"/>
      <c r="L572" s="114"/>
      <c r="N572" s="114"/>
    </row>
    <row r="573" spans="6:14" ht="15.75" customHeight="1" x14ac:dyDescent="0.2">
      <c r="F573" s="114"/>
      <c r="H573" s="114"/>
      <c r="L573" s="114"/>
      <c r="N573" s="114"/>
    </row>
    <row r="574" spans="6:14" ht="15.75" customHeight="1" x14ac:dyDescent="0.2">
      <c r="F574" s="114"/>
      <c r="H574" s="114"/>
      <c r="L574" s="114"/>
      <c r="N574" s="114"/>
    </row>
    <row r="575" spans="6:14" ht="15.75" customHeight="1" x14ac:dyDescent="0.2">
      <c r="F575" s="114"/>
      <c r="H575" s="114"/>
      <c r="L575" s="114"/>
      <c r="N575" s="114"/>
    </row>
    <row r="576" spans="6:14" ht="15.75" customHeight="1" x14ac:dyDescent="0.2">
      <c r="F576" s="114"/>
      <c r="H576" s="114"/>
      <c r="L576" s="114"/>
      <c r="N576" s="114"/>
    </row>
    <row r="577" spans="6:14" ht="15.75" customHeight="1" x14ac:dyDescent="0.2">
      <c r="F577" s="114"/>
      <c r="H577" s="114"/>
      <c r="L577" s="114"/>
      <c r="N577" s="114"/>
    </row>
    <row r="578" spans="6:14" ht="15.75" customHeight="1" x14ac:dyDescent="0.2">
      <c r="F578" s="114"/>
      <c r="H578" s="114"/>
      <c r="L578" s="114"/>
      <c r="N578" s="114"/>
    </row>
    <row r="579" spans="6:14" ht="15.75" customHeight="1" x14ac:dyDescent="0.2">
      <c r="F579" s="114"/>
      <c r="H579" s="114"/>
      <c r="L579" s="114"/>
      <c r="N579" s="114"/>
    </row>
    <row r="580" spans="6:14" ht="15.75" customHeight="1" x14ac:dyDescent="0.2">
      <c r="F580" s="114"/>
      <c r="H580" s="114"/>
      <c r="L580" s="114"/>
      <c r="N580" s="114"/>
    </row>
    <row r="581" spans="6:14" ht="15.75" customHeight="1" x14ac:dyDescent="0.2">
      <c r="F581" s="114"/>
      <c r="H581" s="114"/>
      <c r="L581" s="114"/>
      <c r="N581" s="114"/>
    </row>
    <row r="582" spans="6:14" ht="15.75" customHeight="1" x14ac:dyDescent="0.2">
      <c r="F582" s="114"/>
      <c r="H582" s="114"/>
      <c r="L582" s="114"/>
      <c r="N582" s="114"/>
    </row>
    <row r="583" spans="6:14" ht="15.75" customHeight="1" x14ac:dyDescent="0.2">
      <c r="F583" s="114"/>
      <c r="H583" s="114"/>
      <c r="L583" s="114"/>
      <c r="N583" s="114"/>
    </row>
    <row r="584" spans="6:14" ht="15.75" customHeight="1" x14ac:dyDescent="0.2">
      <c r="F584" s="114"/>
      <c r="H584" s="114"/>
      <c r="L584" s="114"/>
      <c r="N584" s="114"/>
    </row>
    <row r="585" spans="6:14" ht="15.75" customHeight="1" x14ac:dyDescent="0.2">
      <c r="F585" s="114"/>
      <c r="H585" s="114"/>
      <c r="L585" s="114"/>
      <c r="N585" s="114"/>
    </row>
    <row r="586" spans="6:14" ht="15.75" customHeight="1" x14ac:dyDescent="0.2">
      <c r="F586" s="114"/>
      <c r="H586" s="114"/>
      <c r="L586" s="114"/>
      <c r="N586" s="114"/>
    </row>
    <row r="587" spans="6:14" ht="15.75" customHeight="1" x14ac:dyDescent="0.2">
      <c r="F587" s="114"/>
      <c r="H587" s="114"/>
      <c r="L587" s="114"/>
      <c r="N587" s="114"/>
    </row>
    <row r="588" spans="6:14" ht="15.75" customHeight="1" x14ac:dyDescent="0.2">
      <c r="F588" s="114"/>
      <c r="H588" s="114"/>
      <c r="L588" s="114"/>
      <c r="N588" s="114"/>
    </row>
    <row r="589" spans="6:14" ht="15.75" customHeight="1" x14ac:dyDescent="0.2">
      <c r="F589" s="114"/>
      <c r="H589" s="114"/>
      <c r="L589" s="114"/>
      <c r="N589" s="114"/>
    </row>
    <row r="590" spans="6:14" ht="15.75" customHeight="1" x14ac:dyDescent="0.2">
      <c r="F590" s="114"/>
      <c r="H590" s="114"/>
      <c r="L590" s="114"/>
      <c r="N590" s="114"/>
    </row>
    <row r="591" spans="6:14" ht="15.75" customHeight="1" x14ac:dyDescent="0.2">
      <c r="F591" s="114"/>
      <c r="H591" s="114"/>
      <c r="L591" s="114"/>
      <c r="N591" s="114"/>
    </row>
    <row r="592" spans="6:14" ht="15.75" customHeight="1" x14ac:dyDescent="0.2">
      <c r="F592" s="114"/>
      <c r="H592" s="114"/>
      <c r="L592" s="114"/>
      <c r="N592" s="114"/>
    </row>
    <row r="593" spans="6:14" ht="15.75" customHeight="1" x14ac:dyDescent="0.2">
      <c r="F593" s="114"/>
      <c r="H593" s="114"/>
      <c r="L593" s="114"/>
      <c r="N593" s="114"/>
    </row>
    <row r="594" spans="6:14" ht="15.75" customHeight="1" x14ac:dyDescent="0.2">
      <c r="F594" s="114"/>
      <c r="H594" s="114"/>
      <c r="L594" s="114"/>
      <c r="N594" s="114"/>
    </row>
    <row r="595" spans="6:14" ht="15.75" customHeight="1" x14ac:dyDescent="0.2">
      <c r="F595" s="114"/>
      <c r="H595" s="114"/>
      <c r="L595" s="114"/>
      <c r="N595" s="114"/>
    </row>
    <row r="596" spans="6:14" ht="15.75" customHeight="1" x14ac:dyDescent="0.2">
      <c r="F596" s="114"/>
      <c r="H596" s="114"/>
      <c r="L596" s="114"/>
      <c r="N596" s="114"/>
    </row>
    <row r="597" spans="6:14" ht="15.75" customHeight="1" x14ac:dyDescent="0.2">
      <c r="F597" s="114"/>
      <c r="H597" s="114"/>
      <c r="L597" s="114"/>
      <c r="N597" s="114"/>
    </row>
    <row r="598" spans="6:14" ht="15.75" customHeight="1" x14ac:dyDescent="0.2">
      <c r="F598" s="114"/>
      <c r="H598" s="114"/>
      <c r="L598" s="114"/>
      <c r="N598" s="114"/>
    </row>
    <row r="599" spans="6:14" ht="15.75" customHeight="1" x14ac:dyDescent="0.2">
      <c r="F599" s="114"/>
      <c r="H599" s="114"/>
      <c r="L599" s="114"/>
      <c r="N599" s="114"/>
    </row>
    <row r="600" spans="6:14" ht="15.75" customHeight="1" x14ac:dyDescent="0.2">
      <c r="F600" s="114"/>
      <c r="H600" s="114"/>
      <c r="L600" s="114"/>
      <c r="N600" s="114"/>
    </row>
    <row r="601" spans="6:14" ht="15.75" customHeight="1" x14ac:dyDescent="0.2">
      <c r="F601" s="114"/>
      <c r="H601" s="114"/>
      <c r="L601" s="114"/>
      <c r="N601" s="114"/>
    </row>
    <row r="602" spans="6:14" ht="15.75" customHeight="1" x14ac:dyDescent="0.2">
      <c r="F602" s="114"/>
      <c r="H602" s="114"/>
      <c r="L602" s="114"/>
      <c r="N602" s="114"/>
    </row>
    <row r="603" spans="6:14" ht="15.75" customHeight="1" x14ac:dyDescent="0.2">
      <c r="F603" s="114"/>
      <c r="H603" s="114"/>
      <c r="L603" s="114"/>
      <c r="N603" s="114"/>
    </row>
    <row r="604" spans="6:14" ht="15.75" customHeight="1" x14ac:dyDescent="0.2">
      <c r="F604" s="114"/>
      <c r="H604" s="114"/>
      <c r="L604" s="114"/>
      <c r="N604" s="114"/>
    </row>
    <row r="605" spans="6:14" ht="15.75" customHeight="1" x14ac:dyDescent="0.2">
      <c r="F605" s="114"/>
      <c r="H605" s="114"/>
      <c r="L605" s="114"/>
      <c r="N605" s="114"/>
    </row>
    <row r="606" spans="6:14" ht="15.75" customHeight="1" x14ac:dyDescent="0.2">
      <c r="F606" s="114"/>
      <c r="H606" s="114"/>
      <c r="L606" s="114"/>
      <c r="N606" s="114"/>
    </row>
    <row r="607" spans="6:14" ht="15.75" customHeight="1" x14ac:dyDescent="0.2">
      <c r="F607" s="114"/>
      <c r="H607" s="114"/>
      <c r="L607" s="114"/>
      <c r="N607" s="114"/>
    </row>
    <row r="608" spans="6:14" ht="15.75" customHeight="1" x14ac:dyDescent="0.2">
      <c r="F608" s="114"/>
      <c r="H608" s="114"/>
      <c r="L608" s="114"/>
      <c r="N608" s="114"/>
    </row>
    <row r="609" spans="6:14" ht="15.75" customHeight="1" x14ac:dyDescent="0.2">
      <c r="F609" s="114"/>
      <c r="H609" s="114"/>
      <c r="L609" s="114"/>
      <c r="N609" s="114"/>
    </row>
    <row r="610" spans="6:14" ht="15.75" customHeight="1" x14ac:dyDescent="0.2">
      <c r="F610" s="114"/>
      <c r="H610" s="114"/>
      <c r="L610" s="114"/>
      <c r="N610" s="114"/>
    </row>
    <row r="611" spans="6:14" ht="15.75" customHeight="1" x14ac:dyDescent="0.2">
      <c r="F611" s="114"/>
      <c r="H611" s="114"/>
      <c r="L611" s="114"/>
      <c r="N611" s="114"/>
    </row>
    <row r="612" spans="6:14" ht="15.75" customHeight="1" x14ac:dyDescent="0.2">
      <c r="F612" s="114"/>
      <c r="H612" s="114"/>
      <c r="L612" s="114"/>
      <c r="N612" s="114"/>
    </row>
    <row r="613" spans="6:14" ht="15.75" customHeight="1" x14ac:dyDescent="0.2">
      <c r="F613" s="114"/>
      <c r="H613" s="114"/>
      <c r="L613" s="114"/>
      <c r="N613" s="114"/>
    </row>
    <row r="614" spans="6:14" ht="15.75" customHeight="1" x14ac:dyDescent="0.2">
      <c r="F614" s="114"/>
      <c r="H614" s="114"/>
      <c r="L614" s="114"/>
      <c r="N614" s="114"/>
    </row>
    <row r="615" spans="6:14" ht="15.75" customHeight="1" x14ac:dyDescent="0.2">
      <c r="F615" s="114"/>
      <c r="H615" s="114"/>
      <c r="L615" s="114"/>
      <c r="N615" s="114"/>
    </row>
    <row r="616" spans="6:14" ht="15.75" customHeight="1" x14ac:dyDescent="0.2">
      <c r="F616" s="114"/>
      <c r="H616" s="114"/>
      <c r="L616" s="114"/>
      <c r="N616" s="114"/>
    </row>
    <row r="617" spans="6:14" ht="15.75" customHeight="1" x14ac:dyDescent="0.2">
      <c r="F617" s="114"/>
      <c r="H617" s="114"/>
      <c r="L617" s="114"/>
      <c r="N617" s="114"/>
    </row>
    <row r="618" spans="6:14" ht="15.75" customHeight="1" x14ac:dyDescent="0.2">
      <c r="F618" s="114"/>
      <c r="H618" s="114"/>
      <c r="L618" s="114"/>
      <c r="N618" s="114"/>
    </row>
    <row r="619" spans="6:14" ht="15.75" customHeight="1" x14ac:dyDescent="0.2">
      <c r="F619" s="114"/>
      <c r="H619" s="114"/>
      <c r="L619" s="114"/>
      <c r="N619" s="114"/>
    </row>
    <row r="620" spans="6:14" ht="15.75" customHeight="1" x14ac:dyDescent="0.2">
      <c r="F620" s="114"/>
      <c r="H620" s="114"/>
      <c r="L620" s="114"/>
      <c r="N620" s="114"/>
    </row>
    <row r="621" spans="6:14" ht="15.75" customHeight="1" x14ac:dyDescent="0.2">
      <c r="F621" s="114"/>
      <c r="H621" s="114"/>
      <c r="L621" s="114"/>
      <c r="N621" s="114"/>
    </row>
    <row r="622" spans="6:14" ht="15.75" customHeight="1" x14ac:dyDescent="0.2">
      <c r="F622" s="114"/>
      <c r="H622" s="114"/>
      <c r="L622" s="114"/>
      <c r="N622" s="114"/>
    </row>
    <row r="623" spans="6:14" ht="15.75" customHeight="1" x14ac:dyDescent="0.2">
      <c r="F623" s="114"/>
      <c r="H623" s="114"/>
      <c r="L623" s="114"/>
      <c r="N623" s="114"/>
    </row>
    <row r="624" spans="6:14" ht="15.75" customHeight="1" x14ac:dyDescent="0.2">
      <c r="F624" s="114"/>
      <c r="H624" s="114"/>
      <c r="L624" s="114"/>
      <c r="N624" s="114"/>
    </row>
    <row r="625" spans="6:14" ht="15.75" customHeight="1" x14ac:dyDescent="0.2">
      <c r="F625" s="114"/>
      <c r="H625" s="114"/>
      <c r="L625" s="114"/>
      <c r="N625" s="114"/>
    </row>
    <row r="626" spans="6:14" ht="15.75" customHeight="1" x14ac:dyDescent="0.2">
      <c r="F626" s="114"/>
      <c r="H626" s="114"/>
      <c r="L626" s="114"/>
      <c r="N626" s="114"/>
    </row>
    <row r="627" spans="6:14" ht="15.75" customHeight="1" x14ac:dyDescent="0.2">
      <c r="F627" s="114"/>
      <c r="H627" s="114"/>
      <c r="L627" s="114"/>
      <c r="N627" s="114"/>
    </row>
    <row r="628" spans="6:14" ht="15.75" customHeight="1" x14ac:dyDescent="0.2">
      <c r="F628" s="114"/>
      <c r="H628" s="114"/>
      <c r="L628" s="114"/>
      <c r="N628" s="114"/>
    </row>
    <row r="629" spans="6:14" ht="15.75" customHeight="1" x14ac:dyDescent="0.2">
      <c r="F629" s="114"/>
      <c r="H629" s="114"/>
      <c r="L629" s="114"/>
      <c r="N629" s="114"/>
    </row>
    <row r="630" spans="6:14" ht="15.75" customHeight="1" x14ac:dyDescent="0.2">
      <c r="F630" s="114"/>
      <c r="H630" s="114"/>
      <c r="L630" s="114"/>
      <c r="N630" s="114"/>
    </row>
    <row r="631" spans="6:14" ht="15.75" customHeight="1" x14ac:dyDescent="0.2">
      <c r="F631" s="114"/>
      <c r="H631" s="114"/>
      <c r="L631" s="114"/>
      <c r="N631" s="114"/>
    </row>
    <row r="632" spans="6:14" ht="15.75" customHeight="1" x14ac:dyDescent="0.2">
      <c r="F632" s="114"/>
      <c r="H632" s="114"/>
      <c r="L632" s="114"/>
      <c r="N632" s="114"/>
    </row>
    <row r="633" spans="6:14" ht="15.75" customHeight="1" x14ac:dyDescent="0.2">
      <c r="F633" s="114"/>
      <c r="H633" s="114"/>
      <c r="L633" s="114"/>
      <c r="N633" s="114"/>
    </row>
    <row r="634" spans="6:14" ht="15.75" customHeight="1" x14ac:dyDescent="0.2">
      <c r="F634" s="114"/>
      <c r="H634" s="114"/>
      <c r="L634" s="114"/>
      <c r="N634" s="114"/>
    </row>
    <row r="635" spans="6:14" ht="15.75" customHeight="1" x14ac:dyDescent="0.2">
      <c r="F635" s="114"/>
      <c r="H635" s="114"/>
      <c r="L635" s="114"/>
      <c r="N635" s="114"/>
    </row>
    <row r="636" spans="6:14" ht="15.75" customHeight="1" x14ac:dyDescent="0.2">
      <c r="F636" s="114"/>
      <c r="H636" s="114"/>
      <c r="L636" s="114"/>
      <c r="N636" s="114"/>
    </row>
    <row r="637" spans="6:14" ht="15.75" customHeight="1" x14ac:dyDescent="0.2">
      <c r="F637" s="114"/>
      <c r="H637" s="114"/>
      <c r="L637" s="114"/>
      <c r="N637" s="114"/>
    </row>
    <row r="638" spans="6:14" ht="15.75" customHeight="1" x14ac:dyDescent="0.2">
      <c r="F638" s="114"/>
      <c r="H638" s="114"/>
      <c r="L638" s="114"/>
      <c r="N638" s="114"/>
    </row>
    <row r="639" spans="6:14" ht="15.75" customHeight="1" x14ac:dyDescent="0.2">
      <c r="F639" s="114"/>
      <c r="H639" s="114"/>
      <c r="L639" s="114"/>
      <c r="N639" s="114"/>
    </row>
    <row r="640" spans="6:14" ht="15.75" customHeight="1" x14ac:dyDescent="0.2">
      <c r="F640" s="114"/>
      <c r="H640" s="114"/>
      <c r="L640" s="114"/>
      <c r="N640" s="114"/>
    </row>
    <row r="641" spans="6:14" ht="15.75" customHeight="1" x14ac:dyDescent="0.2">
      <c r="F641" s="114"/>
      <c r="H641" s="114"/>
      <c r="L641" s="114"/>
      <c r="N641" s="114"/>
    </row>
    <row r="642" spans="6:14" ht="15.75" customHeight="1" x14ac:dyDescent="0.2">
      <c r="F642" s="114"/>
      <c r="H642" s="114"/>
      <c r="L642" s="114"/>
      <c r="N642" s="114"/>
    </row>
    <row r="643" spans="6:14" ht="15.75" customHeight="1" x14ac:dyDescent="0.2">
      <c r="F643" s="114"/>
      <c r="H643" s="114"/>
      <c r="L643" s="114"/>
      <c r="N643" s="114"/>
    </row>
    <row r="644" spans="6:14" ht="15.75" customHeight="1" x14ac:dyDescent="0.2">
      <c r="F644" s="114"/>
      <c r="H644" s="114"/>
      <c r="L644" s="114"/>
      <c r="N644" s="114"/>
    </row>
    <row r="645" spans="6:14" ht="15.75" customHeight="1" x14ac:dyDescent="0.2">
      <c r="F645" s="114"/>
      <c r="H645" s="114"/>
      <c r="L645" s="114"/>
      <c r="N645" s="114"/>
    </row>
    <row r="646" spans="6:14" ht="15.75" customHeight="1" x14ac:dyDescent="0.2">
      <c r="F646" s="114"/>
      <c r="H646" s="114"/>
      <c r="L646" s="114"/>
      <c r="N646" s="114"/>
    </row>
    <row r="647" spans="6:14" ht="15.75" customHeight="1" x14ac:dyDescent="0.2">
      <c r="F647" s="114"/>
      <c r="H647" s="114"/>
      <c r="L647" s="114"/>
      <c r="N647" s="114"/>
    </row>
    <row r="648" spans="6:14" ht="15.75" customHeight="1" x14ac:dyDescent="0.2">
      <c r="F648" s="114"/>
      <c r="H648" s="114"/>
      <c r="L648" s="114"/>
      <c r="N648" s="114"/>
    </row>
    <row r="649" spans="6:14" ht="15.75" customHeight="1" x14ac:dyDescent="0.2">
      <c r="F649" s="114"/>
      <c r="H649" s="114"/>
      <c r="L649" s="114"/>
      <c r="N649" s="114"/>
    </row>
    <row r="650" spans="6:14" ht="15.75" customHeight="1" x14ac:dyDescent="0.2">
      <c r="F650" s="114"/>
      <c r="H650" s="114"/>
      <c r="L650" s="114"/>
      <c r="N650" s="114"/>
    </row>
    <row r="651" spans="6:14" ht="15.75" customHeight="1" x14ac:dyDescent="0.2">
      <c r="F651" s="114"/>
      <c r="H651" s="114"/>
      <c r="L651" s="114"/>
      <c r="N651" s="114"/>
    </row>
    <row r="652" spans="6:14" ht="15.75" customHeight="1" x14ac:dyDescent="0.2">
      <c r="F652" s="114"/>
      <c r="H652" s="114"/>
      <c r="L652" s="114"/>
      <c r="N652" s="114"/>
    </row>
    <row r="653" spans="6:14" ht="15.75" customHeight="1" x14ac:dyDescent="0.2">
      <c r="F653" s="114"/>
      <c r="H653" s="114"/>
      <c r="L653" s="114"/>
      <c r="N653" s="114"/>
    </row>
    <row r="654" spans="6:14" ht="15.75" customHeight="1" x14ac:dyDescent="0.2">
      <c r="F654" s="114"/>
      <c r="H654" s="114"/>
      <c r="L654" s="114"/>
      <c r="N654" s="114"/>
    </row>
    <row r="655" spans="6:14" ht="15.75" customHeight="1" x14ac:dyDescent="0.2">
      <c r="F655" s="114"/>
      <c r="H655" s="114"/>
      <c r="L655" s="114"/>
      <c r="N655" s="114"/>
    </row>
    <row r="656" spans="6:14" ht="15.75" customHeight="1" x14ac:dyDescent="0.2">
      <c r="F656" s="114"/>
      <c r="H656" s="114"/>
      <c r="L656" s="114"/>
      <c r="N656" s="114"/>
    </row>
    <row r="657" spans="6:14" ht="15.75" customHeight="1" x14ac:dyDescent="0.2">
      <c r="F657" s="114"/>
      <c r="H657" s="114"/>
      <c r="L657" s="114"/>
      <c r="N657" s="114"/>
    </row>
    <row r="658" spans="6:14" ht="15.75" customHeight="1" x14ac:dyDescent="0.2">
      <c r="F658" s="114"/>
      <c r="H658" s="114"/>
      <c r="L658" s="114"/>
      <c r="N658" s="114"/>
    </row>
    <row r="659" spans="6:14" ht="15.75" customHeight="1" x14ac:dyDescent="0.2">
      <c r="F659" s="114"/>
      <c r="H659" s="114"/>
      <c r="L659" s="114"/>
      <c r="N659" s="114"/>
    </row>
    <row r="660" spans="6:14" ht="15.75" customHeight="1" x14ac:dyDescent="0.2">
      <c r="F660" s="114"/>
      <c r="H660" s="114"/>
      <c r="L660" s="114"/>
      <c r="N660" s="114"/>
    </row>
    <row r="661" spans="6:14" ht="15.75" customHeight="1" x14ac:dyDescent="0.2">
      <c r="F661" s="114"/>
      <c r="H661" s="114"/>
      <c r="L661" s="114"/>
      <c r="N661" s="114"/>
    </row>
    <row r="662" spans="6:14" ht="15.75" customHeight="1" x14ac:dyDescent="0.2">
      <c r="F662" s="114"/>
      <c r="H662" s="114"/>
      <c r="L662" s="114"/>
      <c r="N662" s="114"/>
    </row>
    <row r="663" spans="6:14" ht="15.75" customHeight="1" x14ac:dyDescent="0.2">
      <c r="F663" s="114"/>
      <c r="H663" s="114"/>
      <c r="L663" s="114"/>
      <c r="N663" s="114"/>
    </row>
    <row r="664" spans="6:14" ht="15.75" customHeight="1" x14ac:dyDescent="0.2">
      <c r="F664" s="114"/>
      <c r="H664" s="114"/>
      <c r="L664" s="114"/>
      <c r="N664" s="114"/>
    </row>
    <row r="665" spans="6:14" ht="15.75" customHeight="1" x14ac:dyDescent="0.2">
      <c r="F665" s="114"/>
      <c r="H665" s="114"/>
      <c r="L665" s="114"/>
      <c r="N665" s="114"/>
    </row>
    <row r="666" spans="6:14" ht="15.75" customHeight="1" x14ac:dyDescent="0.2">
      <c r="F666" s="114"/>
      <c r="H666" s="114"/>
      <c r="L666" s="114"/>
      <c r="N666" s="114"/>
    </row>
    <row r="667" spans="6:14" ht="15.75" customHeight="1" x14ac:dyDescent="0.2">
      <c r="F667" s="114"/>
      <c r="H667" s="114"/>
      <c r="L667" s="114"/>
      <c r="N667" s="114"/>
    </row>
    <row r="668" spans="6:14" ht="15.75" customHeight="1" x14ac:dyDescent="0.2">
      <c r="F668" s="114"/>
      <c r="H668" s="114"/>
      <c r="L668" s="114"/>
      <c r="N668" s="114"/>
    </row>
    <row r="669" spans="6:14" ht="15.75" customHeight="1" x14ac:dyDescent="0.2">
      <c r="F669" s="114"/>
      <c r="H669" s="114"/>
      <c r="L669" s="114"/>
      <c r="N669" s="114"/>
    </row>
    <row r="670" spans="6:14" ht="15.75" customHeight="1" x14ac:dyDescent="0.2">
      <c r="F670" s="114"/>
      <c r="H670" s="114"/>
      <c r="L670" s="114"/>
      <c r="N670" s="114"/>
    </row>
    <row r="671" spans="6:14" ht="15.75" customHeight="1" x14ac:dyDescent="0.2">
      <c r="F671" s="114"/>
      <c r="H671" s="114"/>
      <c r="L671" s="114"/>
      <c r="N671" s="114"/>
    </row>
    <row r="672" spans="6:14" ht="15.75" customHeight="1" x14ac:dyDescent="0.2">
      <c r="F672" s="114"/>
      <c r="H672" s="114"/>
      <c r="L672" s="114"/>
      <c r="N672" s="114"/>
    </row>
    <row r="673" spans="6:14" ht="15.75" customHeight="1" x14ac:dyDescent="0.2">
      <c r="F673" s="114"/>
      <c r="H673" s="114"/>
      <c r="L673" s="114"/>
      <c r="N673" s="114"/>
    </row>
    <row r="674" spans="6:14" ht="15.75" customHeight="1" x14ac:dyDescent="0.2">
      <c r="F674" s="114"/>
      <c r="H674" s="114"/>
      <c r="L674" s="114"/>
      <c r="N674" s="114"/>
    </row>
    <row r="675" spans="6:14" ht="15.75" customHeight="1" x14ac:dyDescent="0.2">
      <c r="F675" s="114"/>
      <c r="H675" s="114"/>
      <c r="L675" s="114"/>
      <c r="N675" s="114"/>
    </row>
    <row r="676" spans="6:14" ht="15.75" customHeight="1" x14ac:dyDescent="0.2">
      <c r="F676" s="114"/>
      <c r="H676" s="114"/>
      <c r="L676" s="114"/>
      <c r="N676" s="114"/>
    </row>
    <row r="677" spans="6:14" ht="15.75" customHeight="1" x14ac:dyDescent="0.2">
      <c r="F677" s="114"/>
      <c r="H677" s="114"/>
      <c r="L677" s="114"/>
      <c r="N677" s="114"/>
    </row>
    <row r="678" spans="6:14" ht="15.75" customHeight="1" x14ac:dyDescent="0.2">
      <c r="F678" s="114"/>
      <c r="H678" s="114"/>
      <c r="L678" s="114"/>
      <c r="N678" s="114"/>
    </row>
    <row r="679" spans="6:14" ht="15.75" customHeight="1" x14ac:dyDescent="0.2">
      <c r="F679" s="114"/>
      <c r="H679" s="114"/>
      <c r="L679" s="114"/>
      <c r="N679" s="114"/>
    </row>
    <row r="680" spans="6:14" ht="15.75" customHeight="1" x14ac:dyDescent="0.2">
      <c r="F680" s="114"/>
      <c r="H680" s="114"/>
      <c r="L680" s="114"/>
      <c r="N680" s="114"/>
    </row>
    <row r="681" spans="6:14" ht="15.75" customHeight="1" x14ac:dyDescent="0.2">
      <c r="F681" s="114"/>
      <c r="H681" s="114"/>
      <c r="L681" s="114"/>
      <c r="N681" s="114"/>
    </row>
    <row r="682" spans="6:14" ht="15.75" customHeight="1" x14ac:dyDescent="0.2">
      <c r="F682" s="114"/>
      <c r="H682" s="114"/>
      <c r="L682" s="114"/>
      <c r="N682" s="114"/>
    </row>
    <row r="683" spans="6:14" ht="15.75" customHeight="1" x14ac:dyDescent="0.2">
      <c r="F683" s="114"/>
      <c r="H683" s="114"/>
      <c r="L683" s="114"/>
      <c r="N683" s="114"/>
    </row>
    <row r="684" spans="6:14" ht="15.75" customHeight="1" x14ac:dyDescent="0.2">
      <c r="F684" s="114"/>
      <c r="H684" s="114"/>
      <c r="L684" s="114"/>
      <c r="N684" s="114"/>
    </row>
    <row r="685" spans="6:14" ht="15.75" customHeight="1" x14ac:dyDescent="0.2">
      <c r="F685" s="114"/>
      <c r="H685" s="114"/>
      <c r="L685" s="114"/>
      <c r="N685" s="114"/>
    </row>
    <row r="686" spans="6:14" ht="15.75" customHeight="1" x14ac:dyDescent="0.2">
      <c r="F686" s="114"/>
      <c r="H686" s="114"/>
      <c r="L686" s="114"/>
      <c r="N686" s="114"/>
    </row>
    <row r="687" spans="6:14" ht="15.75" customHeight="1" x14ac:dyDescent="0.2">
      <c r="F687" s="114"/>
      <c r="H687" s="114"/>
      <c r="L687" s="114"/>
      <c r="N687" s="114"/>
    </row>
    <row r="688" spans="6:14" ht="15.75" customHeight="1" x14ac:dyDescent="0.2">
      <c r="F688" s="114"/>
      <c r="H688" s="114"/>
      <c r="L688" s="114"/>
      <c r="N688" s="114"/>
    </row>
    <row r="689" spans="6:14" ht="15.75" customHeight="1" x14ac:dyDescent="0.2">
      <c r="F689" s="114"/>
      <c r="H689" s="114"/>
      <c r="L689" s="114"/>
      <c r="N689" s="114"/>
    </row>
    <row r="690" spans="6:14" ht="15.75" customHeight="1" x14ac:dyDescent="0.2">
      <c r="F690" s="114"/>
      <c r="H690" s="114"/>
      <c r="L690" s="114"/>
      <c r="N690" s="114"/>
    </row>
    <row r="691" spans="6:14" ht="15.75" customHeight="1" x14ac:dyDescent="0.2">
      <c r="F691" s="114"/>
      <c r="H691" s="114"/>
      <c r="L691" s="114"/>
      <c r="N691" s="114"/>
    </row>
    <row r="692" spans="6:14" ht="15.75" customHeight="1" x14ac:dyDescent="0.2">
      <c r="F692" s="114"/>
      <c r="H692" s="114"/>
      <c r="L692" s="114"/>
      <c r="N692" s="114"/>
    </row>
    <row r="693" spans="6:14" ht="15.75" customHeight="1" x14ac:dyDescent="0.2">
      <c r="F693" s="114"/>
      <c r="H693" s="114"/>
      <c r="L693" s="114"/>
      <c r="N693" s="114"/>
    </row>
    <row r="694" spans="6:14" ht="15.75" customHeight="1" x14ac:dyDescent="0.2">
      <c r="F694" s="114"/>
      <c r="H694" s="114"/>
      <c r="L694" s="114"/>
      <c r="N694" s="114"/>
    </row>
    <row r="695" spans="6:14" ht="15.75" customHeight="1" x14ac:dyDescent="0.2">
      <c r="F695" s="114"/>
      <c r="H695" s="114"/>
      <c r="L695" s="114"/>
      <c r="N695" s="114"/>
    </row>
    <row r="696" spans="6:14" ht="15.75" customHeight="1" x14ac:dyDescent="0.2">
      <c r="F696" s="114"/>
      <c r="H696" s="114"/>
      <c r="L696" s="114"/>
      <c r="N696" s="114"/>
    </row>
    <row r="697" spans="6:14" ht="15.75" customHeight="1" x14ac:dyDescent="0.2">
      <c r="F697" s="114"/>
      <c r="H697" s="114"/>
      <c r="L697" s="114"/>
      <c r="N697" s="114"/>
    </row>
    <row r="698" spans="6:14" ht="15.75" customHeight="1" x14ac:dyDescent="0.2">
      <c r="F698" s="114"/>
      <c r="H698" s="114"/>
      <c r="L698" s="114"/>
      <c r="N698" s="114"/>
    </row>
    <row r="699" spans="6:14" ht="15.75" customHeight="1" x14ac:dyDescent="0.2">
      <c r="F699" s="114"/>
      <c r="H699" s="114"/>
      <c r="L699" s="114"/>
      <c r="N699" s="114"/>
    </row>
    <row r="700" spans="6:14" ht="15.75" customHeight="1" x14ac:dyDescent="0.2">
      <c r="F700" s="114"/>
      <c r="H700" s="114"/>
      <c r="L700" s="114"/>
      <c r="N700" s="114"/>
    </row>
    <row r="701" spans="6:14" ht="15.75" customHeight="1" x14ac:dyDescent="0.2">
      <c r="F701" s="114"/>
      <c r="H701" s="114"/>
      <c r="L701" s="114"/>
      <c r="N701" s="114"/>
    </row>
    <row r="702" spans="6:14" ht="15.75" customHeight="1" x14ac:dyDescent="0.2">
      <c r="F702" s="114"/>
      <c r="H702" s="114"/>
      <c r="L702" s="114"/>
      <c r="N702" s="114"/>
    </row>
    <row r="703" spans="6:14" ht="15.75" customHeight="1" x14ac:dyDescent="0.2">
      <c r="F703" s="114"/>
      <c r="H703" s="114"/>
      <c r="L703" s="114"/>
      <c r="N703" s="114"/>
    </row>
    <row r="704" spans="6:14" ht="15.75" customHeight="1" x14ac:dyDescent="0.2">
      <c r="F704" s="114"/>
      <c r="H704" s="114"/>
      <c r="L704" s="114"/>
      <c r="N704" s="114"/>
    </row>
    <row r="705" spans="6:14" ht="15.75" customHeight="1" x14ac:dyDescent="0.2">
      <c r="F705" s="114"/>
      <c r="H705" s="114"/>
      <c r="L705" s="114"/>
      <c r="N705" s="114"/>
    </row>
    <row r="706" spans="6:14" ht="15.75" customHeight="1" x14ac:dyDescent="0.2">
      <c r="F706" s="114"/>
      <c r="H706" s="114"/>
      <c r="L706" s="114"/>
      <c r="N706" s="114"/>
    </row>
    <row r="707" spans="6:14" ht="15.75" customHeight="1" x14ac:dyDescent="0.2">
      <c r="F707" s="114"/>
      <c r="H707" s="114"/>
      <c r="L707" s="114"/>
      <c r="N707" s="114"/>
    </row>
    <row r="708" spans="6:14" ht="15.75" customHeight="1" x14ac:dyDescent="0.2">
      <c r="F708" s="114"/>
      <c r="H708" s="114"/>
      <c r="L708" s="114"/>
      <c r="N708" s="114"/>
    </row>
    <row r="709" spans="6:14" ht="15.75" customHeight="1" x14ac:dyDescent="0.2">
      <c r="F709" s="114"/>
      <c r="H709" s="114"/>
      <c r="L709" s="114"/>
      <c r="N709" s="114"/>
    </row>
    <row r="710" spans="6:14" ht="15.75" customHeight="1" x14ac:dyDescent="0.2">
      <c r="F710" s="114"/>
      <c r="H710" s="114"/>
      <c r="L710" s="114"/>
      <c r="N710" s="114"/>
    </row>
    <row r="711" spans="6:14" ht="15.75" customHeight="1" x14ac:dyDescent="0.2">
      <c r="F711" s="114"/>
      <c r="H711" s="114"/>
      <c r="L711" s="114"/>
      <c r="N711" s="114"/>
    </row>
    <row r="712" spans="6:14" ht="15.75" customHeight="1" x14ac:dyDescent="0.2">
      <c r="F712" s="114"/>
      <c r="H712" s="114"/>
      <c r="L712" s="114"/>
      <c r="N712" s="114"/>
    </row>
    <row r="713" spans="6:14" ht="15.75" customHeight="1" x14ac:dyDescent="0.2">
      <c r="F713" s="114"/>
      <c r="H713" s="114"/>
      <c r="L713" s="114"/>
      <c r="N713" s="114"/>
    </row>
    <row r="714" spans="6:14" ht="15.75" customHeight="1" x14ac:dyDescent="0.2">
      <c r="F714" s="114"/>
      <c r="H714" s="114"/>
      <c r="L714" s="114"/>
      <c r="N714" s="114"/>
    </row>
    <row r="715" spans="6:14" ht="15.75" customHeight="1" x14ac:dyDescent="0.2">
      <c r="F715" s="114"/>
      <c r="H715" s="114"/>
      <c r="L715" s="114"/>
      <c r="N715" s="114"/>
    </row>
    <row r="716" spans="6:14" ht="15.75" customHeight="1" x14ac:dyDescent="0.2">
      <c r="F716" s="114"/>
      <c r="H716" s="114"/>
      <c r="L716" s="114"/>
      <c r="N716" s="114"/>
    </row>
    <row r="717" spans="6:14" ht="15.75" customHeight="1" x14ac:dyDescent="0.2">
      <c r="F717" s="114"/>
      <c r="H717" s="114"/>
      <c r="L717" s="114"/>
      <c r="N717" s="114"/>
    </row>
    <row r="718" spans="6:14" ht="15.75" customHeight="1" x14ac:dyDescent="0.2">
      <c r="F718" s="114"/>
      <c r="H718" s="114"/>
      <c r="L718" s="114"/>
      <c r="N718" s="114"/>
    </row>
    <row r="719" spans="6:14" ht="15.75" customHeight="1" x14ac:dyDescent="0.2">
      <c r="F719" s="114"/>
      <c r="H719" s="114"/>
      <c r="L719" s="114"/>
      <c r="N719" s="114"/>
    </row>
    <row r="720" spans="6:14" ht="15.75" customHeight="1" x14ac:dyDescent="0.2">
      <c r="F720" s="114"/>
      <c r="H720" s="114"/>
      <c r="L720" s="114"/>
      <c r="N720" s="114"/>
    </row>
    <row r="721" spans="6:14" ht="15.75" customHeight="1" x14ac:dyDescent="0.2">
      <c r="F721" s="114"/>
      <c r="H721" s="114"/>
      <c r="L721" s="114"/>
      <c r="N721" s="114"/>
    </row>
    <row r="722" spans="6:14" ht="15.75" customHeight="1" x14ac:dyDescent="0.2">
      <c r="F722" s="114"/>
      <c r="H722" s="114"/>
      <c r="L722" s="114"/>
      <c r="N722" s="114"/>
    </row>
    <row r="723" spans="6:14" ht="15.75" customHeight="1" x14ac:dyDescent="0.2">
      <c r="F723" s="114"/>
      <c r="H723" s="114"/>
      <c r="L723" s="114"/>
      <c r="N723" s="114"/>
    </row>
    <row r="724" spans="6:14" ht="15.75" customHeight="1" x14ac:dyDescent="0.2">
      <c r="F724" s="114"/>
      <c r="H724" s="114"/>
      <c r="L724" s="114"/>
      <c r="N724" s="114"/>
    </row>
    <row r="725" spans="6:14" ht="15.75" customHeight="1" x14ac:dyDescent="0.2">
      <c r="F725" s="114"/>
      <c r="H725" s="114"/>
      <c r="L725" s="114"/>
      <c r="N725" s="114"/>
    </row>
    <row r="726" spans="6:14" ht="15.75" customHeight="1" x14ac:dyDescent="0.2">
      <c r="F726" s="114"/>
      <c r="H726" s="114"/>
      <c r="L726" s="114"/>
      <c r="N726" s="114"/>
    </row>
    <row r="727" spans="6:14" ht="15.75" customHeight="1" x14ac:dyDescent="0.2">
      <c r="F727" s="114"/>
      <c r="H727" s="114"/>
      <c r="L727" s="114"/>
      <c r="N727" s="114"/>
    </row>
    <row r="728" spans="6:14" ht="15.75" customHeight="1" x14ac:dyDescent="0.2">
      <c r="F728" s="114"/>
      <c r="H728" s="114"/>
      <c r="L728" s="114"/>
      <c r="N728" s="114"/>
    </row>
    <row r="729" spans="6:14" ht="15.75" customHeight="1" x14ac:dyDescent="0.2">
      <c r="F729" s="114"/>
      <c r="H729" s="114"/>
      <c r="L729" s="114"/>
      <c r="N729" s="114"/>
    </row>
    <row r="730" spans="6:14" ht="15.75" customHeight="1" x14ac:dyDescent="0.2">
      <c r="F730" s="114"/>
      <c r="H730" s="114"/>
      <c r="L730" s="114"/>
      <c r="N730" s="114"/>
    </row>
    <row r="731" spans="6:14" ht="15.75" customHeight="1" x14ac:dyDescent="0.2">
      <c r="F731" s="114"/>
      <c r="H731" s="114"/>
      <c r="L731" s="114"/>
      <c r="N731" s="114"/>
    </row>
    <row r="732" spans="6:14" ht="15.75" customHeight="1" x14ac:dyDescent="0.2">
      <c r="F732" s="114"/>
      <c r="H732" s="114"/>
      <c r="L732" s="114"/>
      <c r="N732" s="114"/>
    </row>
    <row r="733" spans="6:14" ht="15.75" customHeight="1" x14ac:dyDescent="0.2">
      <c r="F733" s="114"/>
      <c r="H733" s="114"/>
      <c r="L733" s="114"/>
      <c r="N733" s="114"/>
    </row>
    <row r="734" spans="6:14" ht="15.75" customHeight="1" x14ac:dyDescent="0.2">
      <c r="F734" s="114"/>
      <c r="H734" s="114"/>
      <c r="L734" s="114"/>
      <c r="N734" s="114"/>
    </row>
    <row r="735" spans="6:14" ht="15.75" customHeight="1" x14ac:dyDescent="0.2">
      <c r="F735" s="114"/>
      <c r="H735" s="114"/>
      <c r="L735" s="114"/>
      <c r="N735" s="114"/>
    </row>
    <row r="736" spans="6:14" ht="15.75" customHeight="1" x14ac:dyDescent="0.2">
      <c r="F736" s="114"/>
      <c r="H736" s="114"/>
      <c r="L736" s="114"/>
      <c r="N736" s="114"/>
    </row>
    <row r="737" spans="6:14" ht="15.75" customHeight="1" x14ac:dyDescent="0.2">
      <c r="F737" s="114"/>
      <c r="H737" s="114"/>
      <c r="L737" s="114"/>
      <c r="N737" s="114"/>
    </row>
    <row r="738" spans="6:14" ht="15.75" customHeight="1" x14ac:dyDescent="0.2">
      <c r="F738" s="114"/>
      <c r="H738" s="114"/>
      <c r="L738" s="114"/>
      <c r="N738" s="114"/>
    </row>
    <row r="739" spans="6:14" ht="15.75" customHeight="1" x14ac:dyDescent="0.2">
      <c r="F739" s="114"/>
      <c r="H739" s="114"/>
      <c r="L739" s="114"/>
      <c r="N739" s="114"/>
    </row>
    <row r="740" spans="6:14" ht="15.75" customHeight="1" x14ac:dyDescent="0.2">
      <c r="F740" s="114"/>
      <c r="H740" s="114"/>
      <c r="L740" s="114"/>
      <c r="N740" s="114"/>
    </row>
    <row r="741" spans="6:14" ht="15.75" customHeight="1" x14ac:dyDescent="0.2">
      <c r="F741" s="114"/>
      <c r="H741" s="114"/>
      <c r="L741" s="114"/>
      <c r="N741" s="114"/>
    </row>
    <row r="742" spans="6:14" ht="15.75" customHeight="1" x14ac:dyDescent="0.2">
      <c r="F742" s="114"/>
      <c r="H742" s="114"/>
      <c r="L742" s="114"/>
      <c r="N742" s="114"/>
    </row>
    <row r="743" spans="6:14" ht="15.75" customHeight="1" x14ac:dyDescent="0.2">
      <c r="F743" s="114"/>
      <c r="H743" s="114"/>
      <c r="L743" s="114"/>
      <c r="N743" s="114"/>
    </row>
    <row r="744" spans="6:14" ht="15.75" customHeight="1" x14ac:dyDescent="0.2">
      <c r="F744" s="114"/>
      <c r="H744" s="114"/>
      <c r="L744" s="114"/>
      <c r="N744" s="114"/>
    </row>
    <row r="745" spans="6:14" ht="15.75" customHeight="1" x14ac:dyDescent="0.2">
      <c r="F745" s="114"/>
      <c r="H745" s="114"/>
      <c r="L745" s="114"/>
      <c r="N745" s="114"/>
    </row>
    <row r="746" spans="6:14" ht="15.75" customHeight="1" x14ac:dyDescent="0.2">
      <c r="F746" s="114"/>
      <c r="H746" s="114"/>
      <c r="L746" s="114"/>
      <c r="N746" s="114"/>
    </row>
    <row r="747" spans="6:14" ht="15.75" customHeight="1" x14ac:dyDescent="0.2">
      <c r="F747" s="114"/>
      <c r="H747" s="114"/>
      <c r="L747" s="114"/>
      <c r="N747" s="114"/>
    </row>
    <row r="748" spans="6:14" ht="15.75" customHeight="1" x14ac:dyDescent="0.2">
      <c r="F748" s="114"/>
      <c r="H748" s="114"/>
      <c r="L748" s="114"/>
      <c r="N748" s="114"/>
    </row>
    <row r="749" spans="6:14" ht="15.75" customHeight="1" x14ac:dyDescent="0.2">
      <c r="F749" s="114"/>
      <c r="H749" s="114"/>
      <c r="L749" s="114"/>
      <c r="N749" s="114"/>
    </row>
    <row r="750" spans="6:14" ht="15.75" customHeight="1" x14ac:dyDescent="0.2">
      <c r="F750" s="114"/>
      <c r="H750" s="114"/>
      <c r="L750" s="114"/>
      <c r="N750" s="114"/>
    </row>
    <row r="751" spans="6:14" ht="15.75" customHeight="1" x14ac:dyDescent="0.2">
      <c r="F751" s="114"/>
      <c r="H751" s="114"/>
      <c r="L751" s="114"/>
      <c r="N751" s="114"/>
    </row>
    <row r="752" spans="6:14" ht="15.75" customHeight="1" x14ac:dyDescent="0.2">
      <c r="F752" s="114"/>
      <c r="H752" s="114"/>
      <c r="L752" s="114"/>
      <c r="N752" s="114"/>
    </row>
    <row r="753" spans="6:14" ht="15.75" customHeight="1" x14ac:dyDescent="0.2">
      <c r="F753" s="114"/>
      <c r="H753" s="114"/>
      <c r="L753" s="114"/>
      <c r="N753" s="114"/>
    </row>
    <row r="754" spans="6:14" ht="15.75" customHeight="1" x14ac:dyDescent="0.2">
      <c r="F754" s="114"/>
      <c r="H754" s="114"/>
      <c r="L754" s="114"/>
      <c r="N754" s="114"/>
    </row>
    <row r="755" spans="6:14" ht="15.75" customHeight="1" x14ac:dyDescent="0.2">
      <c r="F755" s="114"/>
      <c r="H755" s="114"/>
      <c r="L755" s="114"/>
      <c r="N755" s="114"/>
    </row>
    <row r="756" spans="6:14" ht="15.75" customHeight="1" x14ac:dyDescent="0.2">
      <c r="F756" s="114"/>
      <c r="H756" s="114"/>
      <c r="L756" s="114"/>
      <c r="N756" s="114"/>
    </row>
    <row r="757" spans="6:14" ht="15.75" customHeight="1" x14ac:dyDescent="0.2">
      <c r="F757" s="114"/>
      <c r="H757" s="114"/>
      <c r="L757" s="114"/>
      <c r="N757" s="114"/>
    </row>
    <row r="758" spans="6:14" ht="15.75" customHeight="1" x14ac:dyDescent="0.2">
      <c r="F758" s="114"/>
      <c r="H758" s="114"/>
      <c r="L758" s="114"/>
      <c r="N758" s="114"/>
    </row>
    <row r="759" spans="6:14" ht="15.75" customHeight="1" x14ac:dyDescent="0.2">
      <c r="F759" s="114"/>
      <c r="H759" s="114"/>
      <c r="L759" s="114"/>
      <c r="N759" s="114"/>
    </row>
    <row r="760" spans="6:14" ht="15.75" customHeight="1" x14ac:dyDescent="0.2">
      <c r="F760" s="114"/>
      <c r="H760" s="114"/>
      <c r="L760" s="114"/>
      <c r="N760" s="114"/>
    </row>
    <row r="761" spans="6:14" ht="15.75" customHeight="1" x14ac:dyDescent="0.2">
      <c r="F761" s="114"/>
      <c r="H761" s="114"/>
      <c r="L761" s="114"/>
      <c r="N761" s="114"/>
    </row>
    <row r="762" spans="6:14" ht="15.75" customHeight="1" x14ac:dyDescent="0.2">
      <c r="F762" s="114"/>
      <c r="H762" s="114"/>
      <c r="L762" s="114"/>
      <c r="N762" s="114"/>
    </row>
    <row r="763" spans="6:14" ht="15.75" customHeight="1" x14ac:dyDescent="0.2">
      <c r="F763" s="114"/>
      <c r="H763" s="114"/>
      <c r="L763" s="114"/>
      <c r="N763" s="114"/>
    </row>
    <row r="764" spans="6:14" ht="15.75" customHeight="1" x14ac:dyDescent="0.2">
      <c r="F764" s="114"/>
      <c r="H764" s="114"/>
      <c r="L764" s="114"/>
      <c r="N764" s="114"/>
    </row>
    <row r="765" spans="6:14" ht="15.75" customHeight="1" x14ac:dyDescent="0.2">
      <c r="F765" s="114"/>
      <c r="H765" s="114"/>
      <c r="L765" s="114"/>
      <c r="N765" s="114"/>
    </row>
    <row r="766" spans="6:14" ht="15.75" customHeight="1" x14ac:dyDescent="0.2">
      <c r="F766" s="114"/>
      <c r="H766" s="114"/>
      <c r="L766" s="114"/>
      <c r="N766" s="114"/>
    </row>
    <row r="767" spans="6:14" ht="15.75" customHeight="1" x14ac:dyDescent="0.2">
      <c r="F767" s="114"/>
      <c r="H767" s="114"/>
      <c r="L767" s="114"/>
      <c r="N767" s="114"/>
    </row>
    <row r="768" spans="6:14" ht="15.75" customHeight="1" x14ac:dyDescent="0.2">
      <c r="F768" s="114"/>
      <c r="H768" s="114"/>
      <c r="L768" s="114"/>
      <c r="N768" s="114"/>
    </row>
    <row r="769" spans="6:14" ht="15.75" customHeight="1" x14ac:dyDescent="0.2">
      <c r="F769" s="114"/>
      <c r="H769" s="114"/>
      <c r="L769" s="114"/>
      <c r="N769" s="114"/>
    </row>
    <row r="770" spans="6:14" ht="15.75" customHeight="1" x14ac:dyDescent="0.2">
      <c r="F770" s="114"/>
      <c r="H770" s="114"/>
      <c r="L770" s="114"/>
      <c r="N770" s="114"/>
    </row>
    <row r="771" spans="6:14" ht="15.75" customHeight="1" x14ac:dyDescent="0.2">
      <c r="F771" s="114"/>
      <c r="H771" s="114"/>
      <c r="L771" s="114"/>
      <c r="N771" s="114"/>
    </row>
    <row r="772" spans="6:14" ht="15.75" customHeight="1" x14ac:dyDescent="0.2">
      <c r="F772" s="114"/>
      <c r="H772" s="114"/>
      <c r="L772" s="114"/>
      <c r="N772" s="114"/>
    </row>
    <row r="773" spans="6:14" ht="15.75" customHeight="1" x14ac:dyDescent="0.2">
      <c r="F773" s="114"/>
      <c r="H773" s="114"/>
      <c r="L773" s="114"/>
      <c r="N773" s="114"/>
    </row>
    <row r="774" spans="6:14" ht="15.75" customHeight="1" x14ac:dyDescent="0.2">
      <c r="F774" s="114"/>
      <c r="H774" s="114"/>
      <c r="L774" s="114"/>
      <c r="N774" s="114"/>
    </row>
    <row r="775" spans="6:14" ht="15.75" customHeight="1" x14ac:dyDescent="0.2">
      <c r="F775" s="114"/>
      <c r="H775" s="114"/>
      <c r="L775" s="114"/>
      <c r="N775" s="114"/>
    </row>
    <row r="776" spans="6:14" ht="15.75" customHeight="1" x14ac:dyDescent="0.2">
      <c r="F776" s="114"/>
      <c r="H776" s="114"/>
      <c r="L776" s="114"/>
      <c r="N776" s="114"/>
    </row>
    <row r="777" spans="6:14" ht="15.75" customHeight="1" x14ac:dyDescent="0.2">
      <c r="F777" s="114"/>
      <c r="H777" s="114"/>
      <c r="L777" s="114"/>
      <c r="N777" s="114"/>
    </row>
    <row r="778" spans="6:14" ht="15.75" customHeight="1" x14ac:dyDescent="0.2">
      <c r="F778" s="114"/>
      <c r="H778" s="114"/>
      <c r="L778" s="114"/>
      <c r="N778" s="114"/>
    </row>
    <row r="779" spans="6:14" ht="15.75" customHeight="1" x14ac:dyDescent="0.2">
      <c r="F779" s="114"/>
      <c r="H779" s="114"/>
      <c r="L779" s="114"/>
      <c r="N779" s="114"/>
    </row>
    <row r="780" spans="6:14" ht="15.75" customHeight="1" x14ac:dyDescent="0.2">
      <c r="F780" s="114"/>
      <c r="H780" s="114"/>
      <c r="L780" s="114"/>
      <c r="N780" s="114"/>
    </row>
    <row r="781" spans="6:14" ht="15.75" customHeight="1" x14ac:dyDescent="0.2">
      <c r="F781" s="114"/>
      <c r="H781" s="114"/>
      <c r="L781" s="114"/>
      <c r="N781" s="114"/>
    </row>
    <row r="782" spans="6:14" ht="15.75" customHeight="1" x14ac:dyDescent="0.2">
      <c r="F782" s="114"/>
      <c r="H782" s="114"/>
      <c r="L782" s="114"/>
      <c r="N782" s="114"/>
    </row>
    <row r="783" spans="6:14" ht="15.75" customHeight="1" x14ac:dyDescent="0.2">
      <c r="F783" s="114"/>
      <c r="H783" s="114"/>
      <c r="L783" s="114"/>
      <c r="N783" s="114"/>
    </row>
    <row r="784" spans="6:14" ht="15.75" customHeight="1" x14ac:dyDescent="0.2">
      <c r="F784" s="114"/>
      <c r="H784" s="114"/>
      <c r="L784" s="114"/>
      <c r="N784" s="114"/>
    </row>
    <row r="785" spans="6:14" ht="15.75" customHeight="1" x14ac:dyDescent="0.2">
      <c r="F785" s="114"/>
      <c r="H785" s="114"/>
      <c r="L785" s="114"/>
      <c r="N785" s="114"/>
    </row>
    <row r="786" spans="6:14" ht="15.75" customHeight="1" x14ac:dyDescent="0.2">
      <c r="F786" s="114"/>
      <c r="H786" s="114"/>
      <c r="L786" s="114"/>
      <c r="N786" s="114"/>
    </row>
    <row r="787" spans="6:14" ht="15.75" customHeight="1" x14ac:dyDescent="0.2">
      <c r="F787" s="114"/>
      <c r="H787" s="114"/>
      <c r="L787" s="114"/>
      <c r="N787" s="114"/>
    </row>
    <row r="788" spans="6:14" ht="15.75" customHeight="1" x14ac:dyDescent="0.2">
      <c r="F788" s="114"/>
      <c r="H788" s="114"/>
      <c r="L788" s="114"/>
      <c r="N788" s="114"/>
    </row>
    <row r="789" spans="6:14" ht="15.75" customHeight="1" x14ac:dyDescent="0.2">
      <c r="F789" s="114"/>
      <c r="H789" s="114"/>
      <c r="L789" s="114"/>
      <c r="N789" s="114"/>
    </row>
    <row r="790" spans="6:14" ht="15.75" customHeight="1" x14ac:dyDescent="0.2">
      <c r="F790" s="114"/>
      <c r="H790" s="114"/>
      <c r="L790" s="114"/>
      <c r="N790" s="114"/>
    </row>
    <row r="791" spans="6:14" ht="15.75" customHeight="1" x14ac:dyDescent="0.2">
      <c r="F791" s="114"/>
      <c r="H791" s="114"/>
      <c r="L791" s="114"/>
      <c r="N791" s="114"/>
    </row>
    <row r="792" spans="6:14" ht="15.75" customHeight="1" x14ac:dyDescent="0.2">
      <c r="F792" s="114"/>
      <c r="H792" s="114"/>
      <c r="L792" s="114"/>
      <c r="N792" s="114"/>
    </row>
    <row r="793" spans="6:14" ht="15.75" customHeight="1" x14ac:dyDescent="0.2">
      <c r="F793" s="114"/>
      <c r="H793" s="114"/>
      <c r="L793" s="114"/>
      <c r="N793" s="114"/>
    </row>
    <row r="794" spans="6:14" ht="15.75" customHeight="1" x14ac:dyDescent="0.2">
      <c r="F794" s="114"/>
      <c r="H794" s="114"/>
      <c r="L794" s="114"/>
      <c r="N794" s="114"/>
    </row>
    <row r="795" spans="6:14" ht="15.75" customHeight="1" x14ac:dyDescent="0.2">
      <c r="F795" s="114"/>
      <c r="H795" s="114"/>
      <c r="L795" s="114"/>
      <c r="N795" s="114"/>
    </row>
    <row r="796" spans="6:14" ht="15.75" customHeight="1" x14ac:dyDescent="0.2">
      <c r="F796" s="114"/>
      <c r="H796" s="114"/>
      <c r="L796" s="114"/>
      <c r="N796" s="114"/>
    </row>
    <row r="797" spans="6:14" ht="15.75" customHeight="1" x14ac:dyDescent="0.2">
      <c r="F797" s="114"/>
      <c r="H797" s="114"/>
      <c r="L797" s="114"/>
      <c r="N797" s="114"/>
    </row>
    <row r="798" spans="6:14" ht="15.75" customHeight="1" x14ac:dyDescent="0.2">
      <c r="F798" s="114"/>
      <c r="H798" s="114"/>
      <c r="L798" s="114"/>
      <c r="N798" s="114"/>
    </row>
    <row r="799" spans="6:14" ht="15.75" customHeight="1" x14ac:dyDescent="0.2">
      <c r="F799" s="114"/>
      <c r="H799" s="114"/>
      <c r="L799" s="114"/>
      <c r="N799" s="114"/>
    </row>
    <row r="800" spans="6:14" ht="15.75" customHeight="1" x14ac:dyDescent="0.2">
      <c r="F800" s="114"/>
      <c r="H800" s="114"/>
      <c r="L800" s="114"/>
      <c r="N800" s="114"/>
    </row>
    <row r="801" spans="6:14" ht="15.75" customHeight="1" x14ac:dyDescent="0.2">
      <c r="F801" s="114"/>
      <c r="H801" s="114"/>
      <c r="L801" s="114"/>
      <c r="N801" s="114"/>
    </row>
    <row r="802" spans="6:14" ht="15.75" customHeight="1" x14ac:dyDescent="0.2">
      <c r="F802" s="114"/>
      <c r="H802" s="114"/>
      <c r="L802" s="114"/>
      <c r="N802" s="114"/>
    </row>
    <row r="803" spans="6:14" ht="15.75" customHeight="1" x14ac:dyDescent="0.2">
      <c r="F803" s="114"/>
      <c r="H803" s="114"/>
      <c r="L803" s="114"/>
      <c r="N803" s="114"/>
    </row>
    <row r="804" spans="6:14" ht="15.75" customHeight="1" x14ac:dyDescent="0.2">
      <c r="F804" s="114"/>
      <c r="H804" s="114"/>
      <c r="L804" s="114"/>
      <c r="N804" s="114"/>
    </row>
    <row r="805" spans="6:14" ht="15.75" customHeight="1" x14ac:dyDescent="0.2">
      <c r="F805" s="114"/>
      <c r="H805" s="114"/>
      <c r="L805" s="114"/>
      <c r="N805" s="114"/>
    </row>
    <row r="806" spans="6:14" ht="15.75" customHeight="1" x14ac:dyDescent="0.2">
      <c r="F806" s="114"/>
      <c r="H806" s="114"/>
      <c r="L806" s="114"/>
      <c r="N806" s="114"/>
    </row>
    <row r="807" spans="6:14" ht="15.75" customHeight="1" x14ac:dyDescent="0.2">
      <c r="F807" s="114"/>
      <c r="H807" s="114"/>
      <c r="L807" s="114"/>
      <c r="N807" s="114"/>
    </row>
    <row r="808" spans="6:14" ht="15.75" customHeight="1" x14ac:dyDescent="0.2">
      <c r="F808" s="114"/>
      <c r="H808" s="114"/>
      <c r="L808" s="114"/>
      <c r="N808" s="114"/>
    </row>
    <row r="809" spans="6:14" ht="15.75" customHeight="1" x14ac:dyDescent="0.2">
      <c r="F809" s="114"/>
      <c r="H809" s="114"/>
      <c r="L809" s="114"/>
      <c r="N809" s="114"/>
    </row>
    <row r="810" spans="6:14" ht="15.75" customHeight="1" x14ac:dyDescent="0.2">
      <c r="F810" s="114"/>
      <c r="H810" s="114"/>
      <c r="L810" s="114"/>
      <c r="N810" s="114"/>
    </row>
    <row r="811" spans="6:14" ht="15.75" customHeight="1" x14ac:dyDescent="0.2">
      <c r="F811" s="114"/>
      <c r="H811" s="114"/>
      <c r="L811" s="114"/>
      <c r="N811" s="114"/>
    </row>
    <row r="812" spans="6:14" ht="15.75" customHeight="1" x14ac:dyDescent="0.2">
      <c r="F812" s="114"/>
      <c r="H812" s="114"/>
      <c r="L812" s="114"/>
      <c r="N812" s="114"/>
    </row>
    <row r="813" spans="6:14" ht="15.75" customHeight="1" x14ac:dyDescent="0.2">
      <c r="F813" s="114"/>
      <c r="H813" s="114"/>
      <c r="L813" s="114"/>
      <c r="N813" s="114"/>
    </row>
    <row r="814" spans="6:14" ht="15.75" customHeight="1" x14ac:dyDescent="0.2">
      <c r="F814" s="114"/>
      <c r="H814" s="114"/>
      <c r="L814" s="114"/>
      <c r="N814" s="114"/>
    </row>
    <row r="815" spans="6:14" ht="15.75" customHeight="1" x14ac:dyDescent="0.2">
      <c r="F815" s="114"/>
      <c r="H815" s="114"/>
      <c r="L815" s="114"/>
      <c r="N815" s="114"/>
    </row>
    <row r="816" spans="6:14" ht="15.75" customHeight="1" x14ac:dyDescent="0.2">
      <c r="F816" s="114"/>
      <c r="H816" s="114"/>
      <c r="L816" s="114"/>
      <c r="N816" s="114"/>
    </row>
    <row r="817" spans="6:14" ht="15.75" customHeight="1" x14ac:dyDescent="0.2">
      <c r="F817" s="114"/>
      <c r="H817" s="114"/>
      <c r="L817" s="114"/>
      <c r="N817" s="114"/>
    </row>
    <row r="818" spans="6:14" ht="15.75" customHeight="1" x14ac:dyDescent="0.2">
      <c r="F818" s="114"/>
      <c r="H818" s="114"/>
      <c r="L818" s="114"/>
      <c r="N818" s="114"/>
    </row>
    <row r="819" spans="6:14" ht="15.75" customHeight="1" x14ac:dyDescent="0.2">
      <c r="F819" s="114"/>
      <c r="H819" s="114"/>
      <c r="L819" s="114"/>
      <c r="N819" s="114"/>
    </row>
    <row r="820" spans="6:14" ht="15.75" customHeight="1" x14ac:dyDescent="0.2">
      <c r="F820" s="114"/>
      <c r="H820" s="114"/>
      <c r="L820" s="114"/>
      <c r="N820" s="114"/>
    </row>
    <row r="821" spans="6:14" ht="15.75" customHeight="1" x14ac:dyDescent="0.2">
      <c r="F821" s="114"/>
      <c r="H821" s="114"/>
      <c r="L821" s="114"/>
      <c r="N821" s="114"/>
    </row>
    <row r="822" spans="6:14" ht="15.75" customHeight="1" x14ac:dyDescent="0.2">
      <c r="F822" s="114"/>
      <c r="H822" s="114"/>
      <c r="L822" s="114"/>
      <c r="N822" s="114"/>
    </row>
    <row r="823" spans="6:14" ht="15.75" customHeight="1" x14ac:dyDescent="0.2">
      <c r="F823" s="114"/>
      <c r="H823" s="114"/>
      <c r="L823" s="114"/>
      <c r="N823" s="114"/>
    </row>
    <row r="824" spans="6:14" ht="15.75" customHeight="1" x14ac:dyDescent="0.2">
      <c r="F824" s="114"/>
      <c r="H824" s="114"/>
      <c r="L824" s="114"/>
      <c r="N824" s="114"/>
    </row>
    <row r="825" spans="6:14" ht="15.75" customHeight="1" x14ac:dyDescent="0.2">
      <c r="F825" s="114"/>
      <c r="H825" s="114"/>
      <c r="L825" s="114"/>
      <c r="N825" s="114"/>
    </row>
    <row r="826" spans="6:14" ht="15.75" customHeight="1" x14ac:dyDescent="0.2">
      <c r="F826" s="114"/>
      <c r="H826" s="114"/>
      <c r="L826" s="114"/>
      <c r="N826" s="114"/>
    </row>
    <row r="827" spans="6:14" ht="15.75" customHeight="1" x14ac:dyDescent="0.2">
      <c r="F827" s="114"/>
      <c r="H827" s="114"/>
      <c r="L827" s="114"/>
      <c r="N827" s="114"/>
    </row>
    <row r="828" spans="6:14" ht="15.75" customHeight="1" x14ac:dyDescent="0.2">
      <c r="F828" s="114"/>
      <c r="H828" s="114"/>
      <c r="L828" s="114"/>
      <c r="N828" s="114"/>
    </row>
    <row r="829" spans="6:14" ht="15.75" customHeight="1" x14ac:dyDescent="0.2">
      <c r="F829" s="114"/>
      <c r="H829" s="114"/>
      <c r="L829" s="114"/>
      <c r="N829" s="114"/>
    </row>
    <row r="830" spans="6:14" ht="15.75" customHeight="1" x14ac:dyDescent="0.2">
      <c r="F830" s="114"/>
      <c r="H830" s="114"/>
      <c r="L830" s="114"/>
      <c r="N830" s="114"/>
    </row>
    <row r="831" spans="6:14" ht="15.75" customHeight="1" x14ac:dyDescent="0.2">
      <c r="F831" s="114"/>
      <c r="H831" s="114"/>
      <c r="L831" s="114"/>
      <c r="N831" s="114"/>
    </row>
    <row r="832" spans="6:14" ht="15.75" customHeight="1" x14ac:dyDescent="0.2">
      <c r="F832" s="114"/>
      <c r="H832" s="114"/>
      <c r="L832" s="114"/>
      <c r="N832" s="114"/>
    </row>
    <row r="833" spans="6:14" ht="15.75" customHeight="1" x14ac:dyDescent="0.2">
      <c r="F833" s="114"/>
      <c r="H833" s="114"/>
      <c r="L833" s="114"/>
      <c r="N833" s="114"/>
    </row>
    <row r="834" spans="6:14" ht="15.75" customHeight="1" x14ac:dyDescent="0.2">
      <c r="F834" s="114"/>
      <c r="H834" s="114"/>
      <c r="L834" s="114"/>
      <c r="N834" s="114"/>
    </row>
    <row r="835" spans="6:14" ht="15.75" customHeight="1" x14ac:dyDescent="0.2">
      <c r="F835" s="114"/>
      <c r="H835" s="114"/>
      <c r="L835" s="114"/>
      <c r="N835" s="114"/>
    </row>
    <row r="836" spans="6:14" ht="15.75" customHeight="1" x14ac:dyDescent="0.2">
      <c r="F836" s="114"/>
      <c r="H836" s="114"/>
      <c r="L836" s="114"/>
      <c r="N836" s="114"/>
    </row>
    <row r="837" spans="6:14" ht="15.75" customHeight="1" x14ac:dyDescent="0.2">
      <c r="F837" s="114"/>
      <c r="H837" s="114"/>
      <c r="L837" s="114"/>
      <c r="N837" s="114"/>
    </row>
    <row r="838" spans="6:14" ht="15.75" customHeight="1" x14ac:dyDescent="0.2">
      <c r="F838" s="114"/>
      <c r="H838" s="114"/>
      <c r="L838" s="114"/>
      <c r="N838" s="114"/>
    </row>
    <row r="839" spans="6:14" ht="15.75" customHeight="1" x14ac:dyDescent="0.2">
      <c r="F839" s="114"/>
      <c r="H839" s="114"/>
      <c r="L839" s="114"/>
      <c r="N839" s="114"/>
    </row>
    <row r="840" spans="6:14" ht="15.75" customHeight="1" x14ac:dyDescent="0.2">
      <c r="F840" s="114"/>
      <c r="H840" s="114"/>
      <c r="L840" s="114"/>
      <c r="N840" s="114"/>
    </row>
    <row r="841" spans="6:14" ht="15.75" customHeight="1" x14ac:dyDescent="0.2">
      <c r="F841" s="114"/>
      <c r="H841" s="114"/>
      <c r="L841" s="114"/>
      <c r="N841" s="114"/>
    </row>
    <row r="842" spans="6:14" ht="15.75" customHeight="1" x14ac:dyDescent="0.2">
      <c r="F842" s="114"/>
      <c r="H842" s="114"/>
      <c r="L842" s="114"/>
      <c r="N842" s="114"/>
    </row>
    <row r="843" spans="6:14" ht="15.75" customHeight="1" x14ac:dyDescent="0.2">
      <c r="F843" s="114"/>
      <c r="H843" s="114"/>
      <c r="L843" s="114"/>
      <c r="N843" s="114"/>
    </row>
    <row r="844" spans="6:14" ht="15.75" customHeight="1" x14ac:dyDescent="0.2">
      <c r="F844" s="114"/>
      <c r="H844" s="114"/>
      <c r="L844" s="114"/>
      <c r="N844" s="114"/>
    </row>
    <row r="845" spans="6:14" ht="15.75" customHeight="1" x14ac:dyDescent="0.2">
      <c r="F845" s="114"/>
      <c r="H845" s="114"/>
      <c r="L845" s="114"/>
      <c r="N845" s="114"/>
    </row>
    <row r="846" spans="6:14" ht="15.75" customHeight="1" x14ac:dyDescent="0.2">
      <c r="F846" s="114"/>
      <c r="H846" s="114"/>
      <c r="L846" s="114"/>
      <c r="N846" s="114"/>
    </row>
    <row r="847" spans="6:14" ht="15.75" customHeight="1" x14ac:dyDescent="0.2">
      <c r="F847" s="114"/>
      <c r="H847" s="114"/>
      <c r="L847" s="114"/>
      <c r="N847" s="114"/>
    </row>
    <row r="848" spans="6:14" ht="15.75" customHeight="1" x14ac:dyDescent="0.2">
      <c r="F848" s="114"/>
      <c r="H848" s="114"/>
      <c r="L848" s="114"/>
      <c r="N848" s="114"/>
    </row>
    <row r="849" spans="6:14" ht="15.75" customHeight="1" x14ac:dyDescent="0.2">
      <c r="F849" s="114"/>
      <c r="H849" s="114"/>
      <c r="L849" s="114"/>
      <c r="N849" s="114"/>
    </row>
    <row r="850" spans="6:14" ht="15.75" customHeight="1" x14ac:dyDescent="0.2">
      <c r="F850" s="114"/>
      <c r="H850" s="114"/>
      <c r="L850" s="114"/>
      <c r="N850" s="114"/>
    </row>
    <row r="851" spans="6:14" ht="15.75" customHeight="1" x14ac:dyDescent="0.2">
      <c r="F851" s="114"/>
      <c r="H851" s="114"/>
      <c r="L851" s="114"/>
      <c r="N851" s="114"/>
    </row>
    <row r="852" spans="6:14" ht="15.75" customHeight="1" x14ac:dyDescent="0.2">
      <c r="F852" s="114"/>
      <c r="H852" s="114"/>
      <c r="L852" s="114"/>
      <c r="N852" s="114"/>
    </row>
    <row r="853" spans="6:14" ht="15.75" customHeight="1" x14ac:dyDescent="0.2">
      <c r="F853" s="114"/>
      <c r="H853" s="114"/>
      <c r="L853" s="114"/>
      <c r="N853" s="114"/>
    </row>
    <row r="854" spans="6:14" ht="15.75" customHeight="1" x14ac:dyDescent="0.2">
      <c r="F854" s="114"/>
      <c r="H854" s="114"/>
      <c r="L854" s="114"/>
      <c r="N854" s="114"/>
    </row>
    <row r="855" spans="6:14" ht="15.75" customHeight="1" x14ac:dyDescent="0.2">
      <c r="F855" s="114"/>
      <c r="H855" s="114"/>
      <c r="L855" s="114"/>
      <c r="N855" s="114"/>
    </row>
    <row r="856" spans="6:14" ht="15.75" customHeight="1" x14ac:dyDescent="0.2">
      <c r="F856" s="114"/>
      <c r="H856" s="114"/>
      <c r="L856" s="114"/>
      <c r="N856" s="114"/>
    </row>
    <row r="857" spans="6:14" ht="15.75" customHeight="1" x14ac:dyDescent="0.2">
      <c r="F857" s="114"/>
      <c r="H857" s="114"/>
      <c r="L857" s="114"/>
      <c r="N857" s="114"/>
    </row>
    <row r="858" spans="6:14" ht="15.75" customHeight="1" x14ac:dyDescent="0.2">
      <c r="F858" s="114"/>
      <c r="H858" s="114"/>
      <c r="L858" s="114"/>
      <c r="N858" s="114"/>
    </row>
    <row r="859" spans="6:14" ht="15.75" customHeight="1" x14ac:dyDescent="0.2">
      <c r="F859" s="114"/>
      <c r="H859" s="114"/>
      <c r="L859" s="114"/>
      <c r="N859" s="114"/>
    </row>
    <row r="860" spans="6:14" ht="15.75" customHeight="1" x14ac:dyDescent="0.2">
      <c r="F860" s="114"/>
      <c r="H860" s="114"/>
      <c r="L860" s="114"/>
      <c r="N860" s="114"/>
    </row>
    <row r="861" spans="6:14" ht="15.75" customHeight="1" x14ac:dyDescent="0.2">
      <c r="F861" s="114"/>
      <c r="H861" s="114"/>
      <c r="L861" s="114"/>
      <c r="N861" s="114"/>
    </row>
    <row r="862" spans="6:14" ht="15.75" customHeight="1" x14ac:dyDescent="0.2">
      <c r="F862" s="114"/>
      <c r="H862" s="114"/>
      <c r="L862" s="114"/>
      <c r="N862" s="114"/>
    </row>
    <row r="863" spans="6:14" ht="15.75" customHeight="1" x14ac:dyDescent="0.2">
      <c r="F863" s="114"/>
      <c r="H863" s="114"/>
      <c r="L863" s="114"/>
      <c r="N863" s="114"/>
    </row>
    <row r="864" spans="6:14" ht="15.75" customHeight="1" x14ac:dyDescent="0.2">
      <c r="F864" s="114"/>
      <c r="H864" s="114"/>
      <c r="L864" s="114"/>
      <c r="N864" s="114"/>
    </row>
    <row r="865" spans="6:14" ht="15.75" customHeight="1" x14ac:dyDescent="0.2">
      <c r="F865" s="114"/>
      <c r="H865" s="114"/>
      <c r="L865" s="114"/>
      <c r="N865" s="114"/>
    </row>
    <row r="866" spans="6:14" ht="15.75" customHeight="1" x14ac:dyDescent="0.2">
      <c r="F866" s="114"/>
      <c r="H866" s="114"/>
      <c r="L866" s="114"/>
      <c r="N866" s="114"/>
    </row>
    <row r="867" spans="6:14" ht="15.75" customHeight="1" x14ac:dyDescent="0.2">
      <c r="F867" s="114"/>
      <c r="H867" s="114"/>
      <c r="L867" s="114"/>
      <c r="N867" s="114"/>
    </row>
    <row r="868" spans="6:14" ht="15.75" customHeight="1" x14ac:dyDescent="0.2">
      <c r="F868" s="114"/>
      <c r="H868" s="114"/>
      <c r="L868" s="114"/>
      <c r="N868" s="114"/>
    </row>
    <row r="869" spans="6:14" ht="15.75" customHeight="1" x14ac:dyDescent="0.2">
      <c r="F869" s="114"/>
      <c r="H869" s="114"/>
      <c r="L869" s="114"/>
      <c r="N869" s="114"/>
    </row>
    <row r="870" spans="6:14" ht="15.75" customHeight="1" x14ac:dyDescent="0.2">
      <c r="F870" s="114"/>
      <c r="H870" s="114"/>
      <c r="L870" s="114"/>
      <c r="N870" s="114"/>
    </row>
    <row r="871" spans="6:14" ht="15.75" customHeight="1" x14ac:dyDescent="0.2">
      <c r="F871" s="114"/>
      <c r="H871" s="114"/>
      <c r="L871" s="114"/>
      <c r="N871" s="114"/>
    </row>
    <row r="872" spans="6:14" ht="15.75" customHeight="1" x14ac:dyDescent="0.2">
      <c r="F872" s="114"/>
      <c r="H872" s="114"/>
      <c r="L872" s="114"/>
      <c r="N872" s="114"/>
    </row>
    <row r="873" spans="6:14" ht="15.75" customHeight="1" x14ac:dyDescent="0.2">
      <c r="F873" s="114"/>
      <c r="H873" s="114"/>
      <c r="L873" s="114"/>
      <c r="N873" s="114"/>
    </row>
    <row r="874" spans="6:14" ht="15.75" customHeight="1" x14ac:dyDescent="0.2">
      <c r="F874" s="114"/>
      <c r="H874" s="114"/>
      <c r="L874" s="114"/>
      <c r="N874" s="114"/>
    </row>
    <row r="875" spans="6:14" ht="15.75" customHeight="1" x14ac:dyDescent="0.2">
      <c r="F875" s="114"/>
      <c r="H875" s="114"/>
      <c r="L875" s="114"/>
      <c r="N875" s="114"/>
    </row>
    <row r="876" spans="6:14" ht="15.75" customHeight="1" x14ac:dyDescent="0.2">
      <c r="F876" s="114"/>
      <c r="H876" s="114"/>
      <c r="L876" s="114"/>
      <c r="N876" s="114"/>
    </row>
    <row r="877" spans="6:14" ht="15.75" customHeight="1" x14ac:dyDescent="0.2">
      <c r="F877" s="114"/>
      <c r="H877" s="114"/>
      <c r="L877" s="114"/>
      <c r="N877" s="114"/>
    </row>
    <row r="878" spans="6:14" ht="15.75" customHeight="1" x14ac:dyDescent="0.2">
      <c r="F878" s="114"/>
      <c r="H878" s="114"/>
      <c r="L878" s="114"/>
      <c r="N878" s="114"/>
    </row>
    <row r="879" spans="6:14" ht="15.75" customHeight="1" x14ac:dyDescent="0.2">
      <c r="F879" s="114"/>
      <c r="H879" s="114"/>
      <c r="L879" s="114"/>
      <c r="N879" s="114"/>
    </row>
    <row r="880" spans="6:14" ht="15.75" customHeight="1" x14ac:dyDescent="0.2">
      <c r="F880" s="114"/>
      <c r="H880" s="114"/>
      <c r="L880" s="114"/>
      <c r="N880" s="114"/>
    </row>
    <row r="881" spans="6:14" ht="15.75" customHeight="1" x14ac:dyDescent="0.2">
      <c r="F881" s="114"/>
      <c r="H881" s="114"/>
      <c r="L881" s="114"/>
      <c r="N881" s="114"/>
    </row>
    <row r="882" spans="6:14" ht="15.75" customHeight="1" x14ac:dyDescent="0.2">
      <c r="F882" s="114"/>
      <c r="H882" s="114"/>
      <c r="L882" s="114"/>
      <c r="N882" s="114"/>
    </row>
    <row r="883" spans="6:14" ht="15.75" customHeight="1" x14ac:dyDescent="0.2">
      <c r="F883" s="114"/>
      <c r="H883" s="114"/>
      <c r="L883" s="114"/>
      <c r="N883" s="114"/>
    </row>
    <row r="884" spans="6:14" ht="15.75" customHeight="1" x14ac:dyDescent="0.2">
      <c r="F884" s="114"/>
      <c r="H884" s="114"/>
      <c r="L884" s="114"/>
      <c r="N884" s="114"/>
    </row>
    <row r="885" spans="6:14" ht="15.75" customHeight="1" x14ac:dyDescent="0.2">
      <c r="F885" s="114"/>
      <c r="H885" s="114"/>
      <c r="L885" s="114"/>
      <c r="N885" s="114"/>
    </row>
    <row r="886" spans="6:14" ht="15.75" customHeight="1" x14ac:dyDescent="0.2">
      <c r="F886" s="114"/>
      <c r="H886" s="114"/>
      <c r="L886" s="114"/>
      <c r="N886" s="114"/>
    </row>
    <row r="887" spans="6:14" ht="15.75" customHeight="1" x14ac:dyDescent="0.2">
      <c r="F887" s="114"/>
      <c r="H887" s="114"/>
      <c r="L887" s="114"/>
      <c r="N887" s="114"/>
    </row>
    <row r="888" spans="6:14" ht="15.75" customHeight="1" x14ac:dyDescent="0.2">
      <c r="F888" s="114"/>
      <c r="H888" s="114"/>
      <c r="L888" s="114"/>
      <c r="N888" s="114"/>
    </row>
    <row r="889" spans="6:14" ht="15.75" customHeight="1" x14ac:dyDescent="0.2">
      <c r="F889" s="114"/>
      <c r="H889" s="114"/>
      <c r="L889" s="114"/>
      <c r="N889" s="114"/>
    </row>
    <row r="890" spans="6:14" ht="15.75" customHeight="1" x14ac:dyDescent="0.2">
      <c r="F890" s="114"/>
      <c r="H890" s="114"/>
      <c r="L890" s="114"/>
      <c r="N890" s="114"/>
    </row>
    <row r="891" spans="6:14" ht="15.75" customHeight="1" x14ac:dyDescent="0.2">
      <c r="F891" s="114"/>
      <c r="H891" s="114"/>
      <c r="L891" s="114"/>
      <c r="N891" s="114"/>
    </row>
    <row r="892" spans="6:14" ht="15.75" customHeight="1" x14ac:dyDescent="0.2">
      <c r="F892" s="114"/>
      <c r="H892" s="114"/>
      <c r="L892" s="114"/>
      <c r="N892" s="114"/>
    </row>
    <row r="893" spans="6:14" ht="15.75" customHeight="1" x14ac:dyDescent="0.2">
      <c r="F893" s="114"/>
      <c r="H893" s="114"/>
      <c r="L893" s="114"/>
      <c r="N893" s="114"/>
    </row>
    <row r="894" spans="6:14" ht="15.75" customHeight="1" x14ac:dyDescent="0.2">
      <c r="F894" s="114"/>
      <c r="H894" s="114"/>
      <c r="L894" s="114"/>
      <c r="N894" s="114"/>
    </row>
    <row r="895" spans="6:14" ht="15.75" customHeight="1" x14ac:dyDescent="0.2">
      <c r="F895" s="114"/>
      <c r="H895" s="114"/>
      <c r="L895" s="114"/>
      <c r="N895" s="114"/>
    </row>
    <row r="896" spans="6:14" ht="15.75" customHeight="1" x14ac:dyDescent="0.2">
      <c r="F896" s="114"/>
      <c r="H896" s="114"/>
      <c r="L896" s="114"/>
      <c r="N896" s="114"/>
    </row>
    <row r="897" spans="6:14" ht="15.75" customHeight="1" x14ac:dyDescent="0.2">
      <c r="F897" s="114"/>
      <c r="H897" s="114"/>
      <c r="L897" s="114"/>
      <c r="N897" s="114"/>
    </row>
    <row r="898" spans="6:14" ht="15.75" customHeight="1" x14ac:dyDescent="0.2">
      <c r="F898" s="114"/>
      <c r="H898" s="114"/>
      <c r="L898" s="114"/>
      <c r="N898" s="114"/>
    </row>
    <row r="899" spans="6:14" ht="15.75" customHeight="1" x14ac:dyDescent="0.2">
      <c r="F899" s="114"/>
      <c r="H899" s="114"/>
      <c r="L899" s="114"/>
      <c r="N899" s="114"/>
    </row>
    <row r="900" spans="6:14" ht="15.75" customHeight="1" x14ac:dyDescent="0.2">
      <c r="F900" s="114"/>
      <c r="H900" s="114"/>
      <c r="L900" s="114"/>
      <c r="N900" s="114"/>
    </row>
    <row r="901" spans="6:14" ht="15.75" customHeight="1" x14ac:dyDescent="0.2">
      <c r="F901" s="114"/>
      <c r="H901" s="114"/>
      <c r="L901" s="114"/>
      <c r="N901" s="114"/>
    </row>
    <row r="902" spans="6:14" ht="15.75" customHeight="1" x14ac:dyDescent="0.2">
      <c r="F902" s="114"/>
      <c r="H902" s="114"/>
      <c r="L902" s="114"/>
      <c r="N902" s="114"/>
    </row>
    <row r="903" spans="6:14" ht="15.75" customHeight="1" x14ac:dyDescent="0.2">
      <c r="F903" s="114"/>
      <c r="H903" s="114"/>
      <c r="L903" s="114"/>
      <c r="N903" s="114"/>
    </row>
    <row r="904" spans="6:14" ht="15.75" customHeight="1" x14ac:dyDescent="0.2">
      <c r="F904" s="114"/>
      <c r="H904" s="114"/>
      <c r="L904" s="114"/>
      <c r="N904" s="114"/>
    </row>
    <row r="905" spans="6:14" ht="15.75" customHeight="1" x14ac:dyDescent="0.2">
      <c r="F905" s="114"/>
      <c r="H905" s="114"/>
      <c r="L905" s="114"/>
      <c r="N905" s="114"/>
    </row>
    <row r="906" spans="6:14" ht="15.75" customHeight="1" x14ac:dyDescent="0.2">
      <c r="F906" s="114"/>
      <c r="H906" s="114"/>
      <c r="L906" s="114"/>
      <c r="N906" s="114"/>
    </row>
    <row r="907" spans="6:14" ht="15.75" customHeight="1" x14ac:dyDescent="0.2">
      <c r="F907" s="114"/>
      <c r="H907" s="114"/>
      <c r="L907" s="114"/>
      <c r="N907" s="114"/>
    </row>
    <row r="908" spans="6:14" ht="15.75" customHeight="1" x14ac:dyDescent="0.2">
      <c r="F908" s="114"/>
      <c r="H908" s="114"/>
      <c r="L908" s="114"/>
      <c r="N908" s="114"/>
    </row>
    <row r="909" spans="6:14" ht="15.75" customHeight="1" x14ac:dyDescent="0.2">
      <c r="F909" s="114"/>
      <c r="H909" s="114"/>
      <c r="L909" s="114"/>
      <c r="N909" s="114"/>
    </row>
    <row r="910" spans="6:14" ht="15.75" customHeight="1" x14ac:dyDescent="0.2">
      <c r="F910" s="114"/>
      <c r="H910" s="114"/>
      <c r="L910" s="114"/>
      <c r="N910" s="114"/>
    </row>
    <row r="911" spans="6:14" ht="15.75" customHeight="1" x14ac:dyDescent="0.2">
      <c r="F911" s="114"/>
      <c r="H911" s="114"/>
      <c r="L911" s="114"/>
      <c r="N911" s="114"/>
    </row>
    <row r="912" spans="6:14" ht="15.75" customHeight="1" x14ac:dyDescent="0.2">
      <c r="F912" s="114"/>
      <c r="H912" s="114"/>
      <c r="L912" s="114"/>
      <c r="N912" s="114"/>
    </row>
    <row r="913" spans="6:14" ht="15.75" customHeight="1" x14ac:dyDescent="0.2">
      <c r="F913" s="114"/>
      <c r="H913" s="114"/>
      <c r="L913" s="114"/>
      <c r="N913" s="114"/>
    </row>
    <row r="914" spans="6:14" ht="15.75" customHeight="1" x14ac:dyDescent="0.2">
      <c r="F914" s="114"/>
      <c r="H914" s="114"/>
      <c r="L914" s="114"/>
      <c r="N914" s="114"/>
    </row>
    <row r="915" spans="6:14" ht="15.75" customHeight="1" x14ac:dyDescent="0.2">
      <c r="F915" s="114"/>
      <c r="H915" s="114"/>
      <c r="L915" s="114"/>
      <c r="N915" s="114"/>
    </row>
    <row r="916" spans="6:14" ht="15.75" customHeight="1" x14ac:dyDescent="0.2">
      <c r="F916" s="114"/>
      <c r="H916" s="114"/>
      <c r="L916" s="114"/>
      <c r="N916" s="114"/>
    </row>
    <row r="917" spans="6:14" ht="15.75" customHeight="1" x14ac:dyDescent="0.2">
      <c r="F917" s="114"/>
      <c r="H917" s="114"/>
      <c r="L917" s="114"/>
      <c r="N917" s="114"/>
    </row>
    <row r="918" spans="6:14" ht="15.75" customHeight="1" x14ac:dyDescent="0.2">
      <c r="F918" s="114"/>
      <c r="H918" s="114"/>
      <c r="L918" s="114"/>
      <c r="N918" s="114"/>
    </row>
    <row r="919" spans="6:14" ht="15.75" customHeight="1" x14ac:dyDescent="0.2">
      <c r="F919" s="114"/>
      <c r="H919" s="114"/>
      <c r="L919" s="114"/>
      <c r="N919" s="114"/>
    </row>
    <row r="920" spans="6:14" ht="15.75" customHeight="1" x14ac:dyDescent="0.2">
      <c r="F920" s="114"/>
      <c r="H920" s="114"/>
      <c r="L920" s="114"/>
      <c r="N920" s="114"/>
    </row>
    <row r="921" spans="6:14" ht="15.75" customHeight="1" x14ac:dyDescent="0.2">
      <c r="F921" s="114"/>
      <c r="H921" s="114"/>
      <c r="L921" s="114"/>
      <c r="N921" s="114"/>
    </row>
    <row r="922" spans="6:14" ht="15.75" customHeight="1" x14ac:dyDescent="0.2">
      <c r="F922" s="114"/>
      <c r="H922" s="114"/>
      <c r="L922" s="114"/>
      <c r="N922" s="114"/>
    </row>
    <row r="923" spans="6:14" ht="15.75" customHeight="1" x14ac:dyDescent="0.2">
      <c r="F923" s="114"/>
      <c r="H923" s="114"/>
      <c r="L923" s="114"/>
      <c r="N923" s="114"/>
    </row>
    <row r="924" spans="6:14" ht="15.75" customHeight="1" x14ac:dyDescent="0.2">
      <c r="F924" s="114"/>
      <c r="H924" s="114"/>
      <c r="L924" s="114"/>
      <c r="N924" s="114"/>
    </row>
    <row r="925" spans="6:14" ht="15.75" customHeight="1" x14ac:dyDescent="0.2">
      <c r="F925" s="114"/>
      <c r="H925" s="114"/>
      <c r="L925" s="114"/>
      <c r="N925" s="114"/>
    </row>
    <row r="926" spans="6:14" ht="15.75" customHeight="1" x14ac:dyDescent="0.2">
      <c r="F926" s="114"/>
      <c r="H926" s="114"/>
      <c r="L926" s="114"/>
      <c r="N926" s="114"/>
    </row>
    <row r="927" spans="6:14" ht="15.75" customHeight="1" x14ac:dyDescent="0.2">
      <c r="F927" s="114"/>
      <c r="H927" s="114"/>
      <c r="L927" s="114"/>
      <c r="N927" s="114"/>
    </row>
    <row r="928" spans="6:14" ht="15.75" customHeight="1" x14ac:dyDescent="0.2">
      <c r="F928" s="114"/>
      <c r="H928" s="114"/>
      <c r="L928" s="114"/>
      <c r="N928" s="114"/>
    </row>
    <row r="929" spans="6:14" ht="15.75" customHeight="1" x14ac:dyDescent="0.2">
      <c r="F929" s="114"/>
      <c r="H929" s="114"/>
      <c r="L929" s="114"/>
      <c r="N929" s="114"/>
    </row>
    <row r="930" spans="6:14" ht="15.75" customHeight="1" x14ac:dyDescent="0.2">
      <c r="F930" s="114"/>
      <c r="H930" s="114"/>
      <c r="L930" s="114"/>
      <c r="N930" s="114"/>
    </row>
    <row r="931" spans="6:14" ht="15.75" customHeight="1" x14ac:dyDescent="0.2">
      <c r="F931" s="114"/>
      <c r="H931" s="114"/>
      <c r="L931" s="114"/>
      <c r="N931" s="114"/>
    </row>
    <row r="932" spans="6:14" ht="15.75" customHeight="1" x14ac:dyDescent="0.2">
      <c r="F932" s="114"/>
      <c r="H932" s="114"/>
      <c r="L932" s="114"/>
      <c r="N932" s="114"/>
    </row>
    <row r="933" spans="6:14" ht="15.75" customHeight="1" x14ac:dyDescent="0.2">
      <c r="F933" s="114"/>
      <c r="H933" s="114"/>
      <c r="L933" s="114"/>
      <c r="N933" s="114"/>
    </row>
    <row r="934" spans="6:14" ht="15.75" customHeight="1" x14ac:dyDescent="0.2">
      <c r="F934" s="114"/>
      <c r="H934" s="114"/>
      <c r="L934" s="114"/>
      <c r="N934" s="114"/>
    </row>
    <row r="935" spans="6:14" ht="15.75" customHeight="1" x14ac:dyDescent="0.2">
      <c r="F935" s="114"/>
      <c r="H935" s="114"/>
      <c r="L935" s="114"/>
      <c r="N935" s="114"/>
    </row>
    <row r="936" spans="6:14" ht="15.75" customHeight="1" x14ac:dyDescent="0.2">
      <c r="F936" s="114"/>
      <c r="H936" s="114"/>
      <c r="L936" s="114"/>
      <c r="N936" s="114"/>
    </row>
    <row r="937" spans="6:14" ht="15.75" customHeight="1" x14ac:dyDescent="0.2">
      <c r="F937" s="114"/>
      <c r="H937" s="114"/>
      <c r="L937" s="114"/>
      <c r="N937" s="114"/>
    </row>
    <row r="938" spans="6:14" ht="15.75" customHeight="1" x14ac:dyDescent="0.2">
      <c r="F938" s="114"/>
      <c r="H938" s="114"/>
      <c r="L938" s="114"/>
      <c r="N938" s="114"/>
    </row>
    <row r="939" spans="6:14" ht="15.75" customHeight="1" x14ac:dyDescent="0.2">
      <c r="F939" s="114"/>
      <c r="H939" s="114"/>
      <c r="L939" s="114"/>
      <c r="N939" s="114"/>
    </row>
    <row r="940" spans="6:14" ht="15.75" customHeight="1" x14ac:dyDescent="0.2">
      <c r="F940" s="114"/>
      <c r="H940" s="114"/>
      <c r="L940" s="114"/>
      <c r="N940" s="114"/>
    </row>
    <row r="941" spans="6:14" ht="15.75" customHeight="1" x14ac:dyDescent="0.2">
      <c r="F941" s="114"/>
      <c r="H941" s="114"/>
      <c r="L941" s="114"/>
      <c r="N941" s="114"/>
    </row>
    <row r="942" spans="6:14" ht="15.75" customHeight="1" x14ac:dyDescent="0.2">
      <c r="F942" s="114"/>
      <c r="H942" s="114"/>
      <c r="L942" s="114"/>
      <c r="N942" s="114"/>
    </row>
    <row r="943" spans="6:14" ht="15.75" customHeight="1" x14ac:dyDescent="0.2">
      <c r="F943" s="114"/>
      <c r="H943" s="114"/>
      <c r="L943" s="114"/>
      <c r="N943" s="114"/>
    </row>
    <row r="944" spans="6:14" ht="15.75" customHeight="1" x14ac:dyDescent="0.2">
      <c r="F944" s="114"/>
      <c r="H944" s="114"/>
      <c r="L944" s="114"/>
      <c r="N944" s="114"/>
    </row>
    <row r="945" spans="6:14" ht="15.75" customHeight="1" x14ac:dyDescent="0.2">
      <c r="F945" s="114"/>
      <c r="H945" s="114"/>
      <c r="L945" s="114"/>
      <c r="N945" s="114"/>
    </row>
    <row r="946" spans="6:14" ht="15.75" customHeight="1" x14ac:dyDescent="0.2">
      <c r="F946" s="114"/>
      <c r="H946" s="114"/>
      <c r="L946" s="114"/>
      <c r="N946" s="114"/>
    </row>
    <row r="947" spans="6:14" ht="15.75" customHeight="1" x14ac:dyDescent="0.2">
      <c r="F947" s="114"/>
      <c r="H947" s="114"/>
      <c r="L947" s="114"/>
      <c r="N947" s="114"/>
    </row>
    <row r="948" spans="6:14" ht="15.75" customHeight="1" x14ac:dyDescent="0.2">
      <c r="F948" s="114"/>
      <c r="H948" s="114"/>
      <c r="L948" s="114"/>
      <c r="N948" s="114"/>
    </row>
    <row r="949" spans="6:14" ht="15.75" customHeight="1" x14ac:dyDescent="0.2">
      <c r="F949" s="114"/>
      <c r="H949" s="114"/>
      <c r="L949" s="114"/>
      <c r="N949" s="114"/>
    </row>
    <row r="950" spans="6:14" ht="15.75" customHeight="1" x14ac:dyDescent="0.2">
      <c r="F950" s="114"/>
      <c r="H950" s="114"/>
      <c r="L950" s="114"/>
      <c r="N950" s="114"/>
    </row>
    <row r="951" spans="6:14" ht="15.75" customHeight="1" x14ac:dyDescent="0.2">
      <c r="F951" s="114"/>
      <c r="H951" s="114"/>
      <c r="L951" s="114"/>
      <c r="N951" s="114"/>
    </row>
    <row r="952" spans="6:14" ht="15.75" customHeight="1" x14ac:dyDescent="0.2">
      <c r="F952" s="114"/>
      <c r="H952" s="114"/>
      <c r="L952" s="114"/>
      <c r="N952" s="114"/>
    </row>
    <row r="953" spans="6:14" ht="15.75" customHeight="1" x14ac:dyDescent="0.2">
      <c r="F953" s="114"/>
      <c r="H953" s="114"/>
      <c r="L953" s="114"/>
      <c r="N953" s="114"/>
    </row>
    <row r="954" spans="6:14" ht="15.75" customHeight="1" x14ac:dyDescent="0.2">
      <c r="F954" s="114"/>
      <c r="H954" s="114"/>
      <c r="L954" s="114"/>
      <c r="N954" s="114"/>
    </row>
    <row r="955" spans="6:14" ht="15.75" customHeight="1" x14ac:dyDescent="0.2">
      <c r="F955" s="114"/>
      <c r="H955" s="114"/>
      <c r="L955" s="114"/>
      <c r="N955" s="114"/>
    </row>
    <row r="956" spans="6:14" ht="15.75" customHeight="1" x14ac:dyDescent="0.2">
      <c r="F956" s="114"/>
      <c r="H956" s="114"/>
      <c r="L956" s="114"/>
      <c r="N956" s="114"/>
    </row>
    <row r="957" spans="6:14" ht="15.75" customHeight="1" x14ac:dyDescent="0.2">
      <c r="F957" s="114"/>
      <c r="H957" s="114"/>
      <c r="L957" s="114"/>
      <c r="N957" s="114"/>
    </row>
    <row r="958" spans="6:14" ht="15.75" customHeight="1" x14ac:dyDescent="0.2">
      <c r="F958" s="114"/>
      <c r="H958" s="114"/>
      <c r="L958" s="114"/>
      <c r="N958" s="114"/>
    </row>
    <row r="959" spans="6:14" ht="15.75" customHeight="1" x14ac:dyDescent="0.2">
      <c r="F959" s="114"/>
      <c r="H959" s="114"/>
      <c r="L959" s="114"/>
      <c r="N959" s="114"/>
    </row>
    <row r="960" spans="6:14" ht="15.75" customHeight="1" x14ac:dyDescent="0.2">
      <c r="F960" s="114"/>
      <c r="H960" s="114"/>
      <c r="L960" s="114"/>
      <c r="N960" s="114"/>
    </row>
    <row r="961" spans="6:14" ht="15.75" customHeight="1" x14ac:dyDescent="0.2">
      <c r="F961" s="114"/>
      <c r="H961" s="114"/>
      <c r="L961" s="114"/>
      <c r="N961" s="114"/>
    </row>
    <row r="962" spans="6:14" ht="15.75" customHeight="1" x14ac:dyDescent="0.2">
      <c r="F962" s="114"/>
      <c r="H962" s="114"/>
      <c r="L962" s="114"/>
      <c r="N962" s="114"/>
    </row>
    <row r="963" spans="6:14" ht="15.75" customHeight="1" x14ac:dyDescent="0.2">
      <c r="F963" s="114"/>
      <c r="H963" s="114"/>
      <c r="L963" s="114"/>
      <c r="N963" s="114"/>
    </row>
    <row r="964" spans="6:14" ht="15.75" customHeight="1" x14ac:dyDescent="0.2">
      <c r="F964" s="114"/>
      <c r="H964" s="114"/>
      <c r="L964" s="114"/>
      <c r="N964" s="114"/>
    </row>
    <row r="965" spans="6:14" ht="15.75" customHeight="1" x14ac:dyDescent="0.2">
      <c r="F965" s="114"/>
      <c r="H965" s="114"/>
      <c r="L965" s="114"/>
      <c r="N965" s="114"/>
    </row>
    <row r="966" spans="6:14" ht="15.75" customHeight="1" x14ac:dyDescent="0.2">
      <c r="F966" s="114"/>
      <c r="H966" s="114"/>
      <c r="L966" s="114"/>
      <c r="N966" s="114"/>
    </row>
    <row r="967" spans="6:14" ht="15.75" customHeight="1" x14ac:dyDescent="0.2">
      <c r="F967" s="114"/>
      <c r="H967" s="114"/>
      <c r="L967" s="114"/>
      <c r="N967" s="114"/>
    </row>
    <row r="968" spans="6:14" ht="15.75" customHeight="1" x14ac:dyDescent="0.2">
      <c r="F968" s="114"/>
      <c r="H968" s="114"/>
      <c r="L968" s="114"/>
      <c r="N968" s="114"/>
    </row>
    <row r="969" spans="6:14" ht="15.75" customHeight="1" x14ac:dyDescent="0.2">
      <c r="F969" s="114"/>
      <c r="H969" s="114"/>
      <c r="L969" s="114"/>
      <c r="N969" s="114"/>
    </row>
    <row r="970" spans="6:14" ht="15.75" customHeight="1" x14ac:dyDescent="0.2">
      <c r="F970" s="114"/>
      <c r="H970" s="114"/>
      <c r="L970" s="114"/>
      <c r="N970" s="114"/>
    </row>
    <row r="971" spans="6:14" ht="15.75" customHeight="1" x14ac:dyDescent="0.2">
      <c r="F971" s="114"/>
      <c r="H971" s="114"/>
      <c r="L971" s="114"/>
      <c r="N971" s="114"/>
    </row>
    <row r="972" spans="6:14" ht="15.75" customHeight="1" x14ac:dyDescent="0.2">
      <c r="F972" s="114"/>
      <c r="H972" s="114"/>
      <c r="L972" s="114"/>
      <c r="N972" s="114"/>
    </row>
    <row r="973" spans="6:14" ht="15.75" customHeight="1" x14ac:dyDescent="0.2">
      <c r="F973" s="114"/>
      <c r="H973" s="114"/>
      <c r="L973" s="114"/>
      <c r="N973" s="114"/>
    </row>
    <row r="974" spans="6:14" ht="15.75" customHeight="1" x14ac:dyDescent="0.2">
      <c r="F974" s="114"/>
      <c r="H974" s="114"/>
      <c r="L974" s="114"/>
      <c r="N974" s="114"/>
    </row>
    <row r="975" spans="6:14" ht="15.75" customHeight="1" x14ac:dyDescent="0.2">
      <c r="F975" s="114"/>
      <c r="H975" s="114"/>
      <c r="L975" s="114"/>
      <c r="N975" s="114"/>
    </row>
    <row r="976" spans="6:14" ht="15.75" customHeight="1" x14ac:dyDescent="0.2">
      <c r="F976" s="114"/>
      <c r="H976" s="114"/>
      <c r="L976" s="114"/>
      <c r="N976" s="114"/>
    </row>
    <row r="977" spans="6:14" ht="15.75" customHeight="1" x14ac:dyDescent="0.2">
      <c r="F977" s="114"/>
      <c r="H977" s="114"/>
      <c r="L977" s="114"/>
      <c r="N977" s="114"/>
    </row>
    <row r="978" spans="6:14" ht="15.75" customHeight="1" x14ac:dyDescent="0.2">
      <c r="F978" s="114"/>
      <c r="H978" s="114"/>
      <c r="L978" s="114"/>
      <c r="N978" s="114"/>
    </row>
    <row r="979" spans="6:14" ht="15.75" customHeight="1" x14ac:dyDescent="0.2">
      <c r="F979" s="114"/>
      <c r="H979" s="114"/>
      <c r="L979" s="114"/>
      <c r="N979" s="114"/>
    </row>
    <row r="980" spans="6:14" ht="15.75" customHeight="1" x14ac:dyDescent="0.2">
      <c r="F980" s="114"/>
      <c r="H980" s="114"/>
      <c r="L980" s="114"/>
      <c r="N980" s="114"/>
    </row>
    <row r="981" spans="6:14" ht="15.75" customHeight="1" x14ac:dyDescent="0.2">
      <c r="F981" s="114"/>
      <c r="H981" s="114"/>
      <c r="L981" s="114"/>
      <c r="N981" s="114"/>
    </row>
    <row r="982" spans="6:14" ht="15.75" customHeight="1" x14ac:dyDescent="0.2">
      <c r="F982" s="114"/>
      <c r="H982" s="114"/>
      <c r="L982" s="114"/>
      <c r="N982" s="114"/>
    </row>
    <row r="983" spans="6:14" ht="15.75" customHeight="1" x14ac:dyDescent="0.2">
      <c r="F983" s="114"/>
      <c r="H983" s="114"/>
      <c r="L983" s="114"/>
      <c r="N983" s="114"/>
    </row>
    <row r="984" spans="6:14" ht="15.75" customHeight="1" x14ac:dyDescent="0.2">
      <c r="F984" s="114"/>
      <c r="H984" s="114"/>
      <c r="L984" s="114"/>
      <c r="N984" s="114"/>
    </row>
    <row r="985" spans="6:14" ht="15.75" customHeight="1" x14ac:dyDescent="0.2">
      <c r="F985" s="114"/>
      <c r="H985" s="114"/>
      <c r="L985" s="114"/>
      <c r="N985" s="114"/>
    </row>
    <row r="986" spans="6:14" ht="15.75" customHeight="1" x14ac:dyDescent="0.2">
      <c r="F986" s="114"/>
      <c r="H986" s="114"/>
      <c r="L986" s="114"/>
      <c r="N986" s="114"/>
    </row>
    <row r="987" spans="6:14" ht="15.75" customHeight="1" x14ac:dyDescent="0.2">
      <c r="F987" s="114"/>
      <c r="H987" s="114"/>
      <c r="L987" s="114"/>
      <c r="N987" s="114"/>
    </row>
  </sheetData>
  <mergeCells count="5">
    <mergeCell ref="B4:B5"/>
    <mergeCell ref="C4:C5"/>
    <mergeCell ref="D4:I4"/>
    <mergeCell ref="J4:O4"/>
    <mergeCell ref="B69:C69"/>
  </mergeCells>
  <pageMargins left="0.7" right="0.7" top="0.75" bottom="0.75" header="0" footer="0"/>
  <pageSetup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C985"/>
  <sheetViews>
    <sheetView workbookViewId="0">
      <pane xSplit="3" ySplit="6" topLeftCell="D124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2.5703125" defaultRowHeight="15" customHeight="1" x14ac:dyDescent="0.2"/>
  <cols>
    <col min="1" max="1" width="5.5703125" customWidth="1"/>
    <col min="2" max="2" width="9.7109375" customWidth="1"/>
    <col min="3" max="3" width="39.7109375" customWidth="1"/>
    <col min="4" max="4" width="12.5703125" customWidth="1"/>
    <col min="5" max="6" width="12.5703125" hidden="1" customWidth="1"/>
    <col min="7" max="9" width="12.5703125" hidden="1"/>
    <col min="10" max="10" width="12.5703125" customWidth="1"/>
    <col min="11" max="12" width="12.5703125" hidden="1" customWidth="1"/>
    <col min="13" max="15" width="12.5703125" hidden="1"/>
    <col min="16" max="29" width="12.5703125" customWidth="1"/>
  </cols>
  <sheetData>
    <row r="1" spans="1:29" ht="15.75" customHeight="1" x14ac:dyDescent="0.25">
      <c r="A1" s="2"/>
      <c r="B1" s="1" t="s">
        <v>0</v>
      </c>
      <c r="C1" s="2"/>
      <c r="D1" s="572"/>
      <c r="E1" s="2"/>
      <c r="F1" s="572"/>
      <c r="G1" s="2"/>
      <c r="H1" s="2"/>
      <c r="I1" s="2"/>
      <c r="J1" s="572"/>
      <c r="K1" s="2"/>
      <c r="L1" s="57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customHeight="1" x14ac:dyDescent="0.25">
      <c r="A2" s="2"/>
      <c r="B2" s="573" t="s">
        <v>321</v>
      </c>
      <c r="C2" s="574"/>
      <c r="D2" s="572"/>
      <c r="E2" s="2"/>
      <c r="F2" s="572"/>
      <c r="G2" s="2"/>
      <c r="H2" s="2"/>
      <c r="I2" s="2"/>
      <c r="J2" s="572"/>
      <c r="K2" s="2"/>
      <c r="L2" s="57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75" customHeight="1" x14ac:dyDescent="0.25">
      <c r="A3" s="2"/>
      <c r="B3" s="2"/>
      <c r="C3" s="2"/>
      <c r="D3" s="572"/>
      <c r="E3" s="2"/>
      <c r="F3" s="572"/>
      <c r="G3" s="2"/>
      <c r="H3" s="2"/>
      <c r="I3" s="2"/>
      <c r="J3" s="572"/>
      <c r="K3" s="2"/>
      <c r="L3" s="57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 x14ac:dyDescent="0.25">
      <c r="A4" s="2"/>
      <c r="B4" s="966" t="s">
        <v>167</v>
      </c>
      <c r="C4" s="967" t="s">
        <v>46</v>
      </c>
      <c r="D4" s="968" t="s">
        <v>168</v>
      </c>
      <c r="E4" s="969"/>
      <c r="F4" s="969"/>
      <c r="G4" s="969"/>
      <c r="H4" s="969"/>
      <c r="I4" s="970"/>
      <c r="J4" s="968" t="s">
        <v>169</v>
      </c>
      <c r="K4" s="969"/>
      <c r="L4" s="969"/>
      <c r="M4" s="969"/>
      <c r="N4" s="969"/>
      <c r="O4" s="970"/>
      <c r="P4" s="575"/>
      <c r="Q4" s="575"/>
      <c r="R4" s="575"/>
      <c r="S4" s="575"/>
      <c r="T4" s="575"/>
      <c r="U4" s="575"/>
      <c r="V4" s="575"/>
      <c r="W4" s="575"/>
      <c r="X4" s="575"/>
      <c r="Y4" s="575"/>
      <c r="Z4" s="575"/>
      <c r="AA4" s="575"/>
      <c r="AB4" s="575"/>
      <c r="AC4" s="575"/>
    </row>
    <row r="5" spans="1:29" ht="15.75" customHeight="1" x14ac:dyDescent="0.2">
      <c r="A5" s="576"/>
      <c r="B5" s="957"/>
      <c r="C5" s="959"/>
      <c r="D5" s="577" t="s">
        <v>170</v>
      </c>
      <c r="E5" s="578" t="s">
        <v>18</v>
      </c>
      <c r="F5" s="579" t="s">
        <v>171</v>
      </c>
      <c r="G5" s="578" t="s">
        <v>18</v>
      </c>
      <c r="H5" s="578" t="s">
        <v>172</v>
      </c>
      <c r="I5" s="578" t="s">
        <v>260</v>
      </c>
      <c r="J5" s="577" t="s">
        <v>170</v>
      </c>
      <c r="K5" s="578" t="s">
        <v>18</v>
      </c>
      <c r="L5" s="579" t="s">
        <v>171</v>
      </c>
      <c r="M5" s="578" t="s">
        <v>18</v>
      </c>
      <c r="N5" s="578" t="s">
        <v>172</v>
      </c>
      <c r="O5" s="578" t="s">
        <v>260</v>
      </c>
      <c r="P5" s="580"/>
      <c r="Q5" s="580"/>
      <c r="R5" s="580"/>
      <c r="S5" s="580"/>
      <c r="T5" s="580"/>
      <c r="U5" s="580"/>
      <c r="V5" s="580"/>
      <c r="W5" s="580"/>
      <c r="X5" s="580"/>
      <c r="Y5" s="580"/>
      <c r="Z5" s="580"/>
      <c r="AA5" s="580"/>
      <c r="AB5" s="580"/>
      <c r="AC5" s="580"/>
    </row>
    <row r="6" spans="1:29" ht="15.75" hidden="1" customHeight="1" x14ac:dyDescent="0.25">
      <c r="A6" s="2"/>
      <c r="B6" s="581"/>
      <c r="C6" s="24" t="s">
        <v>78</v>
      </c>
      <c r="D6" s="582">
        <v>0</v>
      </c>
      <c r="E6" s="583"/>
      <c r="F6" s="584"/>
      <c r="G6" s="583"/>
      <c r="H6" s="585"/>
      <c r="I6" s="583"/>
      <c r="J6" s="582">
        <v>0</v>
      </c>
      <c r="K6" s="583"/>
      <c r="L6" s="584"/>
      <c r="M6" s="583"/>
      <c r="N6" s="585"/>
      <c r="O6" s="58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5.75" hidden="1" customHeight="1" x14ac:dyDescent="0.25">
      <c r="A7" s="2"/>
      <c r="B7" s="586"/>
      <c r="C7" s="34" t="s">
        <v>85</v>
      </c>
      <c r="D7" s="587">
        <v>0</v>
      </c>
      <c r="E7" s="588"/>
      <c r="F7" s="589"/>
      <c r="G7" s="588"/>
      <c r="H7" s="590"/>
      <c r="I7" s="588"/>
      <c r="J7" s="587">
        <v>0</v>
      </c>
      <c r="K7" s="588"/>
      <c r="L7" s="589"/>
      <c r="M7" s="588"/>
      <c r="N7" s="590"/>
      <c r="O7" s="588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5.75" hidden="1" customHeight="1" x14ac:dyDescent="0.25">
      <c r="A8" s="2"/>
      <c r="B8" s="586"/>
      <c r="C8" s="34" t="s">
        <v>92</v>
      </c>
      <c r="D8" s="587">
        <f>D28</f>
        <v>0</v>
      </c>
      <c r="E8" s="588"/>
      <c r="F8" s="589"/>
      <c r="G8" s="588"/>
      <c r="H8" s="590"/>
      <c r="I8" s="588"/>
      <c r="J8" s="587">
        <f>J28</f>
        <v>0</v>
      </c>
      <c r="K8" s="588"/>
      <c r="L8" s="589"/>
      <c r="M8" s="588"/>
      <c r="N8" s="590"/>
      <c r="O8" s="588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.75" hidden="1" customHeight="1" x14ac:dyDescent="0.25">
      <c r="A9" s="2"/>
      <c r="B9" s="586"/>
      <c r="C9" s="34" t="s">
        <v>99</v>
      </c>
      <c r="D9" s="587" t="e">
        <f>D18+D21+#REF!+D22</f>
        <v>#REF!</v>
      </c>
      <c r="E9" s="588"/>
      <c r="F9" s="589"/>
      <c r="G9" s="588"/>
      <c r="H9" s="590"/>
      <c r="I9" s="588"/>
      <c r="J9" s="587" t="e">
        <f>J18+J21+#REF!+J22</f>
        <v>#REF!</v>
      </c>
      <c r="K9" s="588"/>
      <c r="L9" s="589"/>
      <c r="M9" s="588"/>
      <c r="N9" s="590"/>
      <c r="O9" s="588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5.75" hidden="1" customHeight="1" x14ac:dyDescent="0.25">
      <c r="A10" s="2"/>
      <c r="B10" s="586"/>
      <c r="C10" s="34" t="s">
        <v>106</v>
      </c>
      <c r="D10" s="587"/>
      <c r="E10" s="588"/>
      <c r="F10" s="589"/>
      <c r="G10" s="588"/>
      <c r="H10" s="590"/>
      <c r="I10" s="588"/>
      <c r="J10" s="587"/>
      <c r="K10" s="588"/>
      <c r="L10" s="589"/>
      <c r="M10" s="588"/>
      <c r="N10" s="590"/>
      <c r="O10" s="588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5.75" hidden="1" customHeight="1" x14ac:dyDescent="0.25">
      <c r="A11" s="2"/>
      <c r="B11" s="586"/>
      <c r="C11" s="34" t="s">
        <v>113</v>
      </c>
      <c r="D11" s="587"/>
      <c r="E11" s="588"/>
      <c r="F11" s="589"/>
      <c r="G11" s="588"/>
      <c r="H11" s="590"/>
      <c r="I11" s="588"/>
      <c r="J11" s="587"/>
      <c r="K11" s="588"/>
      <c r="L11" s="589"/>
      <c r="M11" s="588"/>
      <c r="N11" s="590"/>
      <c r="O11" s="588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5.75" hidden="1" customHeight="1" x14ac:dyDescent="0.25">
      <c r="A12" s="2"/>
      <c r="B12" s="586"/>
      <c r="C12" s="34" t="s">
        <v>120</v>
      </c>
      <c r="D12" s="587"/>
      <c r="E12" s="588"/>
      <c r="F12" s="589"/>
      <c r="G12" s="588"/>
      <c r="H12" s="590"/>
      <c r="I12" s="588"/>
      <c r="J12" s="587"/>
      <c r="K12" s="588"/>
      <c r="L12" s="589"/>
      <c r="M12" s="588"/>
      <c r="N12" s="590"/>
      <c r="O12" s="588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.75" hidden="1" customHeight="1" x14ac:dyDescent="0.25">
      <c r="A13" s="2"/>
      <c r="B13" s="586"/>
      <c r="C13" s="34"/>
      <c r="D13" s="587"/>
      <c r="E13" s="30"/>
      <c r="F13" s="589"/>
      <c r="G13" s="30"/>
      <c r="H13" s="590"/>
      <c r="I13" s="30"/>
      <c r="J13" s="587"/>
      <c r="K13" s="30"/>
      <c r="L13" s="589"/>
      <c r="M13" s="30"/>
      <c r="N13" s="590"/>
      <c r="O13" s="3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5.75" hidden="1" customHeight="1" x14ac:dyDescent="0.25">
      <c r="A14" s="2"/>
      <c r="B14" s="586"/>
      <c r="C14" s="34"/>
      <c r="D14" s="587"/>
      <c r="E14" s="30"/>
      <c r="F14" s="589"/>
      <c r="G14" s="30"/>
      <c r="H14" s="590"/>
      <c r="I14" s="30"/>
      <c r="J14" s="587"/>
      <c r="K14" s="30"/>
      <c r="L14" s="589"/>
      <c r="M14" s="30"/>
      <c r="N14" s="590"/>
      <c r="O14" s="3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5.75" customHeight="1" x14ac:dyDescent="0.25">
      <c r="A15" s="2"/>
      <c r="B15" s="591" t="s">
        <v>173</v>
      </c>
      <c r="C15" s="34"/>
      <c r="D15" s="587"/>
      <c r="E15" s="30"/>
      <c r="F15" s="589"/>
      <c r="G15" s="30"/>
      <c r="H15" s="590"/>
      <c r="I15" s="30"/>
      <c r="J15" s="587"/>
      <c r="K15" s="30"/>
      <c r="L15" s="589"/>
      <c r="M15" s="30"/>
      <c r="N15" s="590"/>
      <c r="O15" s="3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5.75" customHeight="1" x14ac:dyDescent="0.25">
      <c r="A16" s="2"/>
      <c r="B16" s="591" t="s">
        <v>322</v>
      </c>
      <c r="C16" s="592" t="s">
        <v>322</v>
      </c>
      <c r="D16" s="593">
        <f>SUM(D17:D21)</f>
        <v>0</v>
      </c>
      <c r="E16" s="594"/>
      <c r="F16" s="595">
        <f>SUM(F17:F21)</f>
        <v>0</v>
      </c>
      <c r="G16" s="594"/>
      <c r="H16" s="596">
        <f>SUM(H17:H21)</f>
        <v>0</v>
      </c>
      <c r="I16" s="594"/>
      <c r="J16" s="593">
        <f>SUM(J17:J21)</f>
        <v>0</v>
      </c>
      <c r="K16" s="594"/>
      <c r="L16" s="595">
        <f>SUM(L17:L21)</f>
        <v>0</v>
      </c>
      <c r="M16" s="594"/>
      <c r="N16" s="596">
        <f>SUM(N17:N21)</f>
        <v>0</v>
      </c>
      <c r="O16" s="594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25">
      <c r="A17" s="2"/>
      <c r="B17" s="586" t="s">
        <v>23</v>
      </c>
      <c r="C17" s="34" t="s">
        <v>175</v>
      </c>
      <c r="D17" s="587"/>
      <c r="E17" s="30"/>
      <c r="F17" s="589"/>
      <c r="G17" s="30"/>
      <c r="H17" s="590"/>
      <c r="I17" s="30"/>
      <c r="J17" s="587"/>
      <c r="K17" s="30"/>
      <c r="L17" s="589"/>
      <c r="M17" s="30"/>
      <c r="N17" s="590"/>
      <c r="O17" s="3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.75" customHeight="1" x14ac:dyDescent="0.25">
      <c r="A18" s="2"/>
      <c r="B18" s="597"/>
      <c r="C18" s="34" t="s">
        <v>176</v>
      </c>
      <c r="D18" s="587"/>
      <c r="E18" s="30"/>
      <c r="F18" s="589"/>
      <c r="G18" s="30"/>
      <c r="H18" s="590"/>
      <c r="I18" s="30"/>
      <c r="J18" s="587"/>
      <c r="K18" s="30"/>
      <c r="L18" s="589"/>
      <c r="M18" s="30"/>
      <c r="N18" s="590"/>
      <c r="O18" s="3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.75" customHeight="1" x14ac:dyDescent="0.25">
      <c r="A19" s="2"/>
      <c r="B19" s="597"/>
      <c r="C19" s="34" t="s">
        <v>177</v>
      </c>
      <c r="D19" s="587"/>
      <c r="E19" s="30"/>
      <c r="F19" s="589"/>
      <c r="G19" s="30"/>
      <c r="H19" s="590"/>
      <c r="I19" s="30"/>
      <c r="J19" s="587"/>
      <c r="K19" s="30"/>
      <c r="L19" s="589"/>
      <c r="M19" s="30"/>
      <c r="N19" s="590"/>
      <c r="O19" s="3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.75" customHeight="1" x14ac:dyDescent="0.25">
      <c r="A20" s="2"/>
      <c r="B20" s="597"/>
      <c r="C20" s="34" t="s">
        <v>178</v>
      </c>
      <c r="D20" s="587"/>
      <c r="E20" s="30"/>
      <c r="F20" s="589"/>
      <c r="G20" s="30"/>
      <c r="H20" s="590"/>
      <c r="I20" s="30"/>
      <c r="J20" s="587"/>
      <c r="K20" s="30"/>
      <c r="L20" s="589"/>
      <c r="M20" s="30"/>
      <c r="N20" s="590"/>
      <c r="O20" s="3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75" customHeight="1" x14ac:dyDescent="0.25">
      <c r="A21" s="2"/>
      <c r="B21" s="598"/>
      <c r="C21" s="34" t="s">
        <v>179</v>
      </c>
      <c r="D21" s="587"/>
      <c r="E21" s="30"/>
      <c r="F21" s="589"/>
      <c r="G21" s="30"/>
      <c r="H21" s="590"/>
      <c r="I21" s="30"/>
      <c r="J21" s="587"/>
      <c r="K21" s="30"/>
      <c r="L21" s="589"/>
      <c r="M21" s="30"/>
      <c r="N21" s="590"/>
      <c r="O21" s="3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 x14ac:dyDescent="0.25">
      <c r="A22" s="2"/>
      <c r="B22" s="586"/>
      <c r="C22" s="599"/>
      <c r="D22" s="587"/>
      <c r="E22" s="30"/>
      <c r="F22" s="589"/>
      <c r="G22" s="30"/>
      <c r="H22" s="590"/>
      <c r="I22" s="30"/>
      <c r="J22" s="587"/>
      <c r="K22" s="30"/>
      <c r="L22" s="589"/>
      <c r="M22" s="30"/>
      <c r="N22" s="590"/>
      <c r="O22" s="3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 x14ac:dyDescent="0.25">
      <c r="A23" s="2"/>
      <c r="B23" s="586" t="s">
        <v>21</v>
      </c>
      <c r="C23" s="599" t="s">
        <v>21</v>
      </c>
      <c r="D23" s="587"/>
      <c r="E23" s="30"/>
      <c r="F23" s="589"/>
      <c r="G23" s="30"/>
      <c r="H23" s="590"/>
      <c r="I23" s="30"/>
      <c r="J23" s="587"/>
      <c r="K23" s="30"/>
      <c r="L23" s="589"/>
      <c r="M23" s="30"/>
      <c r="N23" s="590"/>
      <c r="O23" s="3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75" customHeight="1" x14ac:dyDescent="0.25">
      <c r="A24" s="2"/>
      <c r="B24" s="586" t="s">
        <v>22</v>
      </c>
      <c r="C24" s="599" t="s">
        <v>22</v>
      </c>
      <c r="D24" s="587"/>
      <c r="E24" s="30"/>
      <c r="F24" s="589"/>
      <c r="G24" s="30"/>
      <c r="H24" s="590"/>
      <c r="I24" s="30"/>
      <c r="J24" s="587"/>
      <c r="K24" s="30"/>
      <c r="L24" s="589"/>
      <c r="M24" s="30"/>
      <c r="N24" s="590"/>
      <c r="O24" s="3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 x14ac:dyDescent="0.25">
      <c r="A25" s="2"/>
      <c r="B25" s="586" t="s">
        <v>23</v>
      </c>
      <c r="C25" s="599" t="s">
        <v>180</v>
      </c>
      <c r="D25" s="600"/>
      <c r="E25" s="30"/>
      <c r="F25" s="601"/>
      <c r="G25" s="30"/>
      <c r="H25" s="602"/>
      <c r="I25" s="30"/>
      <c r="J25" s="600"/>
      <c r="K25" s="30"/>
      <c r="L25" s="601"/>
      <c r="M25" s="30"/>
      <c r="N25" s="602"/>
      <c r="O25" s="3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 x14ac:dyDescent="0.25">
      <c r="A26" s="2"/>
      <c r="B26" s="597"/>
      <c r="C26" s="599"/>
      <c r="D26" s="587"/>
      <c r="E26" s="30"/>
      <c r="F26" s="589"/>
      <c r="G26" s="30"/>
      <c r="H26" s="30"/>
      <c r="I26" s="30"/>
      <c r="J26" s="587"/>
      <c r="K26" s="30"/>
      <c r="L26" s="589"/>
      <c r="M26" s="30"/>
      <c r="N26" s="30"/>
      <c r="O26" s="3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 x14ac:dyDescent="0.25">
      <c r="A27" s="2"/>
      <c r="B27" s="597"/>
      <c r="C27" s="599" t="s">
        <v>181</v>
      </c>
      <c r="D27" s="587"/>
      <c r="E27" s="30"/>
      <c r="F27" s="589"/>
      <c r="G27" s="30"/>
      <c r="H27" s="30"/>
      <c r="I27" s="30"/>
      <c r="J27" s="587"/>
      <c r="K27" s="30"/>
      <c r="L27" s="589"/>
      <c r="M27" s="30"/>
      <c r="N27" s="30"/>
      <c r="O27" s="3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75" customHeight="1" x14ac:dyDescent="0.25">
      <c r="A28" s="2"/>
      <c r="B28" s="603"/>
      <c r="C28" s="592" t="s">
        <v>182</v>
      </c>
      <c r="D28" s="593">
        <f>D23+D24+D25</f>
        <v>0</v>
      </c>
      <c r="E28" s="594"/>
      <c r="F28" s="595">
        <f>F23+F24+F25</f>
        <v>0</v>
      </c>
      <c r="G28" s="594"/>
      <c r="H28" s="596">
        <f>H23+H24+H25</f>
        <v>0</v>
      </c>
      <c r="I28" s="594"/>
      <c r="J28" s="593">
        <f>J23+J24+J25</f>
        <v>0</v>
      </c>
      <c r="K28" s="594"/>
      <c r="L28" s="595">
        <f>L23+L24+L25</f>
        <v>0</v>
      </c>
      <c r="M28" s="594"/>
      <c r="N28" s="596">
        <f>N23+N24+N25</f>
        <v>0</v>
      </c>
      <c r="O28" s="59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hidden="1" customHeight="1" x14ac:dyDescent="0.25">
      <c r="A29" s="2"/>
      <c r="B29" s="586"/>
      <c r="C29" s="34"/>
      <c r="D29" s="587"/>
      <c r="E29" s="588"/>
      <c r="F29" s="589"/>
      <c r="G29" s="588"/>
      <c r="H29" s="588"/>
      <c r="I29" s="588"/>
      <c r="J29" s="587"/>
      <c r="K29" s="588"/>
      <c r="L29" s="589"/>
      <c r="M29" s="588"/>
      <c r="N29" s="588"/>
      <c r="O29" s="588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75" hidden="1" customHeight="1" x14ac:dyDescent="0.25">
      <c r="A30" s="2"/>
      <c r="B30" s="597"/>
      <c r="C30" s="34"/>
      <c r="D30" s="587"/>
      <c r="E30" s="604"/>
      <c r="F30" s="589"/>
      <c r="G30" s="590"/>
      <c r="H30" s="590"/>
      <c r="I30" s="590"/>
      <c r="J30" s="587"/>
      <c r="K30" s="604"/>
      <c r="L30" s="589"/>
      <c r="M30" s="590"/>
      <c r="N30" s="590"/>
      <c r="O30" s="59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75" hidden="1" customHeight="1" x14ac:dyDescent="0.25">
      <c r="A31" s="2"/>
      <c r="B31" s="597"/>
      <c r="C31" s="34"/>
      <c r="D31" s="587"/>
      <c r="E31" s="604"/>
      <c r="F31" s="589"/>
      <c r="G31" s="590"/>
      <c r="H31" s="590"/>
      <c r="I31" s="590"/>
      <c r="J31" s="587"/>
      <c r="K31" s="604"/>
      <c r="L31" s="589"/>
      <c r="M31" s="590"/>
      <c r="N31" s="590"/>
      <c r="O31" s="59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.75" hidden="1" customHeight="1" x14ac:dyDescent="0.25">
      <c r="A32" s="2"/>
      <c r="B32" s="597"/>
      <c r="C32" s="34"/>
      <c r="D32" s="587"/>
      <c r="E32" s="604"/>
      <c r="F32" s="589"/>
      <c r="G32" s="590"/>
      <c r="H32" s="590"/>
      <c r="I32" s="590"/>
      <c r="J32" s="587"/>
      <c r="K32" s="604"/>
      <c r="L32" s="589"/>
      <c r="M32" s="590"/>
      <c r="N32" s="590"/>
      <c r="O32" s="59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.75" hidden="1" customHeight="1" x14ac:dyDescent="0.25">
      <c r="A33" s="2"/>
      <c r="B33" s="597"/>
      <c r="C33" s="34"/>
      <c r="D33" s="587"/>
      <c r="E33" s="604"/>
      <c r="F33" s="589"/>
      <c r="G33" s="590"/>
      <c r="H33" s="590"/>
      <c r="I33" s="590"/>
      <c r="J33" s="587"/>
      <c r="K33" s="604"/>
      <c r="L33" s="589"/>
      <c r="M33" s="590"/>
      <c r="N33" s="590"/>
      <c r="O33" s="59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hidden="1" customHeight="1" x14ac:dyDescent="0.25">
      <c r="A34" s="2"/>
      <c r="B34" s="597"/>
      <c r="C34" s="34"/>
      <c r="D34" s="587"/>
      <c r="E34" s="604"/>
      <c r="F34" s="589"/>
      <c r="G34" s="590"/>
      <c r="H34" s="590"/>
      <c r="I34" s="590"/>
      <c r="J34" s="587"/>
      <c r="K34" s="604"/>
      <c r="L34" s="589"/>
      <c r="M34" s="590"/>
      <c r="N34" s="590"/>
      <c r="O34" s="59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hidden="1" customHeight="1" x14ac:dyDescent="0.25">
      <c r="A35" s="2"/>
      <c r="B35" s="597"/>
      <c r="C35" s="34"/>
      <c r="D35" s="587"/>
      <c r="E35" s="604"/>
      <c r="F35" s="589"/>
      <c r="G35" s="590"/>
      <c r="H35" s="590"/>
      <c r="I35" s="590"/>
      <c r="J35" s="587"/>
      <c r="K35" s="604"/>
      <c r="L35" s="589"/>
      <c r="M35" s="590"/>
      <c r="N35" s="590"/>
      <c r="O35" s="59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hidden="1" customHeight="1" x14ac:dyDescent="0.25">
      <c r="A36" s="2"/>
      <c r="B36" s="605"/>
      <c r="C36" s="606"/>
      <c r="D36" s="607"/>
      <c r="E36" s="608"/>
      <c r="F36" s="609"/>
      <c r="G36" s="610"/>
      <c r="H36" s="610"/>
      <c r="I36" s="610"/>
      <c r="J36" s="607"/>
      <c r="K36" s="608"/>
      <c r="L36" s="609"/>
      <c r="M36" s="610"/>
      <c r="N36" s="610"/>
      <c r="O36" s="610"/>
      <c r="P36" s="611"/>
      <c r="Q36" s="611"/>
      <c r="R36" s="611"/>
      <c r="S36" s="611"/>
      <c r="T36" s="611"/>
      <c r="U36" s="611"/>
      <c r="V36" s="611"/>
      <c r="W36" s="611"/>
      <c r="X36" s="611"/>
      <c r="Y36" s="611"/>
      <c r="Z36" s="611"/>
      <c r="AA36" s="611"/>
      <c r="AB36" s="611"/>
      <c r="AC36" s="611"/>
    </row>
    <row r="37" spans="1:29" ht="15.75" hidden="1" customHeight="1" x14ac:dyDescent="0.25">
      <c r="A37" s="2"/>
      <c r="B37" s="586"/>
      <c r="C37" s="612"/>
      <c r="D37" s="138"/>
      <c r="E37" s="30"/>
      <c r="F37" s="121"/>
      <c r="G37" s="30"/>
      <c r="H37" s="30"/>
      <c r="I37" s="30"/>
      <c r="J37" s="138"/>
      <c r="K37" s="30"/>
      <c r="L37" s="121"/>
      <c r="M37" s="30"/>
      <c r="N37" s="30"/>
      <c r="O37" s="3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75" customHeight="1" x14ac:dyDescent="0.25">
      <c r="A38" s="2"/>
      <c r="B38" s="613" t="s">
        <v>186</v>
      </c>
      <c r="C38" s="614"/>
      <c r="D38" s="138"/>
      <c r="E38" s="30"/>
      <c r="F38" s="121"/>
      <c r="G38" s="30"/>
      <c r="H38" s="30"/>
      <c r="I38" s="30"/>
      <c r="J38" s="138"/>
      <c r="K38" s="30"/>
      <c r="L38" s="121"/>
      <c r="M38" s="30"/>
      <c r="N38" s="30"/>
      <c r="O38" s="3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customHeight="1" x14ac:dyDescent="0.25">
      <c r="A39" s="2"/>
      <c r="B39" s="586" t="s">
        <v>28</v>
      </c>
      <c r="C39" s="34"/>
      <c r="D39" s="138"/>
      <c r="E39" s="30"/>
      <c r="F39" s="121"/>
      <c r="G39" s="30"/>
      <c r="H39" s="30"/>
      <c r="I39" s="30"/>
      <c r="J39" s="138"/>
      <c r="K39" s="30"/>
      <c r="L39" s="121"/>
      <c r="M39" s="30"/>
      <c r="N39" s="30"/>
      <c r="O39" s="3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 x14ac:dyDescent="0.25">
      <c r="A40" s="2"/>
      <c r="B40" s="597"/>
      <c r="C40" s="615" t="s">
        <v>187</v>
      </c>
      <c r="D40" s="138"/>
      <c r="E40" s="30"/>
      <c r="F40" s="121"/>
      <c r="G40" s="30"/>
      <c r="H40" s="30"/>
      <c r="I40" s="30"/>
      <c r="J40" s="138"/>
      <c r="K40" s="30"/>
      <c r="L40" s="121"/>
      <c r="M40" s="30"/>
      <c r="N40" s="30"/>
      <c r="O40" s="3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customHeight="1" x14ac:dyDescent="0.25">
      <c r="A41" s="2"/>
      <c r="B41" s="597"/>
      <c r="C41" s="599" t="s">
        <v>188</v>
      </c>
      <c r="D41" s="138"/>
      <c r="E41" s="30"/>
      <c r="F41" s="121"/>
      <c r="G41" s="30"/>
      <c r="H41" s="30"/>
      <c r="I41" s="30"/>
      <c r="J41" s="138"/>
      <c r="K41" s="30"/>
      <c r="L41" s="121"/>
      <c r="M41" s="30"/>
      <c r="N41" s="30"/>
      <c r="O41" s="3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 x14ac:dyDescent="0.25">
      <c r="A42" s="2"/>
      <c r="B42" s="597"/>
      <c r="C42" s="599" t="s">
        <v>189</v>
      </c>
      <c r="D42" s="138"/>
      <c r="E42" s="30"/>
      <c r="F42" s="121"/>
      <c r="G42" s="30"/>
      <c r="H42" s="30"/>
      <c r="I42" s="30"/>
      <c r="J42" s="138"/>
      <c r="K42" s="30"/>
      <c r="L42" s="121"/>
      <c r="M42" s="30"/>
      <c r="N42" s="30"/>
      <c r="O42" s="3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customHeight="1" x14ac:dyDescent="0.25">
      <c r="A43" s="2"/>
      <c r="B43" s="597"/>
      <c r="C43" s="599" t="s">
        <v>21</v>
      </c>
      <c r="D43" s="138"/>
      <c r="E43" s="30"/>
      <c r="F43" s="121"/>
      <c r="G43" s="30"/>
      <c r="H43" s="30"/>
      <c r="I43" s="30"/>
      <c r="J43" s="138"/>
      <c r="K43" s="30"/>
      <c r="L43" s="121"/>
      <c r="M43" s="30"/>
      <c r="N43" s="30"/>
      <c r="O43" s="3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.75" customHeight="1" x14ac:dyDescent="0.25">
      <c r="A44" s="2"/>
      <c r="B44" s="597"/>
      <c r="C44" s="599" t="s">
        <v>22</v>
      </c>
      <c r="D44" s="138"/>
      <c r="E44" s="30"/>
      <c r="F44" s="121"/>
      <c r="G44" s="30"/>
      <c r="H44" s="30"/>
      <c r="I44" s="30"/>
      <c r="J44" s="138"/>
      <c r="K44" s="30"/>
      <c r="L44" s="121"/>
      <c r="M44" s="30"/>
      <c r="N44" s="30"/>
      <c r="O44" s="3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customHeight="1" x14ac:dyDescent="0.25">
      <c r="A45" s="2"/>
      <c r="B45" s="597"/>
      <c r="C45" s="34" t="s">
        <v>190</v>
      </c>
      <c r="D45" s="138"/>
      <c r="E45" s="30"/>
      <c r="F45" s="121"/>
      <c r="G45" s="30"/>
      <c r="H45" s="30"/>
      <c r="I45" s="30"/>
      <c r="J45" s="138"/>
      <c r="K45" s="30"/>
      <c r="L45" s="121"/>
      <c r="M45" s="30"/>
      <c r="N45" s="30"/>
      <c r="O45" s="3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customHeight="1" x14ac:dyDescent="0.25">
      <c r="A46" s="2"/>
      <c r="B46" s="597"/>
      <c r="C46" s="34" t="s">
        <v>191</v>
      </c>
      <c r="D46" s="138">
        <f>SUM(D41:D45)</f>
        <v>0</v>
      </c>
      <c r="E46" s="30"/>
      <c r="F46" s="121">
        <f>SUM(F41:F45)</f>
        <v>0</v>
      </c>
      <c r="G46" s="30"/>
      <c r="H46" s="30">
        <f>SUM(H41:H45)</f>
        <v>0</v>
      </c>
      <c r="I46" s="30"/>
      <c r="J46" s="138">
        <f>SUM(J41:J45)</f>
        <v>0</v>
      </c>
      <c r="K46" s="30"/>
      <c r="L46" s="121">
        <f>SUM(L41:L45)</f>
        <v>0</v>
      </c>
      <c r="M46" s="30"/>
      <c r="N46" s="30">
        <f>SUM(N41:N45)</f>
        <v>0</v>
      </c>
      <c r="O46" s="30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25">
      <c r="A47" s="2"/>
      <c r="B47" s="597"/>
      <c r="C47" s="34" t="s">
        <v>192</v>
      </c>
      <c r="D47" s="138"/>
      <c r="E47" s="30"/>
      <c r="F47" s="121"/>
      <c r="G47" s="30"/>
      <c r="H47" s="30"/>
      <c r="I47" s="30"/>
      <c r="J47" s="138">
        <v>1030</v>
      </c>
      <c r="K47" s="30"/>
      <c r="L47" s="121"/>
      <c r="M47" s="30"/>
      <c r="N47" s="30"/>
      <c r="O47" s="3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customHeight="1" x14ac:dyDescent="0.25">
      <c r="A48" s="2"/>
      <c r="B48" s="603"/>
      <c r="C48" s="592" t="s">
        <v>193</v>
      </c>
      <c r="D48" s="616">
        <f>D46+D47</f>
        <v>0</v>
      </c>
      <c r="E48" s="594"/>
      <c r="F48" s="617">
        <f>F46+F47</f>
        <v>0</v>
      </c>
      <c r="G48" s="594"/>
      <c r="H48" s="594">
        <f>H46+H47</f>
        <v>0</v>
      </c>
      <c r="I48" s="594"/>
      <c r="J48" s="616">
        <f>J46+J47</f>
        <v>1030</v>
      </c>
      <c r="K48" s="594"/>
      <c r="L48" s="617">
        <f>L46+L47</f>
        <v>0</v>
      </c>
      <c r="M48" s="594"/>
      <c r="N48" s="594">
        <f>N46+N47</f>
        <v>0</v>
      </c>
      <c r="O48" s="59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25">
      <c r="A49" s="2"/>
      <c r="B49" s="618" t="s">
        <v>32</v>
      </c>
      <c r="C49" s="619" t="s">
        <v>32</v>
      </c>
      <c r="D49" s="128">
        <f>D28-D48</f>
        <v>0</v>
      </c>
      <c r="E49" s="620" t="e">
        <f>D49/D$28</f>
        <v>#DIV/0!</v>
      </c>
      <c r="F49" s="108" t="e">
        <f>F28-F48-#REF!</f>
        <v>#REF!</v>
      </c>
      <c r="G49" s="620" t="e">
        <f>F49/F$28</f>
        <v>#REF!</v>
      </c>
      <c r="H49" s="105" t="e">
        <f>H28-H48-#REF!</f>
        <v>#REF!</v>
      </c>
      <c r="I49" s="620" t="e">
        <f>H49/H$28</f>
        <v>#REF!</v>
      </c>
      <c r="J49" s="128">
        <f>J28-J48</f>
        <v>-1030</v>
      </c>
      <c r="K49" s="620" t="e">
        <f>J49/J$28</f>
        <v>#DIV/0!</v>
      </c>
      <c r="L49" s="108" t="e">
        <f>L28-L48-#REF!</f>
        <v>#REF!</v>
      </c>
      <c r="M49" s="620" t="e">
        <f>L49/L$28</f>
        <v>#REF!</v>
      </c>
      <c r="N49" s="105" t="e">
        <f>N28-N48-#REF!</f>
        <v>#REF!</v>
      </c>
      <c r="O49" s="620" t="e">
        <f>N49/N$28</f>
        <v>#REF!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customHeight="1" x14ac:dyDescent="0.25">
      <c r="A50" s="2"/>
      <c r="B50" s="621"/>
      <c r="C50" s="24"/>
      <c r="D50" s="119"/>
      <c r="E50" s="17"/>
      <c r="F50" s="66"/>
      <c r="G50" s="17"/>
      <c r="H50" s="17"/>
      <c r="I50" s="17"/>
      <c r="J50" s="119"/>
      <c r="K50" s="17"/>
      <c r="L50" s="66"/>
      <c r="M50" s="17"/>
      <c r="N50" s="17"/>
      <c r="O50" s="17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75" customHeight="1" x14ac:dyDescent="0.25">
      <c r="A51" s="2"/>
      <c r="B51" s="597"/>
      <c r="C51" s="622" t="s">
        <v>194</v>
      </c>
      <c r="D51" s="138"/>
      <c r="E51" s="30"/>
      <c r="F51" s="121"/>
      <c r="G51" s="30"/>
      <c r="H51" s="30"/>
      <c r="I51" s="30"/>
      <c r="J51" s="138"/>
      <c r="K51" s="30"/>
      <c r="L51" s="121"/>
      <c r="M51" s="30"/>
      <c r="N51" s="30"/>
      <c r="O51" s="30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customHeight="1" x14ac:dyDescent="0.25">
      <c r="A52" s="2"/>
      <c r="B52" s="597"/>
      <c r="C52" s="34" t="s">
        <v>195</v>
      </c>
      <c r="D52" s="138">
        <v>11280</v>
      </c>
      <c r="E52" s="30"/>
      <c r="F52" s="121"/>
      <c r="G52" s="30"/>
      <c r="H52" s="30"/>
      <c r="I52" s="30"/>
      <c r="J52" s="138">
        <v>22094</v>
      </c>
      <c r="K52" s="30"/>
      <c r="L52" s="121"/>
      <c r="M52" s="30"/>
      <c r="N52" s="30"/>
      <c r="O52" s="3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customHeight="1" x14ac:dyDescent="0.25">
      <c r="A53" s="2"/>
      <c r="B53" s="597"/>
      <c r="C53" s="34" t="s">
        <v>196</v>
      </c>
      <c r="D53" s="138">
        <v>0</v>
      </c>
      <c r="E53" s="30"/>
      <c r="F53" s="121"/>
      <c r="G53" s="30"/>
      <c r="H53" s="30"/>
      <c r="I53" s="30"/>
      <c r="J53" s="138">
        <v>0</v>
      </c>
      <c r="K53" s="30"/>
      <c r="L53" s="121"/>
      <c r="M53" s="30"/>
      <c r="N53" s="30"/>
      <c r="O53" s="3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customHeight="1" x14ac:dyDescent="0.25">
      <c r="A54" s="2"/>
      <c r="B54" s="597"/>
      <c r="C54" s="34" t="s">
        <v>266</v>
      </c>
      <c r="D54" s="138">
        <v>0</v>
      </c>
      <c r="E54" s="30"/>
      <c r="F54" s="121"/>
      <c r="G54" s="30"/>
      <c r="H54" s="30"/>
      <c r="I54" s="30"/>
      <c r="J54" s="138">
        <v>0</v>
      </c>
      <c r="K54" s="30"/>
      <c r="L54" s="121"/>
      <c r="M54" s="30"/>
      <c r="N54" s="30"/>
      <c r="O54" s="3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 x14ac:dyDescent="0.25">
      <c r="A55" s="2"/>
      <c r="B55" s="597"/>
      <c r="C55" s="34" t="s">
        <v>197</v>
      </c>
      <c r="D55" s="138">
        <v>0</v>
      </c>
      <c r="E55" s="30"/>
      <c r="F55" s="121"/>
      <c r="G55" s="30"/>
      <c r="H55" s="30"/>
      <c r="I55" s="30"/>
      <c r="J55" s="138">
        <v>2140</v>
      </c>
      <c r="K55" s="30"/>
      <c r="L55" s="121"/>
      <c r="M55" s="30"/>
      <c r="N55" s="30"/>
      <c r="O55" s="3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customHeight="1" x14ac:dyDescent="0.25">
      <c r="A56" s="2"/>
      <c r="B56" s="597"/>
      <c r="C56" s="34" t="s">
        <v>198</v>
      </c>
      <c r="D56" s="138">
        <v>0</v>
      </c>
      <c r="E56" s="30"/>
      <c r="F56" s="121"/>
      <c r="G56" s="30"/>
      <c r="H56" s="30"/>
      <c r="I56" s="30"/>
      <c r="J56" s="138">
        <v>0</v>
      </c>
      <c r="K56" s="30"/>
      <c r="L56" s="121"/>
      <c r="M56" s="30"/>
      <c r="N56" s="30"/>
      <c r="O56" s="3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customHeight="1" x14ac:dyDescent="0.25">
      <c r="A57" s="2"/>
      <c r="B57" s="623"/>
      <c r="C57" s="43" t="s">
        <v>199</v>
      </c>
      <c r="D57" s="154">
        <v>0</v>
      </c>
      <c r="E57" s="40"/>
      <c r="F57" s="71"/>
      <c r="G57" s="40"/>
      <c r="H57" s="40"/>
      <c r="I57" s="40"/>
      <c r="J57" s="154">
        <v>0</v>
      </c>
      <c r="K57" s="30"/>
      <c r="L57" s="121"/>
      <c r="M57" s="30"/>
      <c r="N57" s="30"/>
      <c r="O57" s="3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customHeight="1" x14ac:dyDescent="0.25">
      <c r="A58" s="2"/>
      <c r="B58" s="130"/>
      <c r="C58" s="130" t="s">
        <v>200</v>
      </c>
      <c r="D58" s="130">
        <f>SUM(D52:D57)</f>
        <v>11280</v>
      </c>
      <c r="E58" s="130"/>
      <c r="F58" s="130">
        <f>SUM(F52:F57)</f>
        <v>0</v>
      </c>
      <c r="G58" s="130"/>
      <c r="H58" s="130">
        <f>SUM(H52:H57)</f>
        <v>0</v>
      </c>
      <c r="I58" s="130"/>
      <c r="J58" s="130">
        <f>SUM(J52:J57)</f>
        <v>24234</v>
      </c>
      <c r="K58" s="616"/>
      <c r="L58" s="617">
        <f>SUM(L52:L57)</f>
        <v>0</v>
      </c>
      <c r="M58" s="617"/>
      <c r="N58" s="617">
        <f>SUM(N52:N57)</f>
        <v>0</v>
      </c>
      <c r="O58" s="617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hidden="1" customHeight="1" x14ac:dyDescent="0.25">
      <c r="A59" s="2"/>
      <c r="B59" s="621"/>
      <c r="C59" s="24"/>
      <c r="D59" s="119"/>
      <c r="E59" s="17"/>
      <c r="F59" s="66"/>
      <c r="G59" s="17"/>
      <c r="H59" s="17"/>
      <c r="I59" s="17"/>
      <c r="J59" s="119"/>
      <c r="K59" s="30"/>
      <c r="L59" s="121"/>
      <c r="M59" s="30"/>
      <c r="N59" s="30"/>
      <c r="O59" s="3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.75" hidden="1" customHeight="1" x14ac:dyDescent="0.25">
      <c r="A60" s="2"/>
      <c r="B60" s="597"/>
      <c r="C60" s="34"/>
      <c r="D60" s="587"/>
      <c r="E60" s="588"/>
      <c r="F60" s="589"/>
      <c r="G60" s="588"/>
      <c r="H60" s="588"/>
      <c r="I60" s="588"/>
      <c r="J60" s="587"/>
      <c r="K60" s="588"/>
      <c r="L60" s="589"/>
      <c r="M60" s="588"/>
      <c r="N60" s="588"/>
      <c r="O60" s="588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hidden="1" customHeight="1" x14ac:dyDescent="0.25">
      <c r="A61" s="2"/>
      <c r="B61" s="597"/>
      <c r="C61" s="34"/>
      <c r="D61" s="587"/>
      <c r="E61" s="588"/>
      <c r="F61" s="589"/>
      <c r="G61" s="588"/>
      <c r="H61" s="588"/>
      <c r="I61" s="588"/>
      <c r="J61" s="587"/>
      <c r="K61" s="588"/>
      <c r="L61" s="589"/>
      <c r="M61" s="588"/>
      <c r="N61" s="588"/>
      <c r="O61" s="588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hidden="1" customHeight="1" x14ac:dyDescent="0.25">
      <c r="A62" s="2"/>
      <c r="B62" s="597"/>
      <c r="C62" s="34"/>
      <c r="D62" s="587"/>
      <c r="E62" s="588"/>
      <c r="F62" s="589"/>
      <c r="G62" s="588"/>
      <c r="H62" s="588"/>
      <c r="I62" s="588"/>
      <c r="J62" s="587"/>
      <c r="K62" s="588"/>
      <c r="L62" s="589"/>
      <c r="M62" s="588"/>
      <c r="N62" s="588"/>
      <c r="O62" s="588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hidden="1" customHeight="1" x14ac:dyDescent="0.25">
      <c r="A63" s="2"/>
      <c r="B63" s="597"/>
      <c r="C63" s="34"/>
      <c r="D63" s="587"/>
      <c r="E63" s="588"/>
      <c r="F63" s="589"/>
      <c r="G63" s="588"/>
      <c r="H63" s="588"/>
      <c r="I63" s="588"/>
      <c r="J63" s="587"/>
      <c r="K63" s="588"/>
      <c r="L63" s="589"/>
      <c r="M63" s="588"/>
      <c r="N63" s="588"/>
      <c r="O63" s="588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hidden="1" customHeight="1" x14ac:dyDescent="0.25">
      <c r="A64" s="2"/>
      <c r="B64" s="597"/>
      <c r="C64" s="34"/>
      <c r="D64" s="587"/>
      <c r="E64" s="588"/>
      <c r="F64" s="589"/>
      <c r="G64" s="588"/>
      <c r="H64" s="588"/>
      <c r="I64" s="588"/>
      <c r="J64" s="587"/>
      <c r="K64" s="588"/>
      <c r="L64" s="589"/>
      <c r="M64" s="588"/>
      <c r="N64" s="588"/>
      <c r="O64" s="588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hidden="1" customHeight="1" x14ac:dyDescent="0.25">
      <c r="A65" s="2"/>
      <c r="B65" s="597"/>
      <c r="C65" s="34"/>
      <c r="D65" s="587"/>
      <c r="E65" s="588"/>
      <c r="F65" s="589"/>
      <c r="G65" s="588"/>
      <c r="H65" s="588"/>
      <c r="I65" s="588"/>
      <c r="J65" s="587"/>
      <c r="K65" s="588"/>
      <c r="L65" s="589"/>
      <c r="M65" s="588"/>
      <c r="N65" s="588"/>
      <c r="O65" s="588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hidden="1" customHeight="1" x14ac:dyDescent="0.25">
      <c r="A66" s="2"/>
      <c r="B66" s="597"/>
      <c r="C66" s="34"/>
      <c r="D66" s="587"/>
      <c r="E66" s="588"/>
      <c r="F66" s="589"/>
      <c r="G66" s="588"/>
      <c r="H66" s="588"/>
      <c r="I66" s="588"/>
      <c r="J66" s="587"/>
      <c r="K66" s="588"/>
      <c r="L66" s="589"/>
      <c r="M66" s="588"/>
      <c r="N66" s="588"/>
      <c r="O66" s="588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hidden="1" customHeight="1" x14ac:dyDescent="0.25">
      <c r="A67" s="2"/>
      <c r="B67" s="624"/>
      <c r="C67" s="625"/>
      <c r="D67" s="626"/>
      <c r="E67" s="627"/>
      <c r="F67" s="628"/>
      <c r="G67" s="627"/>
      <c r="H67" s="629"/>
      <c r="I67" s="627"/>
      <c r="J67" s="626"/>
      <c r="K67" s="627"/>
      <c r="L67" s="628"/>
      <c r="M67" s="627"/>
      <c r="N67" s="629"/>
      <c r="O67" s="627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customHeight="1" x14ac:dyDescent="0.25">
      <c r="A68" s="2"/>
      <c r="B68" s="623"/>
      <c r="C68" s="43"/>
      <c r="D68" s="138"/>
      <c r="E68" s="30"/>
      <c r="F68" s="121"/>
      <c r="G68" s="30"/>
      <c r="H68" s="30"/>
      <c r="I68" s="30"/>
      <c r="J68" s="138"/>
      <c r="K68" s="30"/>
      <c r="L68" s="121"/>
      <c r="M68" s="30"/>
      <c r="N68" s="30"/>
      <c r="O68" s="3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 x14ac:dyDescent="0.25">
      <c r="A69" s="2"/>
      <c r="B69" s="630"/>
      <c r="C69" s="631" t="s">
        <v>205</v>
      </c>
      <c r="D69" s="632">
        <f t="shared" ref="D69:O69" si="0">SUM(D70:D74)</f>
        <v>0</v>
      </c>
      <c r="E69" s="633">
        <f t="shared" si="0"/>
        <v>0</v>
      </c>
      <c r="F69" s="634">
        <f t="shared" si="0"/>
        <v>0</v>
      </c>
      <c r="G69" s="633">
        <f t="shared" si="0"/>
        <v>0</v>
      </c>
      <c r="H69" s="633">
        <f t="shared" si="0"/>
        <v>0</v>
      </c>
      <c r="I69" s="633">
        <f t="shared" si="0"/>
        <v>0</v>
      </c>
      <c r="J69" s="128">
        <f t="shared" si="0"/>
        <v>80000</v>
      </c>
      <c r="K69" s="633">
        <f t="shared" si="0"/>
        <v>0</v>
      </c>
      <c r="L69" s="634">
        <f t="shared" si="0"/>
        <v>0</v>
      </c>
      <c r="M69" s="633">
        <f t="shared" si="0"/>
        <v>0</v>
      </c>
      <c r="N69" s="633">
        <f t="shared" si="0"/>
        <v>0</v>
      </c>
      <c r="O69" s="633">
        <f t="shared" si="0"/>
        <v>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25">
      <c r="A70" s="2"/>
      <c r="B70" s="621"/>
      <c r="C70" s="24" t="s">
        <v>268</v>
      </c>
      <c r="D70" s="119"/>
      <c r="E70" s="17"/>
      <c r="F70" s="66"/>
      <c r="G70" s="17"/>
      <c r="H70" s="17"/>
      <c r="I70" s="17"/>
      <c r="J70" s="119"/>
      <c r="K70" s="17"/>
      <c r="L70" s="66"/>
      <c r="M70" s="17"/>
      <c r="N70" s="17"/>
      <c r="O70" s="17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 x14ac:dyDescent="0.25">
      <c r="A71" s="2"/>
      <c r="B71" s="597"/>
      <c r="C71" s="34" t="s">
        <v>212</v>
      </c>
      <c r="D71" s="138"/>
      <c r="E71" s="30"/>
      <c r="F71" s="121"/>
      <c r="G71" s="30"/>
      <c r="H71" s="30"/>
      <c r="I71" s="30"/>
      <c r="J71" s="138"/>
      <c r="K71" s="30"/>
      <c r="L71" s="121"/>
      <c r="M71" s="30"/>
      <c r="N71" s="30"/>
      <c r="O71" s="3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customHeight="1" x14ac:dyDescent="0.25">
      <c r="A72" s="2"/>
      <c r="B72" s="597"/>
      <c r="C72" s="34" t="s">
        <v>213</v>
      </c>
      <c r="D72" s="138"/>
      <c r="E72" s="30"/>
      <c r="F72" s="121"/>
      <c r="G72" s="30"/>
      <c r="H72" s="30"/>
      <c r="I72" s="30"/>
      <c r="J72" s="138">
        <v>80000</v>
      </c>
      <c r="K72" s="30"/>
      <c r="L72" s="121"/>
      <c r="M72" s="30"/>
      <c r="N72" s="30"/>
      <c r="O72" s="3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 x14ac:dyDescent="0.25">
      <c r="A73" s="2"/>
      <c r="B73" s="597"/>
      <c r="C73" s="635" t="s">
        <v>323</v>
      </c>
      <c r="D73" s="138"/>
      <c r="E73" s="30"/>
      <c r="F73" s="121"/>
      <c r="G73" s="30"/>
      <c r="H73" s="30"/>
      <c r="I73" s="30"/>
      <c r="J73" s="138"/>
      <c r="K73" s="30"/>
      <c r="L73" s="121"/>
      <c r="M73" s="30"/>
      <c r="N73" s="30"/>
      <c r="O73" s="3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.75" customHeight="1" x14ac:dyDescent="0.25">
      <c r="A74" s="2"/>
      <c r="B74" s="597"/>
      <c r="C74" s="34" t="s">
        <v>285</v>
      </c>
      <c r="D74" s="138"/>
      <c r="E74" s="30"/>
      <c r="F74" s="121"/>
      <c r="G74" s="30"/>
      <c r="H74" s="30"/>
      <c r="I74" s="30"/>
      <c r="J74" s="138"/>
      <c r="K74" s="30"/>
      <c r="L74" s="121"/>
      <c r="M74" s="30"/>
      <c r="N74" s="30"/>
      <c r="O74" s="3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 x14ac:dyDescent="0.25">
      <c r="A75" s="2"/>
      <c r="B75" s="623"/>
      <c r="C75" s="636"/>
      <c r="D75" s="154"/>
      <c r="E75" s="40"/>
      <c r="F75" s="71"/>
      <c r="G75" s="40"/>
      <c r="H75" s="40"/>
      <c r="I75" s="40"/>
      <c r="J75" s="154"/>
      <c r="K75" s="40"/>
      <c r="L75" s="71"/>
      <c r="M75" s="40"/>
      <c r="N75" s="40"/>
      <c r="O75" s="4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 x14ac:dyDescent="0.25">
      <c r="A76" s="2"/>
      <c r="B76" s="630"/>
      <c r="C76" s="631" t="s">
        <v>35</v>
      </c>
      <c r="D76" s="632">
        <f>SUM(D77:D80)</f>
        <v>0</v>
      </c>
      <c r="E76" s="633"/>
      <c r="F76" s="634">
        <f>SUM(F77:F80)</f>
        <v>0</v>
      </c>
      <c r="G76" s="633"/>
      <c r="H76" s="633">
        <f>SUM(H77:H80)</f>
        <v>0</v>
      </c>
      <c r="I76" s="633"/>
      <c r="J76" s="632">
        <f>SUM(J77:J80)</f>
        <v>0</v>
      </c>
      <c r="K76" s="633"/>
      <c r="L76" s="634">
        <f>SUM(L77:L80)</f>
        <v>0</v>
      </c>
      <c r="M76" s="633"/>
      <c r="N76" s="633">
        <f>SUM(N77:N80)</f>
        <v>0</v>
      </c>
      <c r="O76" s="63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25">
      <c r="A77" s="2"/>
      <c r="B77" s="621"/>
      <c r="C77" s="24" t="s">
        <v>215</v>
      </c>
      <c r="D77" s="119"/>
      <c r="E77" s="17"/>
      <c r="F77" s="66"/>
      <c r="G77" s="17"/>
      <c r="H77" s="17"/>
      <c r="I77" s="17"/>
      <c r="J77" s="119"/>
      <c r="K77" s="17"/>
      <c r="L77" s="66"/>
      <c r="M77" s="17"/>
      <c r="N77" s="17"/>
      <c r="O77" s="17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 x14ac:dyDescent="0.25">
      <c r="A78" s="2"/>
      <c r="B78" s="597"/>
      <c r="C78" s="34" t="s">
        <v>216</v>
      </c>
      <c r="D78" s="138"/>
      <c r="E78" s="30"/>
      <c r="F78" s="121"/>
      <c r="G78" s="30"/>
      <c r="H78" s="30"/>
      <c r="I78" s="30"/>
      <c r="J78" s="138"/>
      <c r="K78" s="30"/>
      <c r="L78" s="121"/>
      <c r="M78" s="30"/>
      <c r="N78" s="30"/>
      <c r="O78" s="3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 x14ac:dyDescent="0.25">
      <c r="A79" s="2"/>
      <c r="B79" s="597"/>
      <c r="C79" s="34" t="s">
        <v>217</v>
      </c>
      <c r="D79" s="138"/>
      <c r="E79" s="30"/>
      <c r="F79" s="121"/>
      <c r="G79" s="30"/>
      <c r="H79" s="30"/>
      <c r="I79" s="30"/>
      <c r="J79" s="138"/>
      <c r="K79" s="30"/>
      <c r="L79" s="121"/>
      <c r="M79" s="30"/>
      <c r="N79" s="30"/>
      <c r="O79" s="3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 x14ac:dyDescent="0.25">
      <c r="A80" s="2"/>
      <c r="B80" s="597"/>
      <c r="C80" s="34" t="s">
        <v>218</v>
      </c>
      <c r="D80" s="138"/>
      <c r="E80" s="30"/>
      <c r="F80" s="121"/>
      <c r="G80" s="30"/>
      <c r="H80" s="30"/>
      <c r="I80" s="30"/>
      <c r="J80" s="138"/>
      <c r="K80" s="30"/>
      <c r="L80" s="121"/>
      <c r="M80" s="30"/>
      <c r="N80" s="30"/>
      <c r="O80" s="3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 x14ac:dyDescent="0.25">
      <c r="A81" s="2"/>
      <c r="B81" s="597"/>
      <c r="C81" s="34"/>
      <c r="D81" s="138"/>
      <c r="E81" s="30"/>
      <c r="F81" s="121"/>
      <c r="G81" s="30"/>
      <c r="H81" s="30"/>
      <c r="I81" s="30"/>
      <c r="J81" s="138"/>
      <c r="K81" s="30"/>
      <c r="L81" s="121"/>
      <c r="M81" s="30"/>
      <c r="N81" s="30"/>
      <c r="O81" s="3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 x14ac:dyDescent="0.25">
      <c r="A82" s="2"/>
      <c r="B82" s="623"/>
      <c r="C82" s="43"/>
      <c r="D82" s="154"/>
      <c r="E82" s="40"/>
      <c r="F82" s="71"/>
      <c r="G82" s="40"/>
      <c r="H82" s="40"/>
      <c r="I82" s="40"/>
      <c r="J82" s="154"/>
      <c r="K82" s="40"/>
      <c r="L82" s="71"/>
      <c r="M82" s="40"/>
      <c r="N82" s="40"/>
      <c r="O82" s="4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 x14ac:dyDescent="0.25">
      <c r="A83" s="2"/>
      <c r="B83" s="630"/>
      <c r="C83" s="631" t="s">
        <v>219</v>
      </c>
      <c r="D83" s="128">
        <f>SUM(D84:D87)</f>
        <v>92581</v>
      </c>
      <c r="E83" s="109"/>
      <c r="F83" s="108">
        <f>SUM(F84:F87)</f>
        <v>90931</v>
      </c>
      <c r="G83" s="109"/>
      <c r="H83" s="108">
        <f>SUM(H84:H87)</f>
        <v>90931</v>
      </c>
      <c r="I83" s="109"/>
      <c r="J83" s="128">
        <f>SUM(J84:J87)</f>
        <v>278160</v>
      </c>
      <c r="K83" s="109"/>
      <c r="L83" s="108">
        <f>SUM(L84:L87)</f>
        <v>0</v>
      </c>
      <c r="M83" s="109"/>
      <c r="N83" s="109">
        <f>SUM(N84:N87)</f>
        <v>0</v>
      </c>
      <c r="O83" s="109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25">
      <c r="A84" s="2"/>
      <c r="B84" s="621"/>
      <c r="C84" s="24" t="s">
        <v>220</v>
      </c>
      <c r="D84" s="119">
        <v>90931</v>
      </c>
      <c r="E84" s="119">
        <v>90931</v>
      </c>
      <c r="F84" s="119">
        <v>90931</v>
      </c>
      <c r="G84" s="119">
        <v>90931</v>
      </c>
      <c r="H84" s="119">
        <v>90931</v>
      </c>
      <c r="I84" s="119">
        <v>90931</v>
      </c>
      <c r="J84" s="119">
        <v>90931</v>
      </c>
      <c r="K84" s="17"/>
      <c r="L84" s="66"/>
      <c r="M84" s="17"/>
      <c r="N84" s="17"/>
      <c r="O84" s="17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 x14ac:dyDescent="0.25">
      <c r="A85" s="2"/>
      <c r="B85" s="597"/>
      <c r="C85" s="34" t="s">
        <v>221</v>
      </c>
      <c r="D85" s="138">
        <v>650</v>
      </c>
      <c r="E85" s="30"/>
      <c r="F85" s="121"/>
      <c r="G85" s="30"/>
      <c r="H85" s="30"/>
      <c r="I85" s="30"/>
      <c r="J85" s="138">
        <v>183530</v>
      </c>
      <c r="K85" s="30"/>
      <c r="L85" s="121"/>
      <c r="M85" s="30"/>
      <c r="N85" s="30"/>
      <c r="O85" s="3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 x14ac:dyDescent="0.25">
      <c r="A86" s="2"/>
      <c r="B86" s="597"/>
      <c r="C86" s="34" t="s">
        <v>222</v>
      </c>
      <c r="D86" s="138">
        <v>1000</v>
      </c>
      <c r="E86" s="30"/>
      <c r="F86" s="121"/>
      <c r="G86" s="30"/>
      <c r="H86" s="30"/>
      <c r="I86" s="30"/>
      <c r="J86" s="138">
        <v>1800</v>
      </c>
      <c r="K86" s="30"/>
      <c r="L86" s="121"/>
      <c r="M86" s="30"/>
      <c r="N86" s="30"/>
      <c r="O86" s="3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 x14ac:dyDescent="0.25">
      <c r="A87" s="2"/>
      <c r="B87" s="597"/>
      <c r="C87" s="34" t="s">
        <v>223</v>
      </c>
      <c r="D87" s="138">
        <v>0</v>
      </c>
      <c r="E87" s="30"/>
      <c r="F87" s="121"/>
      <c r="G87" s="30"/>
      <c r="H87" s="30"/>
      <c r="I87" s="30"/>
      <c r="J87" s="138">
        <v>1899</v>
      </c>
      <c r="K87" s="30"/>
      <c r="L87" s="121"/>
      <c r="M87" s="30"/>
      <c r="N87" s="30"/>
      <c r="O87" s="3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 x14ac:dyDescent="0.25">
      <c r="A88" s="2"/>
      <c r="B88" s="623"/>
      <c r="C88" s="636"/>
      <c r="D88" s="154"/>
      <c r="E88" s="40"/>
      <c r="F88" s="71"/>
      <c r="G88" s="40"/>
      <c r="H88" s="40"/>
      <c r="I88" s="40"/>
      <c r="J88" s="154"/>
      <c r="K88" s="40"/>
      <c r="L88" s="71"/>
      <c r="M88" s="40"/>
      <c r="N88" s="40"/>
      <c r="O88" s="4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 x14ac:dyDescent="0.25">
      <c r="A89" s="2"/>
      <c r="B89" s="630"/>
      <c r="C89" s="631" t="s">
        <v>37</v>
      </c>
      <c r="D89" s="632">
        <f>SUM(D90:D97)</f>
        <v>271146</v>
      </c>
      <c r="E89" s="633"/>
      <c r="F89" s="634">
        <f>SUM(F90:F97)</f>
        <v>0</v>
      </c>
      <c r="G89" s="633"/>
      <c r="H89" s="633">
        <f>SUM(H90:H97)</f>
        <v>0</v>
      </c>
      <c r="I89" s="633"/>
      <c r="J89" s="632">
        <f>SUM(J90:J97)</f>
        <v>189246</v>
      </c>
      <c r="K89" s="633"/>
      <c r="L89" s="634">
        <f>SUM(L90:L97)</f>
        <v>0</v>
      </c>
      <c r="M89" s="633"/>
      <c r="N89" s="633">
        <f>SUM(N90:N97)</f>
        <v>0</v>
      </c>
      <c r="O89" s="63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.75" customHeight="1" x14ac:dyDescent="0.25">
      <c r="A90" s="2"/>
      <c r="B90" s="621"/>
      <c r="C90" s="24" t="s">
        <v>224</v>
      </c>
      <c r="D90" s="119">
        <v>0</v>
      </c>
      <c r="E90" s="17"/>
      <c r="F90" s="66"/>
      <c r="G90" s="17"/>
      <c r="H90" s="17"/>
      <c r="I90" s="17"/>
      <c r="J90" s="119">
        <v>0</v>
      </c>
      <c r="K90" s="17"/>
      <c r="L90" s="66"/>
      <c r="M90" s="17"/>
      <c r="N90" s="17"/>
      <c r="O90" s="17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 x14ac:dyDescent="0.25">
      <c r="A91" s="2"/>
      <c r="B91" s="597"/>
      <c r="C91" s="34" t="s">
        <v>225</v>
      </c>
      <c r="D91" s="138">
        <v>270851</v>
      </c>
      <c r="E91" s="30"/>
      <c r="F91" s="121"/>
      <c r="G91" s="30"/>
      <c r="H91" s="30"/>
      <c r="I91" s="30"/>
      <c r="J91" s="285">
        <v>161321</v>
      </c>
      <c r="K91" s="30"/>
      <c r="L91" s="121"/>
      <c r="M91" s="30"/>
      <c r="N91" s="30"/>
      <c r="O91" s="3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 x14ac:dyDescent="0.25">
      <c r="A92" s="2"/>
      <c r="B92" s="597"/>
      <c r="C92" s="34" t="s">
        <v>226</v>
      </c>
      <c r="D92" s="138">
        <v>0</v>
      </c>
      <c r="E92" s="30"/>
      <c r="F92" s="121"/>
      <c r="G92" s="30"/>
      <c r="H92" s="30"/>
      <c r="I92" s="30"/>
      <c r="J92" s="138">
        <v>0</v>
      </c>
      <c r="K92" s="30"/>
      <c r="L92" s="121"/>
      <c r="M92" s="30"/>
      <c r="N92" s="30"/>
      <c r="O92" s="3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 x14ac:dyDescent="0.25">
      <c r="A93" s="2"/>
      <c r="B93" s="597"/>
      <c r="C93" s="34" t="s">
        <v>228</v>
      </c>
      <c r="D93" s="138">
        <v>0</v>
      </c>
      <c r="E93" s="30"/>
      <c r="F93" s="121"/>
      <c r="G93" s="30"/>
      <c r="H93" s="30"/>
      <c r="I93" s="30"/>
      <c r="J93" s="138">
        <v>0</v>
      </c>
      <c r="K93" s="30"/>
      <c r="L93" s="121"/>
      <c r="M93" s="30"/>
      <c r="N93" s="30"/>
      <c r="O93" s="3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 x14ac:dyDescent="0.25">
      <c r="A94" s="2"/>
      <c r="B94" s="597"/>
      <c r="C94" s="34" t="s">
        <v>229</v>
      </c>
      <c r="D94" s="138">
        <v>0</v>
      </c>
      <c r="E94" s="30"/>
      <c r="F94" s="121"/>
      <c r="G94" s="30"/>
      <c r="H94" s="30"/>
      <c r="I94" s="30"/>
      <c r="J94" s="138">
        <v>0</v>
      </c>
      <c r="K94" s="30"/>
      <c r="L94" s="121"/>
      <c r="M94" s="30"/>
      <c r="N94" s="30"/>
      <c r="O94" s="3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 x14ac:dyDescent="0.25">
      <c r="A95" s="2"/>
      <c r="B95" s="597"/>
      <c r="C95" s="34" t="s">
        <v>324</v>
      </c>
      <c r="D95" s="138">
        <v>0</v>
      </c>
      <c r="E95" s="30"/>
      <c r="F95" s="121"/>
      <c r="G95" s="30"/>
      <c r="H95" s="30"/>
      <c r="I95" s="30"/>
      <c r="J95" s="138">
        <v>0</v>
      </c>
      <c r="K95" s="30"/>
      <c r="L95" s="121"/>
      <c r="M95" s="30"/>
      <c r="N95" s="30"/>
      <c r="O95" s="3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 x14ac:dyDescent="0.25">
      <c r="A96" s="2"/>
      <c r="B96" s="597"/>
      <c r="C96" s="34" t="s">
        <v>230</v>
      </c>
      <c r="D96" s="138">
        <v>295</v>
      </c>
      <c r="E96" s="30"/>
      <c r="F96" s="121"/>
      <c r="G96" s="30"/>
      <c r="H96" s="30"/>
      <c r="I96" s="30"/>
      <c r="J96" s="138">
        <v>27925</v>
      </c>
      <c r="K96" s="30"/>
      <c r="L96" s="121"/>
      <c r="M96" s="30"/>
      <c r="N96" s="30"/>
      <c r="O96" s="3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 x14ac:dyDescent="0.25">
      <c r="A97" s="2"/>
      <c r="B97" s="597"/>
      <c r="C97" s="34" t="s">
        <v>231</v>
      </c>
      <c r="D97" s="138">
        <v>0</v>
      </c>
      <c r="E97" s="30"/>
      <c r="F97" s="121"/>
      <c r="G97" s="30"/>
      <c r="H97" s="30"/>
      <c r="I97" s="30"/>
      <c r="J97" s="138">
        <v>0</v>
      </c>
      <c r="K97" s="30"/>
      <c r="L97" s="121"/>
      <c r="M97" s="30"/>
      <c r="N97" s="30"/>
      <c r="O97" s="3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 x14ac:dyDescent="0.25">
      <c r="A98" s="2"/>
      <c r="B98" s="623"/>
      <c r="C98" s="636"/>
      <c r="D98" s="154"/>
      <c r="E98" s="40"/>
      <c r="F98" s="71"/>
      <c r="G98" s="40"/>
      <c r="H98" s="40"/>
      <c r="I98" s="40"/>
      <c r="J98" s="154"/>
      <c r="K98" s="40"/>
      <c r="L98" s="71"/>
      <c r="M98" s="40"/>
      <c r="N98" s="40"/>
      <c r="O98" s="4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 x14ac:dyDescent="0.25">
      <c r="A99" s="2"/>
      <c r="B99" s="630"/>
      <c r="C99" s="631" t="s">
        <v>38</v>
      </c>
      <c r="D99" s="632">
        <f>SUM(D100)</f>
        <v>0</v>
      </c>
      <c r="E99" s="633"/>
      <c r="F99" s="634">
        <f>SUM(F100)</f>
        <v>0</v>
      </c>
      <c r="G99" s="633"/>
      <c r="H99" s="633">
        <f>SUM(H100)</f>
        <v>0</v>
      </c>
      <c r="I99" s="633"/>
      <c r="J99" s="632">
        <f>SUM(J100)</f>
        <v>0</v>
      </c>
      <c r="K99" s="633"/>
      <c r="L99" s="634">
        <f>SUM(L100)</f>
        <v>0</v>
      </c>
      <c r="M99" s="633"/>
      <c r="N99" s="633">
        <f>SUM(N100)</f>
        <v>0</v>
      </c>
      <c r="O99" s="63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5.75" customHeight="1" x14ac:dyDescent="0.25">
      <c r="A100" s="2"/>
      <c r="B100" s="621"/>
      <c r="C100" s="24" t="s">
        <v>276</v>
      </c>
      <c r="D100" s="119">
        <v>0</v>
      </c>
      <c r="E100" s="17"/>
      <c r="F100" s="66"/>
      <c r="G100" s="17"/>
      <c r="H100" s="17"/>
      <c r="I100" s="17"/>
      <c r="J100" s="119">
        <v>0</v>
      </c>
      <c r="K100" s="17"/>
      <c r="L100" s="66"/>
      <c r="M100" s="17"/>
      <c r="N100" s="17"/>
      <c r="O100" s="17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 x14ac:dyDescent="0.25">
      <c r="A101" s="2"/>
      <c r="B101" s="623"/>
      <c r="C101" s="43"/>
      <c r="D101" s="154"/>
      <c r="E101" s="40"/>
      <c r="F101" s="71"/>
      <c r="G101" s="40"/>
      <c r="H101" s="40"/>
      <c r="I101" s="40"/>
      <c r="J101" s="154"/>
      <c r="K101" s="40"/>
      <c r="L101" s="71"/>
      <c r="M101" s="40"/>
      <c r="N101" s="40"/>
      <c r="O101" s="40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 x14ac:dyDescent="0.25">
      <c r="A102" s="2"/>
      <c r="B102" s="630"/>
      <c r="C102" s="631" t="s">
        <v>238</v>
      </c>
      <c r="D102" s="128">
        <f>SUM(D103:D104)</f>
        <v>6806.25</v>
      </c>
      <c r="E102" s="109"/>
      <c r="F102" s="108">
        <f>SUM(F103:F104)</f>
        <v>6806.25</v>
      </c>
      <c r="G102" s="109"/>
      <c r="H102" s="109">
        <f>SUM(H103:H104)</f>
        <v>6806.25</v>
      </c>
      <c r="I102" s="109"/>
      <c r="J102" s="128">
        <f>SUM(J103:J104)</f>
        <v>6806.25</v>
      </c>
      <c r="K102" s="109"/>
      <c r="L102" s="108">
        <f>SUM(L103:L104)</f>
        <v>0</v>
      </c>
      <c r="M102" s="109"/>
      <c r="N102" s="109">
        <f>SUM(N103:N104)</f>
        <v>0</v>
      </c>
      <c r="O102" s="109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5.75" customHeight="1" x14ac:dyDescent="0.25">
      <c r="A103" s="2"/>
      <c r="B103" s="621"/>
      <c r="C103" s="24" t="s">
        <v>239</v>
      </c>
      <c r="D103" s="119"/>
      <c r="E103" s="17"/>
      <c r="F103" s="66"/>
      <c r="G103" s="17"/>
      <c r="H103" s="17"/>
      <c r="I103" s="17"/>
      <c r="J103" s="119"/>
      <c r="K103" s="17"/>
      <c r="L103" s="66"/>
      <c r="M103" s="17"/>
      <c r="N103" s="17"/>
      <c r="O103" s="17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75" customHeight="1" x14ac:dyDescent="0.25">
      <c r="A104" s="2"/>
      <c r="B104" s="597"/>
      <c r="C104" s="34" t="s">
        <v>289</v>
      </c>
      <c r="D104" s="138">
        <v>6806.25</v>
      </c>
      <c r="E104" s="138">
        <v>6806.25</v>
      </c>
      <c r="F104" s="138">
        <v>6806.25</v>
      </c>
      <c r="G104" s="138">
        <v>6806.25</v>
      </c>
      <c r="H104" s="138">
        <v>6806.25</v>
      </c>
      <c r="I104" s="138">
        <v>6806.25</v>
      </c>
      <c r="J104" s="138">
        <v>6806.25</v>
      </c>
      <c r="K104" s="30"/>
      <c r="L104" s="121"/>
      <c r="M104" s="30"/>
      <c r="N104" s="30"/>
      <c r="O104" s="30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 x14ac:dyDescent="0.25">
      <c r="A105" s="2"/>
      <c r="B105" s="623"/>
      <c r="C105" s="43"/>
      <c r="D105" s="154"/>
      <c r="E105" s="40"/>
      <c r="F105" s="71"/>
      <c r="G105" s="40"/>
      <c r="H105" s="40"/>
      <c r="I105" s="40"/>
      <c r="J105" s="154"/>
      <c r="K105" s="40"/>
      <c r="L105" s="71"/>
      <c r="M105" s="40"/>
      <c r="N105" s="40"/>
      <c r="O105" s="40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 x14ac:dyDescent="0.25">
      <c r="A106" s="2"/>
      <c r="B106" s="630"/>
      <c r="C106" s="631" t="s">
        <v>40</v>
      </c>
      <c r="D106" s="128">
        <f>SUM(D107:D118)</f>
        <v>862863.00666666671</v>
      </c>
      <c r="E106" s="109"/>
      <c r="F106" s="108">
        <f>SUM(F107:F118)</f>
        <v>5934.916666666667</v>
      </c>
      <c r="G106" s="109"/>
      <c r="H106" s="109">
        <f>SUM(H107:H118)</f>
        <v>5934.916666666667</v>
      </c>
      <c r="I106" s="109"/>
      <c r="J106" s="128">
        <f>SUM(J107:J120)</f>
        <v>551879.50666666671</v>
      </c>
      <c r="K106" s="109"/>
      <c r="L106" s="108">
        <f>SUM(L107:L118)</f>
        <v>0</v>
      </c>
      <c r="M106" s="109"/>
      <c r="N106" s="109">
        <f>SUM(N107:N118)</f>
        <v>0</v>
      </c>
      <c r="O106" s="109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.75" customHeight="1" x14ac:dyDescent="0.25">
      <c r="A107" s="2"/>
      <c r="B107" s="621"/>
      <c r="C107" s="24" t="s">
        <v>241</v>
      </c>
      <c r="D107" s="119">
        <v>0</v>
      </c>
      <c r="E107" s="17"/>
      <c r="F107" s="66"/>
      <c r="G107" s="17"/>
      <c r="H107" s="17"/>
      <c r="I107" s="17"/>
      <c r="J107" s="119">
        <v>0</v>
      </c>
      <c r="K107" s="17"/>
      <c r="L107" s="66"/>
      <c r="M107" s="17"/>
      <c r="N107" s="17"/>
      <c r="O107" s="17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 x14ac:dyDescent="0.25">
      <c r="A108" s="2"/>
      <c r="B108" s="597"/>
      <c r="C108" s="34" t="s">
        <v>242</v>
      </c>
      <c r="D108" s="138">
        <v>0</v>
      </c>
      <c r="E108" s="30"/>
      <c r="F108" s="121"/>
      <c r="G108" s="30"/>
      <c r="H108" s="30"/>
      <c r="I108" s="30"/>
      <c r="J108" s="138">
        <v>0</v>
      </c>
      <c r="K108" s="30"/>
      <c r="L108" s="121"/>
      <c r="M108" s="30"/>
      <c r="N108" s="30"/>
      <c r="O108" s="30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 x14ac:dyDescent="0.25">
      <c r="A109" s="2"/>
      <c r="B109" s="597"/>
      <c r="C109" s="34" t="s">
        <v>243</v>
      </c>
      <c r="D109" s="138">
        <v>5934.916666666667</v>
      </c>
      <c r="E109" s="138">
        <v>5934.916666666667</v>
      </c>
      <c r="F109" s="138">
        <v>5934.916666666667</v>
      </c>
      <c r="G109" s="138">
        <v>5934.916666666667</v>
      </c>
      <c r="H109" s="138">
        <v>5934.916666666667</v>
      </c>
      <c r="I109" s="138">
        <v>5934.916666666667</v>
      </c>
      <c r="J109" s="138">
        <v>5934.916666666667</v>
      </c>
      <c r="K109" s="30"/>
      <c r="L109" s="121"/>
      <c r="M109" s="30"/>
      <c r="N109" s="30"/>
      <c r="O109" s="3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75" customHeight="1" x14ac:dyDescent="0.25">
      <c r="A110" s="2"/>
      <c r="B110" s="597"/>
      <c r="C110" s="34" t="s">
        <v>325</v>
      </c>
      <c r="D110" s="138">
        <v>0</v>
      </c>
      <c r="E110" s="30"/>
      <c r="F110" s="121"/>
      <c r="G110" s="30"/>
      <c r="H110" s="30"/>
      <c r="I110" s="30"/>
      <c r="J110" s="138">
        <v>0</v>
      </c>
      <c r="K110" s="30"/>
      <c r="L110" s="121"/>
      <c r="M110" s="30"/>
      <c r="N110" s="30"/>
      <c r="O110" s="30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 x14ac:dyDescent="0.25">
      <c r="A111" s="2"/>
      <c r="B111" s="597"/>
      <c r="C111" s="34" t="s">
        <v>290</v>
      </c>
      <c r="D111" s="138">
        <v>0</v>
      </c>
      <c r="E111" s="30"/>
      <c r="F111" s="121"/>
      <c r="G111" s="30"/>
      <c r="H111" s="30"/>
      <c r="I111" s="30"/>
      <c r="J111" s="138">
        <v>0</v>
      </c>
      <c r="K111" s="30"/>
      <c r="L111" s="121"/>
      <c r="M111" s="30"/>
      <c r="N111" s="30"/>
      <c r="O111" s="3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 x14ac:dyDescent="0.25">
      <c r="A112" s="2"/>
      <c r="B112" s="597"/>
      <c r="C112" s="34" t="s">
        <v>247</v>
      </c>
      <c r="D112" s="138">
        <v>820965.09000000008</v>
      </c>
      <c r="E112" s="30"/>
      <c r="F112" s="121"/>
      <c r="G112" s="30"/>
      <c r="H112" s="30"/>
      <c r="I112" s="30"/>
      <c r="J112" s="138">
        <v>465743.59</v>
      </c>
      <c r="K112" s="30"/>
      <c r="L112" s="121"/>
      <c r="M112" s="30"/>
      <c r="N112" s="30"/>
      <c r="O112" s="3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 x14ac:dyDescent="0.25">
      <c r="A113" s="2"/>
      <c r="B113" s="597"/>
      <c r="C113" s="34" t="s">
        <v>246</v>
      </c>
      <c r="D113" s="138">
        <v>16721</v>
      </c>
      <c r="E113" s="30"/>
      <c r="F113" s="121"/>
      <c r="G113" s="30"/>
      <c r="H113" s="30"/>
      <c r="I113" s="30"/>
      <c r="J113" s="138">
        <v>16721</v>
      </c>
      <c r="K113" s="30"/>
      <c r="L113" s="121"/>
      <c r="M113" s="30"/>
      <c r="N113" s="30"/>
      <c r="O113" s="3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 x14ac:dyDescent="0.25">
      <c r="A114" s="2"/>
      <c r="B114" s="597"/>
      <c r="C114" s="34" t="s">
        <v>249</v>
      </c>
      <c r="D114" s="138">
        <v>14682</v>
      </c>
      <c r="E114" s="30"/>
      <c r="F114" s="121"/>
      <c r="G114" s="30"/>
      <c r="H114" s="30"/>
      <c r="I114" s="30"/>
      <c r="J114" s="138">
        <v>0</v>
      </c>
      <c r="K114" s="30"/>
      <c r="L114" s="121"/>
      <c r="M114" s="30"/>
      <c r="N114" s="30"/>
      <c r="O114" s="3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 x14ac:dyDescent="0.25">
      <c r="A115" s="2"/>
      <c r="B115" s="597"/>
      <c r="C115" s="34" t="s">
        <v>250</v>
      </c>
      <c r="D115" s="138">
        <v>4560</v>
      </c>
      <c r="E115" s="30"/>
      <c r="F115" s="121"/>
      <c r="G115" s="30"/>
      <c r="H115" s="30"/>
      <c r="I115" s="30"/>
      <c r="J115" s="138">
        <v>0</v>
      </c>
      <c r="K115" s="30"/>
      <c r="L115" s="121"/>
      <c r="M115" s="30"/>
      <c r="N115" s="30"/>
      <c r="O115" s="3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 x14ac:dyDescent="0.25">
      <c r="A116" s="2"/>
      <c r="B116" s="597"/>
      <c r="C116" s="34" t="s">
        <v>251</v>
      </c>
      <c r="D116" s="138">
        <v>0</v>
      </c>
      <c r="E116" s="30"/>
      <c r="F116" s="121"/>
      <c r="G116" s="30"/>
      <c r="H116" s="30"/>
      <c r="I116" s="30"/>
      <c r="J116" s="138">
        <v>0</v>
      </c>
      <c r="K116" s="30"/>
      <c r="L116" s="121"/>
      <c r="M116" s="30"/>
      <c r="N116" s="30"/>
      <c r="O116" s="3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 x14ac:dyDescent="0.25">
      <c r="A117" s="2"/>
      <c r="B117" s="597"/>
      <c r="C117" s="34" t="s">
        <v>252</v>
      </c>
      <c r="D117" s="138">
        <v>0</v>
      </c>
      <c r="E117" s="30"/>
      <c r="F117" s="121"/>
      <c r="G117" s="30"/>
      <c r="H117" s="30"/>
      <c r="I117" s="30"/>
      <c r="J117" s="138">
        <v>0</v>
      </c>
      <c r="K117" s="30"/>
      <c r="L117" s="121"/>
      <c r="M117" s="30"/>
      <c r="N117" s="30"/>
      <c r="O117" s="3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 x14ac:dyDescent="0.25">
      <c r="A118" s="2"/>
      <c r="B118" s="597"/>
      <c r="C118" s="34" t="s">
        <v>326</v>
      </c>
      <c r="D118" s="138">
        <v>0</v>
      </c>
      <c r="E118" s="30"/>
      <c r="F118" s="121"/>
      <c r="G118" s="30"/>
      <c r="H118" s="30"/>
      <c r="I118" s="30"/>
      <c r="J118" s="138">
        <v>0</v>
      </c>
      <c r="K118" s="30"/>
      <c r="L118" s="121"/>
      <c r="M118" s="30"/>
      <c r="N118" s="30"/>
      <c r="O118" s="3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 x14ac:dyDescent="0.25">
      <c r="A119" s="2"/>
      <c r="B119" s="597"/>
      <c r="C119" s="34" t="s">
        <v>327</v>
      </c>
      <c r="D119" s="138">
        <v>0</v>
      </c>
      <c r="E119" s="30"/>
      <c r="F119" s="121"/>
      <c r="G119" s="30"/>
      <c r="H119" s="30"/>
      <c r="I119" s="30"/>
      <c r="J119" s="138">
        <v>0</v>
      </c>
      <c r="K119" s="30"/>
      <c r="L119" s="121"/>
      <c r="M119" s="30"/>
      <c r="N119" s="30"/>
      <c r="O119" s="3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75" customHeight="1" x14ac:dyDescent="0.25">
      <c r="A120" s="2"/>
      <c r="B120" s="597"/>
      <c r="C120" s="34" t="s">
        <v>291</v>
      </c>
      <c r="D120" s="138">
        <v>0</v>
      </c>
      <c r="E120" s="30"/>
      <c r="F120" s="121"/>
      <c r="G120" s="30"/>
      <c r="H120" s="30"/>
      <c r="I120" s="30"/>
      <c r="J120" s="138">
        <v>63480</v>
      </c>
      <c r="K120" s="30"/>
      <c r="L120" s="121"/>
      <c r="M120" s="30"/>
      <c r="N120" s="30"/>
      <c r="O120" s="3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 x14ac:dyDescent="0.25">
      <c r="A121" s="2"/>
      <c r="B121" s="597"/>
      <c r="C121" s="34" t="s">
        <v>280</v>
      </c>
      <c r="D121" s="138">
        <v>0</v>
      </c>
      <c r="E121" s="30"/>
      <c r="F121" s="121"/>
      <c r="G121" s="30"/>
      <c r="H121" s="30"/>
      <c r="I121" s="30"/>
      <c r="J121" s="138">
        <v>0</v>
      </c>
      <c r="K121" s="30"/>
      <c r="L121" s="121"/>
      <c r="M121" s="30"/>
      <c r="N121" s="30"/>
      <c r="O121" s="3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 x14ac:dyDescent="0.25">
      <c r="A122" s="2"/>
      <c r="B122" s="597"/>
      <c r="C122" s="34"/>
      <c r="D122" s="138"/>
      <c r="E122" s="30"/>
      <c r="F122" s="121"/>
      <c r="G122" s="30"/>
      <c r="H122" s="30"/>
      <c r="I122" s="30"/>
      <c r="J122" s="138"/>
      <c r="K122" s="30"/>
      <c r="L122" s="121"/>
      <c r="M122" s="30"/>
      <c r="N122" s="30"/>
      <c r="O122" s="3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 x14ac:dyDescent="0.25">
      <c r="A123" s="2"/>
      <c r="B123" s="623"/>
      <c r="C123" s="637"/>
      <c r="D123" s="154"/>
      <c r="E123" s="40"/>
      <c r="F123" s="71"/>
      <c r="G123" s="40"/>
      <c r="H123" s="40"/>
      <c r="I123" s="40"/>
      <c r="J123" s="154"/>
      <c r="K123" s="40"/>
      <c r="L123" s="71"/>
      <c r="M123" s="40"/>
      <c r="N123" s="40"/>
      <c r="O123" s="4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 x14ac:dyDescent="0.25">
      <c r="A124" s="2"/>
      <c r="B124" s="630"/>
      <c r="C124" s="631" t="s">
        <v>41</v>
      </c>
      <c r="D124" s="632">
        <f>SUM(D125)</f>
        <v>0</v>
      </c>
      <c r="E124" s="633"/>
      <c r="F124" s="634">
        <f>SUM(F125)</f>
        <v>0</v>
      </c>
      <c r="G124" s="633"/>
      <c r="H124" s="633">
        <f>SUM(H125)</f>
        <v>0</v>
      </c>
      <c r="I124" s="633"/>
      <c r="J124" s="632">
        <f>SUM(J125)</f>
        <v>0</v>
      </c>
      <c r="K124" s="633"/>
      <c r="L124" s="634">
        <f>SUM(L125)</f>
        <v>0</v>
      </c>
      <c r="M124" s="633"/>
      <c r="N124" s="633">
        <f>SUM(N125)</f>
        <v>0</v>
      </c>
      <c r="O124" s="63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.75" customHeight="1" x14ac:dyDescent="0.25">
      <c r="A125" s="2"/>
      <c r="B125" s="621"/>
      <c r="C125" s="24" t="s">
        <v>253</v>
      </c>
      <c r="D125" s="119"/>
      <c r="E125" s="17"/>
      <c r="F125" s="66"/>
      <c r="G125" s="17"/>
      <c r="H125" s="17"/>
      <c r="I125" s="17"/>
      <c r="J125" s="119"/>
      <c r="K125" s="17"/>
      <c r="L125" s="66"/>
      <c r="M125" s="17"/>
      <c r="N125" s="17"/>
      <c r="O125" s="17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 x14ac:dyDescent="0.25">
      <c r="A126" s="2"/>
      <c r="B126" s="597"/>
      <c r="C126" s="34" t="s">
        <v>41</v>
      </c>
      <c r="D126" s="138">
        <v>0</v>
      </c>
      <c r="E126" s="30"/>
      <c r="F126" s="121"/>
      <c r="G126" s="30"/>
      <c r="H126" s="30"/>
      <c r="I126" s="30"/>
      <c r="J126" s="138">
        <v>0</v>
      </c>
      <c r="K126" s="30"/>
      <c r="L126" s="121"/>
      <c r="M126" s="30"/>
      <c r="N126" s="30"/>
      <c r="O126" s="3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 x14ac:dyDescent="0.25">
      <c r="A127" s="2"/>
      <c r="B127" s="623"/>
      <c r="C127" s="43"/>
      <c r="D127" s="154"/>
      <c r="E127" s="40"/>
      <c r="F127" s="71"/>
      <c r="G127" s="40"/>
      <c r="H127" s="40"/>
      <c r="I127" s="40"/>
      <c r="J127" s="154"/>
      <c r="K127" s="40"/>
      <c r="L127" s="71"/>
      <c r="M127" s="40"/>
      <c r="N127" s="40"/>
      <c r="O127" s="4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 x14ac:dyDescent="0.25">
      <c r="A128" s="2"/>
      <c r="B128" s="630"/>
      <c r="C128" s="631" t="s">
        <v>42</v>
      </c>
      <c r="D128" s="632">
        <f>SUM(D129:D130)</f>
        <v>0</v>
      </c>
      <c r="E128" s="633"/>
      <c r="F128" s="634">
        <f>SUM(F129:F130)</f>
        <v>0</v>
      </c>
      <c r="G128" s="633"/>
      <c r="H128" s="633">
        <f>SUM(H129:H130)</f>
        <v>0</v>
      </c>
      <c r="I128" s="633"/>
      <c r="J128" s="632">
        <f>SUM(J129:J130)</f>
        <v>0</v>
      </c>
      <c r="K128" s="633"/>
      <c r="L128" s="634">
        <f>SUM(L129:L130)</f>
        <v>0</v>
      </c>
      <c r="M128" s="633"/>
      <c r="N128" s="633">
        <f>SUM(N129:N130)</f>
        <v>0</v>
      </c>
      <c r="O128" s="63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.75" customHeight="1" x14ac:dyDescent="0.25">
      <c r="A129" s="2"/>
      <c r="B129" s="621"/>
      <c r="C129" s="24" t="s">
        <v>283</v>
      </c>
      <c r="D129" s="119">
        <v>0</v>
      </c>
      <c r="E129" s="17"/>
      <c r="F129" s="66"/>
      <c r="G129" s="17"/>
      <c r="H129" s="17"/>
      <c r="I129" s="17"/>
      <c r="J129" s="119">
        <v>0</v>
      </c>
      <c r="K129" s="17"/>
      <c r="L129" s="66"/>
      <c r="M129" s="17"/>
      <c r="N129" s="17"/>
      <c r="O129" s="17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 x14ac:dyDescent="0.25">
      <c r="A130" s="2"/>
      <c r="B130" s="597"/>
      <c r="C130" s="34" t="s">
        <v>256</v>
      </c>
      <c r="D130" s="138">
        <v>0</v>
      </c>
      <c r="E130" s="30"/>
      <c r="F130" s="121"/>
      <c r="G130" s="30"/>
      <c r="H130" s="30"/>
      <c r="I130" s="30"/>
      <c r="J130" s="138">
        <v>0</v>
      </c>
      <c r="K130" s="30"/>
      <c r="L130" s="121"/>
      <c r="M130" s="30"/>
      <c r="N130" s="30"/>
      <c r="O130" s="3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 x14ac:dyDescent="0.25">
      <c r="A131" s="2"/>
      <c r="B131" s="597"/>
      <c r="C131" s="34"/>
      <c r="D131" s="138"/>
      <c r="E131" s="30"/>
      <c r="F131" s="121"/>
      <c r="G131" s="30"/>
      <c r="H131" s="30"/>
      <c r="I131" s="30"/>
      <c r="J131" s="138"/>
      <c r="K131" s="30"/>
      <c r="L131" s="121"/>
      <c r="M131" s="30"/>
      <c r="N131" s="30"/>
      <c r="O131" s="3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 x14ac:dyDescent="0.25">
      <c r="A132" s="2"/>
      <c r="B132" s="623"/>
      <c r="C132" s="43"/>
      <c r="D132" s="154"/>
      <c r="E132" s="40"/>
      <c r="F132" s="71"/>
      <c r="G132" s="40"/>
      <c r="H132" s="40"/>
      <c r="I132" s="40"/>
      <c r="J132" s="154"/>
      <c r="K132" s="40"/>
      <c r="L132" s="71"/>
      <c r="M132" s="40"/>
      <c r="N132" s="40"/>
      <c r="O132" s="4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 x14ac:dyDescent="0.25">
      <c r="A133" s="2"/>
      <c r="B133" s="638"/>
      <c r="C133" s="107" t="s">
        <v>257</v>
      </c>
      <c r="D133" s="128">
        <f>D58+D69+D76+D83+D89+D99+D128+D124+D106+D102</f>
        <v>1244676.2566666668</v>
      </c>
      <c r="E133" s="109"/>
      <c r="F133" s="128">
        <f>+F128+F124+F106+F102+F99</f>
        <v>12741.166666666668</v>
      </c>
      <c r="G133" s="109"/>
      <c r="H133" s="128">
        <f>+H128+H124+H106+H102+H99</f>
        <v>12741.166666666668</v>
      </c>
      <c r="I133" s="109"/>
      <c r="J133" s="128">
        <f>J58+J69+J76+J83+J89+J99+J128+J124+J106+J102</f>
        <v>1130325.7566666668</v>
      </c>
      <c r="K133" s="109"/>
      <c r="L133" s="128">
        <f>+L128+L124+L106+L102+L99</f>
        <v>0</v>
      </c>
      <c r="M133" s="109"/>
      <c r="N133" s="128">
        <f>+N128+N124+N106+N102+N99</f>
        <v>0</v>
      </c>
      <c r="O133" s="109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 x14ac:dyDescent="0.25">
      <c r="A134" s="2"/>
      <c r="B134" s="90"/>
      <c r="C134" s="89"/>
      <c r="D134" s="125"/>
      <c r="E134" s="87"/>
      <c r="F134" s="84"/>
      <c r="G134" s="87"/>
      <c r="H134" s="87"/>
      <c r="I134" s="87"/>
      <c r="J134" s="125"/>
      <c r="K134" s="87"/>
      <c r="L134" s="84"/>
      <c r="M134" s="87"/>
      <c r="N134" s="87"/>
      <c r="O134" s="87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 x14ac:dyDescent="0.25">
      <c r="A135" s="2"/>
      <c r="B135" s="630"/>
      <c r="C135" s="639" t="s">
        <v>258</v>
      </c>
      <c r="D135" s="128">
        <f>D49-D133</f>
        <v>-1244676.2566666668</v>
      </c>
      <c r="E135" s="633"/>
      <c r="F135" s="632">
        <f>+F28-F133</f>
        <v>-12741.166666666668</v>
      </c>
      <c r="G135" s="633"/>
      <c r="H135" s="632">
        <f>+H28-H133</f>
        <v>-12741.166666666668</v>
      </c>
      <c r="I135" s="633"/>
      <c r="J135" s="128">
        <f>J49-J133</f>
        <v>-1131355.7566666668</v>
      </c>
      <c r="K135" s="633"/>
      <c r="L135" s="632">
        <f>+L28-L133</f>
        <v>0</v>
      </c>
      <c r="M135" s="633"/>
      <c r="N135" s="632">
        <f>+N28-N133</f>
        <v>0</v>
      </c>
      <c r="O135" s="63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75" customHeight="1" x14ac:dyDescent="0.25">
      <c r="A136" s="2"/>
      <c r="B136" s="2"/>
      <c r="C136" s="2"/>
      <c r="D136" s="572"/>
      <c r="E136" s="2"/>
      <c r="F136" s="572"/>
      <c r="G136" s="2"/>
      <c r="H136" s="2"/>
      <c r="I136" s="2"/>
      <c r="J136" s="572"/>
      <c r="K136" s="2"/>
      <c r="L136" s="57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customHeight="1" x14ac:dyDescent="0.25">
      <c r="A137" s="2"/>
      <c r="B137" s="2"/>
      <c r="C137" s="2"/>
      <c r="D137" s="572"/>
      <c r="E137" s="2"/>
      <c r="F137" s="572"/>
      <c r="G137" s="2"/>
      <c r="H137" s="2"/>
      <c r="I137" s="2"/>
      <c r="J137" s="572"/>
      <c r="K137" s="2"/>
      <c r="L137" s="57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75" customHeight="1" x14ac:dyDescent="0.25">
      <c r="A138" s="2"/>
      <c r="B138" s="2"/>
      <c r="C138" s="2"/>
      <c r="D138" s="572"/>
      <c r="E138" s="2"/>
      <c r="F138" s="572"/>
      <c r="G138" s="2"/>
      <c r="H138" s="2"/>
      <c r="I138" s="2"/>
      <c r="J138" s="572"/>
      <c r="K138" s="2"/>
      <c r="L138" s="57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customHeight="1" x14ac:dyDescent="0.25">
      <c r="A139" s="2"/>
      <c r="B139" s="2"/>
      <c r="C139" s="2"/>
      <c r="D139" s="572"/>
      <c r="E139" s="2"/>
      <c r="F139" s="572"/>
      <c r="G139" s="2"/>
      <c r="H139" s="2"/>
      <c r="I139" s="2"/>
      <c r="J139" s="572"/>
      <c r="K139" s="2"/>
      <c r="L139" s="57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.75" customHeight="1" x14ac:dyDescent="0.25">
      <c r="A140" s="2"/>
      <c r="B140" s="2"/>
      <c r="C140" s="2"/>
      <c r="D140" s="572"/>
      <c r="E140" s="2"/>
      <c r="F140" s="572"/>
      <c r="G140" s="2"/>
      <c r="H140" s="2"/>
      <c r="I140" s="2"/>
      <c r="J140" s="572"/>
      <c r="K140" s="2"/>
      <c r="L140" s="57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customHeight="1" x14ac:dyDescent="0.25">
      <c r="A141" s="2"/>
      <c r="B141" s="2"/>
      <c r="C141" s="2"/>
      <c r="D141" s="572"/>
      <c r="E141" s="2"/>
      <c r="F141" s="572"/>
      <c r="G141" s="2"/>
      <c r="H141" s="2"/>
      <c r="I141" s="2"/>
      <c r="J141" s="572"/>
      <c r="K141" s="2"/>
      <c r="L141" s="57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75" customHeight="1" x14ac:dyDescent="0.25">
      <c r="A142" s="2"/>
      <c r="B142" s="2"/>
      <c r="C142" s="2"/>
      <c r="D142" s="572"/>
      <c r="E142" s="2"/>
      <c r="F142" s="572"/>
      <c r="G142" s="2"/>
      <c r="H142" s="2"/>
      <c r="I142" s="2"/>
      <c r="J142" s="572"/>
      <c r="K142" s="2"/>
      <c r="L142" s="57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customHeight="1" x14ac:dyDescent="0.25">
      <c r="A143" s="2"/>
      <c r="B143" s="2"/>
      <c r="C143" s="2"/>
      <c r="D143" s="572"/>
      <c r="E143" s="2"/>
      <c r="F143" s="572"/>
      <c r="G143" s="2"/>
      <c r="H143" s="2"/>
      <c r="I143" s="2"/>
      <c r="J143" s="572"/>
      <c r="K143" s="2"/>
      <c r="L143" s="57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75" customHeight="1" x14ac:dyDescent="0.25">
      <c r="A144" s="2"/>
      <c r="B144" s="2"/>
      <c r="C144" s="2"/>
      <c r="D144" s="572"/>
      <c r="E144" s="2"/>
      <c r="F144" s="572"/>
      <c r="G144" s="2"/>
      <c r="H144" s="2"/>
      <c r="I144" s="2"/>
      <c r="J144" s="572"/>
      <c r="K144" s="2"/>
      <c r="L144" s="57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customHeight="1" x14ac:dyDescent="0.25">
      <c r="A145" s="2"/>
      <c r="B145" s="2"/>
      <c r="C145" s="2"/>
      <c r="D145" s="572"/>
      <c r="E145" s="2"/>
      <c r="F145" s="572"/>
      <c r="G145" s="2"/>
      <c r="H145" s="2"/>
      <c r="I145" s="2"/>
      <c r="J145" s="572"/>
      <c r="K145" s="2"/>
      <c r="L145" s="57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.75" customHeight="1" x14ac:dyDescent="0.25">
      <c r="A146" s="2"/>
      <c r="B146" s="2"/>
      <c r="C146" s="2"/>
      <c r="D146" s="572"/>
      <c r="E146" s="2"/>
      <c r="F146" s="572"/>
      <c r="G146" s="2"/>
      <c r="H146" s="2"/>
      <c r="I146" s="2"/>
      <c r="J146" s="572"/>
      <c r="K146" s="2"/>
      <c r="L146" s="57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customHeight="1" x14ac:dyDescent="0.25">
      <c r="A147" s="2"/>
      <c r="B147" s="2"/>
      <c r="C147" s="2"/>
      <c r="D147" s="572"/>
      <c r="E147" s="2"/>
      <c r="F147" s="572"/>
      <c r="G147" s="2"/>
      <c r="H147" s="2"/>
      <c r="I147" s="2"/>
      <c r="J147" s="572"/>
      <c r="K147" s="2"/>
      <c r="L147" s="57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75" customHeight="1" x14ac:dyDescent="0.25">
      <c r="A148" s="2"/>
      <c r="B148" s="2"/>
      <c r="C148" s="2"/>
      <c r="D148" s="572"/>
      <c r="E148" s="2"/>
      <c r="F148" s="572"/>
      <c r="G148" s="2"/>
      <c r="H148" s="2"/>
      <c r="I148" s="2"/>
      <c r="J148" s="572"/>
      <c r="K148" s="2"/>
      <c r="L148" s="57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customHeight="1" x14ac:dyDescent="0.25">
      <c r="A149" s="2"/>
      <c r="B149" s="2"/>
      <c r="C149" s="2"/>
      <c r="D149" s="572"/>
      <c r="E149" s="2"/>
      <c r="F149" s="572"/>
      <c r="G149" s="2"/>
      <c r="H149" s="2"/>
      <c r="I149" s="2"/>
      <c r="J149" s="572"/>
      <c r="K149" s="2"/>
      <c r="L149" s="57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 x14ac:dyDescent="0.25">
      <c r="A150" s="2"/>
      <c r="B150" s="2"/>
      <c r="C150" s="2"/>
      <c r="D150" s="572"/>
      <c r="E150" s="2"/>
      <c r="F150" s="572"/>
      <c r="G150" s="2"/>
      <c r="H150" s="2"/>
      <c r="I150" s="2"/>
      <c r="J150" s="572"/>
      <c r="K150" s="2"/>
      <c r="L150" s="57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 x14ac:dyDescent="0.25">
      <c r="A151" s="2"/>
      <c r="B151" s="2"/>
      <c r="C151" s="2"/>
      <c r="D151" s="572"/>
      <c r="E151" s="2"/>
      <c r="F151" s="572"/>
      <c r="G151" s="2"/>
      <c r="H151" s="2"/>
      <c r="I151" s="2"/>
      <c r="J151" s="572"/>
      <c r="K151" s="2"/>
      <c r="L151" s="57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 x14ac:dyDescent="0.25">
      <c r="A152" s="2"/>
      <c r="B152" s="2"/>
      <c r="C152" s="2"/>
      <c r="D152" s="572"/>
      <c r="E152" s="2"/>
      <c r="F152" s="572"/>
      <c r="G152" s="2"/>
      <c r="H152" s="2"/>
      <c r="I152" s="2"/>
      <c r="J152" s="572"/>
      <c r="K152" s="2"/>
      <c r="L152" s="57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 x14ac:dyDescent="0.25">
      <c r="A153" s="2"/>
      <c r="B153" s="2"/>
      <c r="C153" s="2"/>
      <c r="D153" s="572"/>
      <c r="E153" s="2"/>
      <c r="F153" s="572"/>
      <c r="G153" s="2"/>
      <c r="H153" s="2"/>
      <c r="I153" s="2"/>
      <c r="J153" s="572"/>
      <c r="K153" s="2"/>
      <c r="L153" s="57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 x14ac:dyDescent="0.25">
      <c r="A154" s="2"/>
      <c r="B154" s="2"/>
      <c r="C154" s="2"/>
      <c r="D154" s="572"/>
      <c r="E154" s="2"/>
      <c r="F154" s="572"/>
      <c r="G154" s="2"/>
      <c r="H154" s="2"/>
      <c r="I154" s="2"/>
      <c r="J154" s="572"/>
      <c r="K154" s="2"/>
      <c r="L154" s="57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customHeight="1" x14ac:dyDescent="0.25">
      <c r="A155" s="2"/>
      <c r="B155" s="2"/>
      <c r="C155" s="2"/>
      <c r="D155" s="572"/>
      <c r="E155" s="2"/>
      <c r="F155" s="572"/>
      <c r="G155" s="2"/>
      <c r="H155" s="2"/>
      <c r="I155" s="2"/>
      <c r="J155" s="572"/>
      <c r="K155" s="2"/>
      <c r="L155" s="57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 x14ac:dyDescent="0.25">
      <c r="A156" s="2"/>
      <c r="B156" s="2"/>
      <c r="C156" s="2"/>
      <c r="D156" s="572"/>
      <c r="E156" s="2"/>
      <c r="F156" s="572"/>
      <c r="G156" s="2"/>
      <c r="H156" s="2"/>
      <c r="I156" s="2"/>
      <c r="J156" s="572"/>
      <c r="K156" s="2"/>
      <c r="L156" s="57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 x14ac:dyDescent="0.25">
      <c r="A157" s="2"/>
      <c r="B157" s="2"/>
      <c r="C157" s="2"/>
      <c r="D157" s="572"/>
      <c r="E157" s="2"/>
      <c r="F157" s="572"/>
      <c r="G157" s="2"/>
      <c r="H157" s="2"/>
      <c r="I157" s="2"/>
      <c r="J157" s="572"/>
      <c r="K157" s="2"/>
      <c r="L157" s="57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 x14ac:dyDescent="0.25">
      <c r="A158" s="2"/>
      <c r="B158" s="2"/>
      <c r="C158" s="2"/>
      <c r="D158" s="572"/>
      <c r="E158" s="2"/>
      <c r="F158" s="572"/>
      <c r="G158" s="2"/>
      <c r="H158" s="2"/>
      <c r="I158" s="2"/>
      <c r="J158" s="572"/>
      <c r="K158" s="2"/>
      <c r="L158" s="57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 x14ac:dyDescent="0.25">
      <c r="A159" s="2"/>
      <c r="B159" s="2"/>
      <c r="C159" s="2"/>
      <c r="D159" s="572"/>
      <c r="E159" s="2"/>
      <c r="F159" s="572"/>
      <c r="G159" s="2"/>
      <c r="H159" s="2"/>
      <c r="I159" s="2"/>
      <c r="J159" s="572"/>
      <c r="K159" s="2"/>
      <c r="L159" s="57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 x14ac:dyDescent="0.25">
      <c r="A160" s="2"/>
      <c r="B160" s="2"/>
      <c r="C160" s="2"/>
      <c r="D160" s="572"/>
      <c r="E160" s="2"/>
      <c r="F160" s="572"/>
      <c r="G160" s="2"/>
      <c r="H160" s="2"/>
      <c r="I160" s="2"/>
      <c r="J160" s="572"/>
      <c r="K160" s="2"/>
      <c r="L160" s="57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customHeight="1" x14ac:dyDescent="0.25">
      <c r="A161" s="2"/>
      <c r="B161" s="2"/>
      <c r="C161" s="2"/>
      <c r="D161" s="572"/>
      <c r="E161" s="2"/>
      <c r="F161" s="572"/>
      <c r="G161" s="2"/>
      <c r="H161" s="2"/>
      <c r="I161" s="2"/>
      <c r="J161" s="572"/>
      <c r="K161" s="2"/>
      <c r="L161" s="57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 x14ac:dyDescent="0.25">
      <c r="A162" s="2"/>
      <c r="B162" s="2"/>
      <c r="C162" s="2"/>
      <c r="D162" s="572"/>
      <c r="E162" s="2"/>
      <c r="F162" s="572"/>
      <c r="G162" s="2"/>
      <c r="H162" s="2"/>
      <c r="I162" s="2"/>
      <c r="J162" s="572"/>
      <c r="K162" s="2"/>
      <c r="L162" s="57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 x14ac:dyDescent="0.25">
      <c r="A163" s="2"/>
      <c r="B163" s="2"/>
      <c r="C163" s="2"/>
      <c r="D163" s="572"/>
      <c r="E163" s="2"/>
      <c r="F163" s="572"/>
      <c r="G163" s="2"/>
      <c r="H163" s="2"/>
      <c r="I163" s="2"/>
      <c r="J163" s="572"/>
      <c r="K163" s="2"/>
      <c r="L163" s="57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 x14ac:dyDescent="0.25">
      <c r="A164" s="2"/>
      <c r="B164" s="2"/>
      <c r="C164" s="2"/>
      <c r="D164" s="572"/>
      <c r="E164" s="2"/>
      <c r="F164" s="572"/>
      <c r="G164" s="2"/>
      <c r="H164" s="2"/>
      <c r="I164" s="2"/>
      <c r="J164" s="572"/>
      <c r="K164" s="2"/>
      <c r="L164" s="57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 x14ac:dyDescent="0.25">
      <c r="A165" s="2"/>
      <c r="B165" s="2"/>
      <c r="C165" s="2"/>
      <c r="D165" s="572"/>
      <c r="E165" s="2"/>
      <c r="F165" s="572"/>
      <c r="G165" s="2"/>
      <c r="H165" s="2"/>
      <c r="I165" s="2"/>
      <c r="J165" s="572"/>
      <c r="K165" s="2"/>
      <c r="L165" s="57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 x14ac:dyDescent="0.25">
      <c r="A166" s="2"/>
      <c r="B166" s="2"/>
      <c r="C166" s="2"/>
      <c r="D166" s="572"/>
      <c r="E166" s="2"/>
      <c r="F166" s="572"/>
      <c r="G166" s="2"/>
      <c r="H166" s="2"/>
      <c r="I166" s="2"/>
      <c r="J166" s="572"/>
      <c r="K166" s="2"/>
      <c r="L166" s="57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 x14ac:dyDescent="0.25">
      <c r="A167" s="2"/>
      <c r="B167" s="2"/>
      <c r="C167" s="2"/>
      <c r="D167" s="572"/>
      <c r="E167" s="2"/>
      <c r="F167" s="572"/>
      <c r="G167" s="2"/>
      <c r="H167" s="2"/>
      <c r="I167" s="2"/>
      <c r="J167" s="572"/>
      <c r="K167" s="2"/>
      <c r="L167" s="57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 x14ac:dyDescent="0.25">
      <c r="A168" s="2"/>
      <c r="B168" s="2"/>
      <c r="C168" s="2"/>
      <c r="D168" s="572"/>
      <c r="E168" s="2"/>
      <c r="F168" s="572"/>
      <c r="G168" s="2"/>
      <c r="H168" s="2"/>
      <c r="I168" s="2"/>
      <c r="J168" s="572"/>
      <c r="K168" s="2"/>
      <c r="L168" s="57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customHeight="1" x14ac:dyDescent="0.25">
      <c r="A169" s="2"/>
      <c r="B169" s="2"/>
      <c r="C169" s="2"/>
      <c r="D169" s="572"/>
      <c r="E169" s="2"/>
      <c r="F169" s="572"/>
      <c r="G169" s="2"/>
      <c r="H169" s="2"/>
      <c r="I169" s="2"/>
      <c r="J169" s="572"/>
      <c r="K169" s="2"/>
      <c r="L169" s="57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 x14ac:dyDescent="0.25">
      <c r="A170" s="2"/>
      <c r="B170" s="2"/>
      <c r="C170" s="2"/>
      <c r="D170" s="572"/>
      <c r="E170" s="2"/>
      <c r="F170" s="572"/>
      <c r="G170" s="2"/>
      <c r="H170" s="2"/>
      <c r="I170" s="2"/>
      <c r="J170" s="572"/>
      <c r="K170" s="2"/>
      <c r="L170" s="57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 x14ac:dyDescent="0.25">
      <c r="A171" s="2"/>
      <c r="B171" s="2"/>
      <c r="C171" s="2"/>
      <c r="D171" s="572"/>
      <c r="E171" s="2"/>
      <c r="F171" s="572"/>
      <c r="G171" s="2"/>
      <c r="H171" s="2"/>
      <c r="I171" s="2"/>
      <c r="J171" s="572"/>
      <c r="K171" s="2"/>
      <c r="L171" s="57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 x14ac:dyDescent="0.25">
      <c r="A172" s="2"/>
      <c r="B172" s="2"/>
      <c r="C172" s="2"/>
      <c r="D172" s="572"/>
      <c r="E172" s="2"/>
      <c r="F172" s="572"/>
      <c r="G172" s="2"/>
      <c r="H172" s="2"/>
      <c r="I172" s="2"/>
      <c r="J172" s="572"/>
      <c r="K172" s="2"/>
      <c r="L172" s="57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 x14ac:dyDescent="0.25">
      <c r="A173" s="2"/>
      <c r="B173" s="2"/>
      <c r="C173" s="2"/>
      <c r="D173" s="572"/>
      <c r="E173" s="2"/>
      <c r="F173" s="572"/>
      <c r="G173" s="2"/>
      <c r="H173" s="2"/>
      <c r="I173" s="2"/>
      <c r="J173" s="572"/>
      <c r="K173" s="2"/>
      <c r="L173" s="57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 x14ac:dyDescent="0.25">
      <c r="A174" s="2"/>
      <c r="B174" s="2"/>
      <c r="C174" s="2"/>
      <c r="D174" s="572"/>
      <c r="E174" s="2"/>
      <c r="F174" s="572"/>
      <c r="G174" s="2"/>
      <c r="H174" s="2"/>
      <c r="I174" s="2"/>
      <c r="J174" s="572"/>
      <c r="K174" s="2"/>
      <c r="L174" s="57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 x14ac:dyDescent="0.25">
      <c r="A175" s="2"/>
      <c r="B175" s="2"/>
      <c r="C175" s="2"/>
      <c r="D175" s="572"/>
      <c r="E175" s="2"/>
      <c r="F175" s="572"/>
      <c r="G175" s="2"/>
      <c r="H175" s="2"/>
      <c r="I175" s="2"/>
      <c r="J175" s="572"/>
      <c r="K175" s="2"/>
      <c r="L175" s="57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 x14ac:dyDescent="0.25">
      <c r="A176" s="2"/>
      <c r="B176" s="2"/>
      <c r="C176" s="2"/>
      <c r="D176" s="572"/>
      <c r="E176" s="2"/>
      <c r="F176" s="572"/>
      <c r="G176" s="2"/>
      <c r="H176" s="2"/>
      <c r="I176" s="2"/>
      <c r="J176" s="572"/>
      <c r="K176" s="2"/>
      <c r="L176" s="57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 x14ac:dyDescent="0.25">
      <c r="A177" s="2"/>
      <c r="B177" s="2"/>
      <c r="C177" s="2"/>
      <c r="D177" s="572"/>
      <c r="E177" s="2"/>
      <c r="F177" s="572"/>
      <c r="G177" s="2"/>
      <c r="H177" s="2"/>
      <c r="I177" s="2"/>
      <c r="J177" s="572"/>
      <c r="K177" s="2"/>
      <c r="L177" s="57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 x14ac:dyDescent="0.25">
      <c r="A178" s="2"/>
      <c r="B178" s="2"/>
      <c r="C178" s="2"/>
      <c r="D178" s="572"/>
      <c r="E178" s="2"/>
      <c r="F178" s="572"/>
      <c r="G178" s="2"/>
      <c r="H178" s="2"/>
      <c r="I178" s="2"/>
      <c r="J178" s="572"/>
      <c r="K178" s="2"/>
      <c r="L178" s="57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 x14ac:dyDescent="0.25">
      <c r="A179" s="2"/>
      <c r="B179" s="2"/>
      <c r="C179" s="2"/>
      <c r="D179" s="572"/>
      <c r="E179" s="2"/>
      <c r="F179" s="572"/>
      <c r="G179" s="2"/>
      <c r="H179" s="2"/>
      <c r="I179" s="2"/>
      <c r="J179" s="572"/>
      <c r="K179" s="2"/>
      <c r="L179" s="57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 x14ac:dyDescent="0.25">
      <c r="A180" s="2"/>
      <c r="B180" s="2"/>
      <c r="C180" s="2"/>
      <c r="D180" s="572"/>
      <c r="E180" s="2"/>
      <c r="F180" s="572"/>
      <c r="G180" s="2"/>
      <c r="H180" s="2"/>
      <c r="I180" s="2"/>
      <c r="J180" s="572"/>
      <c r="K180" s="2"/>
      <c r="L180" s="57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 x14ac:dyDescent="0.25">
      <c r="A181" s="2"/>
      <c r="B181" s="2"/>
      <c r="C181" s="2"/>
      <c r="D181" s="572"/>
      <c r="E181" s="2"/>
      <c r="F181" s="572"/>
      <c r="G181" s="2"/>
      <c r="H181" s="2"/>
      <c r="I181" s="2"/>
      <c r="J181" s="572"/>
      <c r="K181" s="2"/>
      <c r="L181" s="57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 x14ac:dyDescent="0.25">
      <c r="A182" s="2"/>
      <c r="B182" s="2"/>
      <c r="C182" s="2"/>
      <c r="D182" s="572"/>
      <c r="E182" s="2"/>
      <c r="F182" s="572"/>
      <c r="G182" s="2"/>
      <c r="H182" s="2"/>
      <c r="I182" s="2"/>
      <c r="J182" s="572"/>
      <c r="K182" s="2"/>
      <c r="L182" s="57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customHeight="1" x14ac:dyDescent="0.25">
      <c r="A183" s="2"/>
      <c r="B183" s="2"/>
      <c r="C183" s="2"/>
      <c r="D183" s="572"/>
      <c r="E183" s="2"/>
      <c r="F183" s="572"/>
      <c r="G183" s="2"/>
      <c r="H183" s="2"/>
      <c r="I183" s="2"/>
      <c r="J183" s="572"/>
      <c r="K183" s="2"/>
      <c r="L183" s="57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 x14ac:dyDescent="0.25">
      <c r="A184" s="2"/>
      <c r="B184" s="2"/>
      <c r="C184" s="2"/>
      <c r="D184" s="572"/>
      <c r="E184" s="2"/>
      <c r="F184" s="572"/>
      <c r="G184" s="2"/>
      <c r="H184" s="2"/>
      <c r="I184" s="2"/>
      <c r="J184" s="572"/>
      <c r="K184" s="2"/>
      <c r="L184" s="57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 x14ac:dyDescent="0.25">
      <c r="A185" s="2"/>
      <c r="B185" s="2"/>
      <c r="C185" s="2"/>
      <c r="D185" s="572"/>
      <c r="E185" s="2"/>
      <c r="F185" s="572"/>
      <c r="G185" s="2"/>
      <c r="H185" s="2"/>
      <c r="I185" s="2"/>
      <c r="J185" s="572"/>
      <c r="K185" s="2"/>
      <c r="L185" s="57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 x14ac:dyDescent="0.25">
      <c r="A186" s="2"/>
      <c r="B186" s="2"/>
      <c r="C186" s="2"/>
      <c r="D186" s="572"/>
      <c r="E186" s="2"/>
      <c r="F186" s="572"/>
      <c r="G186" s="2"/>
      <c r="H186" s="2"/>
      <c r="I186" s="2"/>
      <c r="J186" s="572"/>
      <c r="K186" s="2"/>
      <c r="L186" s="57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 x14ac:dyDescent="0.25">
      <c r="A187" s="2"/>
      <c r="B187" s="2"/>
      <c r="C187" s="2"/>
      <c r="D187" s="572"/>
      <c r="E187" s="2"/>
      <c r="F187" s="572"/>
      <c r="G187" s="2"/>
      <c r="H187" s="2"/>
      <c r="I187" s="2"/>
      <c r="J187" s="572"/>
      <c r="K187" s="2"/>
      <c r="L187" s="57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 x14ac:dyDescent="0.25">
      <c r="A188" s="2"/>
      <c r="B188" s="2"/>
      <c r="C188" s="2"/>
      <c r="D188" s="572"/>
      <c r="E188" s="2"/>
      <c r="F188" s="572"/>
      <c r="G188" s="2"/>
      <c r="H188" s="2"/>
      <c r="I188" s="2"/>
      <c r="J188" s="572"/>
      <c r="K188" s="2"/>
      <c r="L188" s="57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 x14ac:dyDescent="0.25">
      <c r="A189" s="2"/>
      <c r="B189" s="2"/>
      <c r="C189" s="2"/>
      <c r="D189" s="572"/>
      <c r="E189" s="2"/>
      <c r="F189" s="572"/>
      <c r="G189" s="2"/>
      <c r="H189" s="2"/>
      <c r="I189" s="2"/>
      <c r="J189" s="572"/>
      <c r="K189" s="2"/>
      <c r="L189" s="57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 x14ac:dyDescent="0.25">
      <c r="A190" s="2"/>
      <c r="B190" s="2"/>
      <c r="C190" s="2"/>
      <c r="D190" s="572"/>
      <c r="E190" s="2"/>
      <c r="F190" s="572"/>
      <c r="G190" s="2"/>
      <c r="H190" s="2"/>
      <c r="I190" s="2"/>
      <c r="J190" s="572"/>
      <c r="K190" s="2"/>
      <c r="L190" s="57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 x14ac:dyDescent="0.25">
      <c r="A191" s="2"/>
      <c r="B191" s="2"/>
      <c r="C191" s="2"/>
      <c r="D191" s="572"/>
      <c r="E191" s="2"/>
      <c r="F191" s="572"/>
      <c r="G191" s="2"/>
      <c r="H191" s="2"/>
      <c r="I191" s="2"/>
      <c r="J191" s="572"/>
      <c r="K191" s="2"/>
      <c r="L191" s="57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 x14ac:dyDescent="0.25">
      <c r="A192" s="2"/>
      <c r="B192" s="2"/>
      <c r="C192" s="2"/>
      <c r="D192" s="572"/>
      <c r="E192" s="2"/>
      <c r="F192" s="572"/>
      <c r="G192" s="2"/>
      <c r="H192" s="2"/>
      <c r="I192" s="2"/>
      <c r="J192" s="572"/>
      <c r="K192" s="2"/>
      <c r="L192" s="57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 x14ac:dyDescent="0.25">
      <c r="A193" s="2"/>
      <c r="B193" s="2"/>
      <c r="C193" s="2"/>
      <c r="D193" s="572"/>
      <c r="E193" s="2"/>
      <c r="F193" s="572"/>
      <c r="G193" s="2"/>
      <c r="H193" s="2"/>
      <c r="I193" s="2"/>
      <c r="J193" s="572"/>
      <c r="K193" s="2"/>
      <c r="L193" s="57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 x14ac:dyDescent="0.25">
      <c r="A194" s="2"/>
      <c r="B194" s="2"/>
      <c r="C194" s="2"/>
      <c r="D194" s="572"/>
      <c r="E194" s="2"/>
      <c r="F194" s="572"/>
      <c r="G194" s="2"/>
      <c r="H194" s="2"/>
      <c r="I194" s="2"/>
      <c r="J194" s="572"/>
      <c r="K194" s="2"/>
      <c r="L194" s="57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 x14ac:dyDescent="0.25">
      <c r="A195" s="2"/>
      <c r="B195" s="2"/>
      <c r="C195" s="2"/>
      <c r="D195" s="572"/>
      <c r="E195" s="2"/>
      <c r="F195" s="572"/>
      <c r="G195" s="2"/>
      <c r="H195" s="2"/>
      <c r="I195" s="2"/>
      <c r="J195" s="572"/>
      <c r="K195" s="2"/>
      <c r="L195" s="57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75" customHeight="1" x14ac:dyDescent="0.25">
      <c r="A196" s="2"/>
      <c r="B196" s="2"/>
      <c r="C196" s="2"/>
      <c r="D196" s="572"/>
      <c r="E196" s="2"/>
      <c r="F196" s="572"/>
      <c r="G196" s="2"/>
      <c r="H196" s="2"/>
      <c r="I196" s="2"/>
      <c r="J196" s="572"/>
      <c r="K196" s="2"/>
      <c r="L196" s="57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 x14ac:dyDescent="0.25">
      <c r="A197" s="2"/>
      <c r="B197" s="2"/>
      <c r="C197" s="2"/>
      <c r="D197" s="572"/>
      <c r="E197" s="2"/>
      <c r="F197" s="572"/>
      <c r="G197" s="2"/>
      <c r="H197" s="2"/>
      <c r="I197" s="2"/>
      <c r="J197" s="572"/>
      <c r="K197" s="2"/>
      <c r="L197" s="57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 x14ac:dyDescent="0.25">
      <c r="A198" s="2"/>
      <c r="B198" s="2"/>
      <c r="C198" s="2"/>
      <c r="D198" s="572"/>
      <c r="E198" s="2"/>
      <c r="F198" s="572"/>
      <c r="G198" s="2"/>
      <c r="H198" s="2"/>
      <c r="I198" s="2"/>
      <c r="J198" s="572"/>
      <c r="K198" s="2"/>
      <c r="L198" s="57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 x14ac:dyDescent="0.25">
      <c r="A199" s="2"/>
      <c r="B199" s="2"/>
      <c r="C199" s="2"/>
      <c r="D199" s="572"/>
      <c r="E199" s="2"/>
      <c r="F199" s="572"/>
      <c r="G199" s="2"/>
      <c r="H199" s="2"/>
      <c r="I199" s="2"/>
      <c r="J199" s="572"/>
      <c r="K199" s="2"/>
      <c r="L199" s="57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 x14ac:dyDescent="0.25">
      <c r="A200" s="2"/>
      <c r="B200" s="2"/>
      <c r="C200" s="2"/>
      <c r="D200" s="572"/>
      <c r="E200" s="2"/>
      <c r="F200" s="572"/>
      <c r="G200" s="2"/>
      <c r="H200" s="2"/>
      <c r="I200" s="2"/>
      <c r="J200" s="572"/>
      <c r="K200" s="2"/>
      <c r="L200" s="57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 x14ac:dyDescent="0.25">
      <c r="A201" s="2"/>
      <c r="B201" s="2"/>
      <c r="C201" s="2"/>
      <c r="D201" s="572"/>
      <c r="E201" s="2"/>
      <c r="F201" s="572"/>
      <c r="G201" s="2"/>
      <c r="H201" s="2"/>
      <c r="I201" s="2"/>
      <c r="J201" s="572"/>
      <c r="K201" s="2"/>
      <c r="L201" s="57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 x14ac:dyDescent="0.25">
      <c r="A202" s="2"/>
      <c r="B202" s="2"/>
      <c r="C202" s="2"/>
      <c r="D202" s="572"/>
      <c r="E202" s="2"/>
      <c r="F202" s="572"/>
      <c r="G202" s="2"/>
      <c r="H202" s="2"/>
      <c r="I202" s="2"/>
      <c r="J202" s="572"/>
      <c r="K202" s="2"/>
      <c r="L202" s="57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 x14ac:dyDescent="0.25">
      <c r="A203" s="2"/>
      <c r="B203" s="2"/>
      <c r="C203" s="2"/>
      <c r="D203" s="572"/>
      <c r="E203" s="2"/>
      <c r="F203" s="572"/>
      <c r="G203" s="2"/>
      <c r="H203" s="2"/>
      <c r="I203" s="2"/>
      <c r="J203" s="572"/>
      <c r="K203" s="2"/>
      <c r="L203" s="57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 x14ac:dyDescent="0.25">
      <c r="A204" s="2"/>
      <c r="B204" s="2"/>
      <c r="C204" s="2"/>
      <c r="D204" s="572"/>
      <c r="E204" s="2"/>
      <c r="F204" s="572"/>
      <c r="G204" s="2"/>
      <c r="H204" s="2"/>
      <c r="I204" s="2"/>
      <c r="J204" s="572"/>
      <c r="K204" s="2"/>
      <c r="L204" s="57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 x14ac:dyDescent="0.25">
      <c r="A205" s="2"/>
      <c r="B205" s="2"/>
      <c r="C205" s="2"/>
      <c r="D205" s="572"/>
      <c r="E205" s="2"/>
      <c r="F205" s="572"/>
      <c r="G205" s="2"/>
      <c r="H205" s="2"/>
      <c r="I205" s="2"/>
      <c r="J205" s="572"/>
      <c r="K205" s="2"/>
      <c r="L205" s="57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75" customHeight="1" x14ac:dyDescent="0.25">
      <c r="A206" s="2"/>
      <c r="B206" s="2"/>
      <c r="C206" s="2"/>
      <c r="D206" s="572"/>
      <c r="E206" s="2"/>
      <c r="F206" s="572"/>
      <c r="G206" s="2"/>
      <c r="H206" s="2"/>
      <c r="I206" s="2"/>
      <c r="J206" s="572"/>
      <c r="K206" s="2"/>
      <c r="L206" s="57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customHeight="1" x14ac:dyDescent="0.25">
      <c r="A207" s="2"/>
      <c r="B207" s="2"/>
      <c r="C207" s="2"/>
      <c r="D207" s="572"/>
      <c r="E207" s="2"/>
      <c r="F207" s="572"/>
      <c r="G207" s="2"/>
      <c r="H207" s="2"/>
      <c r="I207" s="2"/>
      <c r="J207" s="572"/>
      <c r="K207" s="2"/>
      <c r="L207" s="57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 x14ac:dyDescent="0.25">
      <c r="A208" s="2"/>
      <c r="B208" s="2"/>
      <c r="C208" s="2"/>
      <c r="D208" s="572"/>
      <c r="E208" s="2"/>
      <c r="F208" s="572"/>
      <c r="G208" s="2"/>
      <c r="H208" s="2"/>
      <c r="I208" s="2"/>
      <c r="J208" s="572"/>
      <c r="K208" s="2"/>
      <c r="L208" s="57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 x14ac:dyDescent="0.25">
      <c r="A209" s="2"/>
      <c r="B209" s="2"/>
      <c r="C209" s="2"/>
      <c r="D209" s="572"/>
      <c r="E209" s="2"/>
      <c r="F209" s="572"/>
      <c r="G209" s="2"/>
      <c r="H209" s="2"/>
      <c r="I209" s="2"/>
      <c r="J209" s="572"/>
      <c r="K209" s="2"/>
      <c r="L209" s="57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 x14ac:dyDescent="0.25">
      <c r="A210" s="2"/>
      <c r="B210" s="2"/>
      <c r="C210" s="2"/>
      <c r="D210" s="572"/>
      <c r="E210" s="2"/>
      <c r="F210" s="572"/>
      <c r="G210" s="2"/>
      <c r="H210" s="2"/>
      <c r="I210" s="2"/>
      <c r="J210" s="572"/>
      <c r="K210" s="2"/>
      <c r="L210" s="57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 x14ac:dyDescent="0.25">
      <c r="A211" s="2"/>
      <c r="B211" s="2"/>
      <c r="C211" s="2"/>
      <c r="D211" s="572"/>
      <c r="E211" s="2"/>
      <c r="F211" s="572"/>
      <c r="G211" s="2"/>
      <c r="H211" s="2"/>
      <c r="I211" s="2"/>
      <c r="J211" s="572"/>
      <c r="K211" s="2"/>
      <c r="L211" s="57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 x14ac:dyDescent="0.25">
      <c r="A212" s="2"/>
      <c r="B212" s="2"/>
      <c r="C212" s="2"/>
      <c r="D212" s="572"/>
      <c r="E212" s="2"/>
      <c r="F212" s="572"/>
      <c r="G212" s="2"/>
      <c r="H212" s="2"/>
      <c r="I212" s="2"/>
      <c r="J212" s="572"/>
      <c r="K212" s="2"/>
      <c r="L212" s="57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 x14ac:dyDescent="0.25">
      <c r="A213" s="2"/>
      <c r="B213" s="2"/>
      <c r="C213" s="2"/>
      <c r="D213" s="572"/>
      <c r="E213" s="2"/>
      <c r="F213" s="572"/>
      <c r="G213" s="2"/>
      <c r="H213" s="2"/>
      <c r="I213" s="2"/>
      <c r="J213" s="572"/>
      <c r="K213" s="2"/>
      <c r="L213" s="57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 x14ac:dyDescent="0.25">
      <c r="A214" s="2"/>
      <c r="B214" s="2"/>
      <c r="C214" s="2"/>
      <c r="D214" s="572"/>
      <c r="E214" s="2"/>
      <c r="F214" s="572"/>
      <c r="G214" s="2"/>
      <c r="H214" s="2"/>
      <c r="I214" s="2"/>
      <c r="J214" s="572"/>
      <c r="K214" s="2"/>
      <c r="L214" s="57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 x14ac:dyDescent="0.25">
      <c r="A215" s="2"/>
      <c r="B215" s="2"/>
      <c r="C215" s="2"/>
      <c r="D215" s="572"/>
      <c r="E215" s="2"/>
      <c r="F215" s="572"/>
      <c r="G215" s="2"/>
      <c r="H215" s="2"/>
      <c r="I215" s="2"/>
      <c r="J215" s="572"/>
      <c r="K215" s="2"/>
      <c r="L215" s="57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75" customHeight="1" x14ac:dyDescent="0.25">
      <c r="A216" s="2"/>
      <c r="B216" s="2"/>
      <c r="C216" s="2"/>
      <c r="D216" s="572"/>
      <c r="E216" s="2"/>
      <c r="F216" s="572"/>
      <c r="G216" s="2"/>
      <c r="H216" s="2"/>
      <c r="I216" s="2"/>
      <c r="J216" s="572"/>
      <c r="K216" s="2"/>
      <c r="L216" s="57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customHeight="1" x14ac:dyDescent="0.25">
      <c r="A217" s="2"/>
      <c r="B217" s="2"/>
      <c r="C217" s="2"/>
      <c r="D217" s="572"/>
      <c r="E217" s="2"/>
      <c r="F217" s="572"/>
      <c r="G217" s="2"/>
      <c r="H217" s="2"/>
      <c r="I217" s="2"/>
      <c r="J217" s="572"/>
      <c r="K217" s="2"/>
      <c r="L217" s="57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75" customHeight="1" x14ac:dyDescent="0.25">
      <c r="A218" s="2"/>
      <c r="B218" s="2"/>
      <c r="C218" s="2"/>
      <c r="D218" s="572"/>
      <c r="E218" s="2"/>
      <c r="F218" s="572"/>
      <c r="G218" s="2"/>
      <c r="H218" s="2"/>
      <c r="I218" s="2"/>
      <c r="J218" s="572"/>
      <c r="K218" s="2"/>
      <c r="L218" s="57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 x14ac:dyDescent="0.25">
      <c r="A219" s="2"/>
      <c r="B219" s="2"/>
      <c r="C219" s="2"/>
      <c r="D219" s="572"/>
      <c r="E219" s="2"/>
      <c r="F219" s="572"/>
      <c r="G219" s="2"/>
      <c r="H219" s="2"/>
      <c r="I219" s="2"/>
      <c r="J219" s="572"/>
      <c r="K219" s="2"/>
      <c r="L219" s="57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75" customHeight="1" x14ac:dyDescent="0.25">
      <c r="A220" s="2"/>
      <c r="B220" s="2"/>
      <c r="C220" s="2"/>
      <c r="D220" s="572"/>
      <c r="E220" s="2"/>
      <c r="F220" s="572"/>
      <c r="G220" s="2"/>
      <c r="H220" s="2"/>
      <c r="I220" s="2"/>
      <c r="J220" s="572"/>
      <c r="K220" s="2"/>
      <c r="L220" s="57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 x14ac:dyDescent="0.25">
      <c r="A221" s="2"/>
      <c r="B221" s="2"/>
      <c r="C221" s="2"/>
      <c r="D221" s="572"/>
      <c r="E221" s="2"/>
      <c r="F221" s="572"/>
      <c r="G221" s="2"/>
      <c r="H221" s="2"/>
      <c r="I221" s="2"/>
      <c r="J221" s="572"/>
      <c r="K221" s="2"/>
      <c r="L221" s="57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 x14ac:dyDescent="0.25">
      <c r="A222" s="2"/>
      <c r="B222" s="2"/>
      <c r="C222" s="2"/>
      <c r="D222" s="572"/>
      <c r="E222" s="2"/>
      <c r="F222" s="572"/>
      <c r="G222" s="2"/>
      <c r="H222" s="2"/>
      <c r="I222" s="2"/>
      <c r="J222" s="572"/>
      <c r="K222" s="2"/>
      <c r="L222" s="57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 x14ac:dyDescent="0.25">
      <c r="A223" s="2"/>
      <c r="B223" s="2"/>
      <c r="C223" s="2"/>
      <c r="D223" s="572"/>
      <c r="E223" s="2"/>
      <c r="F223" s="572"/>
      <c r="G223" s="2"/>
      <c r="H223" s="2"/>
      <c r="I223" s="2"/>
      <c r="J223" s="572"/>
      <c r="K223" s="2"/>
      <c r="L223" s="57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 x14ac:dyDescent="0.25">
      <c r="A224" s="2"/>
      <c r="B224" s="2"/>
      <c r="C224" s="2"/>
      <c r="D224" s="572"/>
      <c r="E224" s="2"/>
      <c r="F224" s="572"/>
      <c r="G224" s="2"/>
      <c r="H224" s="2"/>
      <c r="I224" s="2"/>
      <c r="J224" s="572"/>
      <c r="K224" s="2"/>
      <c r="L224" s="57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 x14ac:dyDescent="0.25">
      <c r="A225" s="2"/>
      <c r="B225" s="2"/>
      <c r="C225" s="2"/>
      <c r="D225" s="572"/>
      <c r="E225" s="2"/>
      <c r="F225" s="572"/>
      <c r="G225" s="2"/>
      <c r="H225" s="2"/>
      <c r="I225" s="2"/>
      <c r="J225" s="572"/>
      <c r="K225" s="2"/>
      <c r="L225" s="57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 x14ac:dyDescent="0.25">
      <c r="A226" s="2"/>
      <c r="B226" s="2"/>
      <c r="C226" s="2"/>
      <c r="D226" s="572"/>
      <c r="E226" s="2"/>
      <c r="F226" s="572"/>
      <c r="G226" s="2"/>
      <c r="H226" s="2"/>
      <c r="I226" s="2"/>
      <c r="J226" s="572"/>
      <c r="K226" s="2"/>
      <c r="L226" s="57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 x14ac:dyDescent="0.25">
      <c r="A227" s="2"/>
      <c r="B227" s="2"/>
      <c r="C227" s="2"/>
      <c r="D227" s="572"/>
      <c r="E227" s="2"/>
      <c r="F227" s="572"/>
      <c r="G227" s="2"/>
      <c r="H227" s="2"/>
      <c r="I227" s="2"/>
      <c r="J227" s="572"/>
      <c r="K227" s="2"/>
      <c r="L227" s="57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customHeight="1" x14ac:dyDescent="0.25">
      <c r="A228" s="2"/>
      <c r="B228" s="2"/>
      <c r="C228" s="2"/>
      <c r="D228" s="572"/>
      <c r="E228" s="2"/>
      <c r="F228" s="572"/>
      <c r="G228" s="2"/>
      <c r="H228" s="2"/>
      <c r="I228" s="2"/>
      <c r="J228" s="572"/>
      <c r="K228" s="2"/>
      <c r="L228" s="57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 x14ac:dyDescent="0.25">
      <c r="A229" s="2"/>
      <c r="B229" s="2"/>
      <c r="C229" s="2"/>
      <c r="D229" s="572"/>
      <c r="E229" s="2"/>
      <c r="F229" s="572"/>
      <c r="G229" s="2"/>
      <c r="H229" s="2"/>
      <c r="I229" s="2"/>
      <c r="J229" s="572"/>
      <c r="K229" s="2"/>
      <c r="L229" s="57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customHeight="1" x14ac:dyDescent="0.25">
      <c r="A230" s="2"/>
      <c r="B230" s="2"/>
      <c r="C230" s="2"/>
      <c r="D230" s="572"/>
      <c r="E230" s="2"/>
      <c r="F230" s="572"/>
      <c r="G230" s="2"/>
      <c r="H230" s="2"/>
      <c r="I230" s="2"/>
      <c r="J230" s="572"/>
      <c r="K230" s="2"/>
      <c r="L230" s="57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 x14ac:dyDescent="0.25">
      <c r="A231" s="2"/>
      <c r="B231" s="2"/>
      <c r="C231" s="2"/>
      <c r="D231" s="572"/>
      <c r="E231" s="2"/>
      <c r="F231" s="572"/>
      <c r="G231" s="2"/>
      <c r="H231" s="2"/>
      <c r="I231" s="2"/>
      <c r="J231" s="572"/>
      <c r="K231" s="2"/>
      <c r="L231" s="57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customHeight="1" x14ac:dyDescent="0.25">
      <c r="A232" s="2"/>
      <c r="B232" s="2"/>
      <c r="C232" s="2"/>
      <c r="D232" s="572"/>
      <c r="E232" s="2"/>
      <c r="F232" s="572"/>
      <c r="G232" s="2"/>
      <c r="H232" s="2"/>
      <c r="I232" s="2"/>
      <c r="J232" s="572"/>
      <c r="K232" s="2"/>
      <c r="L232" s="57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 x14ac:dyDescent="0.25">
      <c r="A233" s="2"/>
      <c r="B233" s="2"/>
      <c r="C233" s="2"/>
      <c r="D233" s="572"/>
      <c r="E233" s="2"/>
      <c r="F233" s="572"/>
      <c r="G233" s="2"/>
      <c r="H233" s="2"/>
      <c r="I233" s="2"/>
      <c r="J233" s="572"/>
      <c r="K233" s="2"/>
      <c r="L233" s="57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customHeight="1" x14ac:dyDescent="0.25">
      <c r="A234" s="2"/>
      <c r="B234" s="2"/>
      <c r="C234" s="2"/>
      <c r="D234" s="572"/>
      <c r="E234" s="2"/>
      <c r="F234" s="572"/>
      <c r="G234" s="2"/>
      <c r="H234" s="2"/>
      <c r="I234" s="2"/>
      <c r="J234" s="572"/>
      <c r="K234" s="2"/>
      <c r="L234" s="57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 x14ac:dyDescent="0.25">
      <c r="A235" s="2"/>
      <c r="B235" s="2"/>
      <c r="C235" s="2"/>
      <c r="D235" s="572"/>
      <c r="E235" s="2"/>
      <c r="F235" s="572"/>
      <c r="G235" s="2"/>
      <c r="H235" s="2"/>
      <c r="I235" s="2"/>
      <c r="J235" s="572"/>
      <c r="K235" s="2"/>
      <c r="L235" s="57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customHeight="1" x14ac:dyDescent="0.25">
      <c r="A236" s="2"/>
      <c r="B236" s="2"/>
      <c r="C236" s="2"/>
      <c r="D236" s="572"/>
      <c r="E236" s="2"/>
      <c r="F236" s="572"/>
      <c r="G236" s="2"/>
      <c r="H236" s="2"/>
      <c r="I236" s="2"/>
      <c r="J236" s="572"/>
      <c r="K236" s="2"/>
      <c r="L236" s="57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 x14ac:dyDescent="0.25">
      <c r="A237" s="2"/>
      <c r="B237" s="2"/>
      <c r="C237" s="2"/>
      <c r="D237" s="572"/>
      <c r="E237" s="2"/>
      <c r="F237" s="572"/>
      <c r="G237" s="2"/>
      <c r="H237" s="2"/>
      <c r="I237" s="2"/>
      <c r="J237" s="572"/>
      <c r="K237" s="2"/>
      <c r="L237" s="57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customHeight="1" x14ac:dyDescent="0.25">
      <c r="A238" s="2"/>
      <c r="B238" s="2"/>
      <c r="C238" s="2"/>
      <c r="D238" s="572"/>
      <c r="E238" s="2"/>
      <c r="F238" s="572"/>
      <c r="G238" s="2"/>
      <c r="H238" s="2"/>
      <c r="I238" s="2"/>
      <c r="J238" s="572"/>
      <c r="K238" s="2"/>
      <c r="L238" s="57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 x14ac:dyDescent="0.25">
      <c r="A239" s="2"/>
      <c r="B239" s="2"/>
      <c r="C239" s="2"/>
      <c r="D239" s="572"/>
      <c r="E239" s="2"/>
      <c r="F239" s="572"/>
      <c r="G239" s="2"/>
      <c r="H239" s="2"/>
      <c r="I239" s="2"/>
      <c r="J239" s="572"/>
      <c r="K239" s="2"/>
      <c r="L239" s="57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customHeight="1" x14ac:dyDescent="0.25">
      <c r="A240" s="2"/>
      <c r="B240" s="2"/>
      <c r="C240" s="2"/>
      <c r="D240" s="572"/>
      <c r="E240" s="2"/>
      <c r="F240" s="572"/>
      <c r="G240" s="2"/>
      <c r="H240" s="2"/>
      <c r="I240" s="2"/>
      <c r="J240" s="572"/>
      <c r="K240" s="2"/>
      <c r="L240" s="57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 x14ac:dyDescent="0.25">
      <c r="A241" s="2"/>
      <c r="B241" s="2"/>
      <c r="C241" s="2"/>
      <c r="D241" s="572"/>
      <c r="E241" s="2"/>
      <c r="F241" s="572"/>
      <c r="G241" s="2"/>
      <c r="H241" s="2"/>
      <c r="I241" s="2"/>
      <c r="J241" s="572"/>
      <c r="K241" s="2"/>
      <c r="L241" s="57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customHeight="1" x14ac:dyDescent="0.25">
      <c r="A242" s="2"/>
      <c r="B242" s="2"/>
      <c r="C242" s="2"/>
      <c r="D242" s="572"/>
      <c r="E242" s="2"/>
      <c r="F242" s="572"/>
      <c r="G242" s="2"/>
      <c r="H242" s="2"/>
      <c r="I242" s="2"/>
      <c r="J242" s="572"/>
      <c r="K242" s="2"/>
      <c r="L242" s="57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 x14ac:dyDescent="0.25">
      <c r="A243" s="2"/>
      <c r="B243" s="2"/>
      <c r="C243" s="2"/>
      <c r="D243" s="572"/>
      <c r="E243" s="2"/>
      <c r="F243" s="572"/>
      <c r="G243" s="2"/>
      <c r="H243" s="2"/>
      <c r="I243" s="2"/>
      <c r="J243" s="572"/>
      <c r="K243" s="2"/>
      <c r="L243" s="57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customHeight="1" x14ac:dyDescent="0.25">
      <c r="A244" s="2"/>
      <c r="B244" s="2"/>
      <c r="C244" s="2"/>
      <c r="D244" s="572"/>
      <c r="E244" s="2"/>
      <c r="F244" s="572"/>
      <c r="G244" s="2"/>
      <c r="H244" s="2"/>
      <c r="I244" s="2"/>
      <c r="J244" s="572"/>
      <c r="K244" s="2"/>
      <c r="L244" s="57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 x14ac:dyDescent="0.25">
      <c r="A245" s="2"/>
      <c r="B245" s="2"/>
      <c r="C245" s="2"/>
      <c r="D245" s="572"/>
      <c r="E245" s="2"/>
      <c r="F245" s="572"/>
      <c r="G245" s="2"/>
      <c r="H245" s="2"/>
      <c r="I245" s="2"/>
      <c r="J245" s="572"/>
      <c r="K245" s="2"/>
      <c r="L245" s="57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75" customHeight="1" x14ac:dyDescent="0.25">
      <c r="A246" s="2"/>
      <c r="B246" s="2"/>
      <c r="C246" s="2"/>
      <c r="D246" s="572"/>
      <c r="E246" s="2"/>
      <c r="F246" s="572"/>
      <c r="G246" s="2"/>
      <c r="H246" s="2"/>
      <c r="I246" s="2"/>
      <c r="J246" s="572"/>
      <c r="K246" s="2"/>
      <c r="L246" s="57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75" customHeight="1" x14ac:dyDescent="0.25">
      <c r="A247" s="2"/>
      <c r="B247" s="2"/>
      <c r="C247" s="2"/>
      <c r="D247" s="572"/>
      <c r="E247" s="2"/>
      <c r="F247" s="572"/>
      <c r="G247" s="2"/>
      <c r="H247" s="2"/>
      <c r="I247" s="2"/>
      <c r="J247" s="572"/>
      <c r="K247" s="2"/>
      <c r="L247" s="57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.75" customHeight="1" x14ac:dyDescent="0.25">
      <c r="A248" s="2"/>
      <c r="B248" s="2"/>
      <c r="C248" s="2"/>
      <c r="D248" s="572"/>
      <c r="E248" s="2"/>
      <c r="F248" s="572"/>
      <c r="G248" s="2"/>
      <c r="H248" s="2"/>
      <c r="I248" s="2"/>
      <c r="J248" s="572"/>
      <c r="K248" s="2"/>
      <c r="L248" s="57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75" customHeight="1" x14ac:dyDescent="0.25">
      <c r="A249" s="2"/>
      <c r="B249" s="2"/>
      <c r="C249" s="2"/>
      <c r="D249" s="572"/>
      <c r="E249" s="2"/>
      <c r="F249" s="572"/>
      <c r="G249" s="2"/>
      <c r="H249" s="2"/>
      <c r="I249" s="2"/>
      <c r="J249" s="572"/>
      <c r="K249" s="2"/>
      <c r="L249" s="57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.75" customHeight="1" x14ac:dyDescent="0.25">
      <c r="A250" s="2"/>
      <c r="B250" s="2"/>
      <c r="C250" s="2"/>
      <c r="D250" s="572"/>
      <c r="E250" s="2"/>
      <c r="F250" s="572"/>
      <c r="G250" s="2"/>
      <c r="H250" s="2"/>
      <c r="I250" s="2"/>
      <c r="J250" s="572"/>
      <c r="K250" s="2"/>
      <c r="L250" s="57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75" customHeight="1" x14ac:dyDescent="0.25">
      <c r="A251" s="2"/>
      <c r="B251" s="2"/>
      <c r="C251" s="2"/>
      <c r="D251" s="572"/>
      <c r="E251" s="2"/>
      <c r="F251" s="572"/>
      <c r="G251" s="2"/>
      <c r="H251" s="2"/>
      <c r="I251" s="2"/>
      <c r="J251" s="572"/>
      <c r="K251" s="2"/>
      <c r="L251" s="57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5.75" customHeight="1" x14ac:dyDescent="0.25">
      <c r="A252" s="2"/>
      <c r="B252" s="2"/>
      <c r="C252" s="2"/>
      <c r="D252" s="572"/>
      <c r="E252" s="2"/>
      <c r="F252" s="572"/>
      <c r="G252" s="2"/>
      <c r="H252" s="2"/>
      <c r="I252" s="2"/>
      <c r="J252" s="572"/>
      <c r="K252" s="2"/>
      <c r="L252" s="57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75" customHeight="1" x14ac:dyDescent="0.25">
      <c r="A253" s="2"/>
      <c r="B253" s="2"/>
      <c r="C253" s="2"/>
      <c r="D253" s="572"/>
      <c r="E253" s="2"/>
      <c r="F253" s="572"/>
      <c r="G253" s="2"/>
      <c r="H253" s="2"/>
      <c r="I253" s="2"/>
      <c r="J253" s="572"/>
      <c r="K253" s="2"/>
      <c r="L253" s="57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.75" customHeight="1" x14ac:dyDescent="0.25">
      <c r="A254" s="2"/>
      <c r="B254" s="2"/>
      <c r="C254" s="2"/>
      <c r="D254" s="572"/>
      <c r="E254" s="2"/>
      <c r="F254" s="572"/>
      <c r="G254" s="2"/>
      <c r="H254" s="2"/>
      <c r="I254" s="2"/>
      <c r="J254" s="572"/>
      <c r="K254" s="2"/>
      <c r="L254" s="57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75" customHeight="1" x14ac:dyDescent="0.25">
      <c r="A255" s="2"/>
      <c r="B255" s="2"/>
      <c r="C255" s="2"/>
      <c r="D255" s="572"/>
      <c r="E255" s="2"/>
      <c r="F255" s="572"/>
      <c r="G255" s="2"/>
      <c r="H255" s="2"/>
      <c r="I255" s="2"/>
      <c r="J255" s="572"/>
      <c r="K255" s="2"/>
      <c r="L255" s="57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75" customHeight="1" x14ac:dyDescent="0.25">
      <c r="A256" s="2"/>
      <c r="B256" s="2"/>
      <c r="C256" s="2"/>
      <c r="D256" s="572"/>
      <c r="E256" s="2"/>
      <c r="F256" s="572"/>
      <c r="G256" s="2"/>
      <c r="H256" s="2"/>
      <c r="I256" s="2"/>
      <c r="J256" s="572"/>
      <c r="K256" s="2"/>
      <c r="L256" s="57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customHeight="1" x14ac:dyDescent="0.25">
      <c r="A257" s="2"/>
      <c r="B257" s="2"/>
      <c r="C257" s="2"/>
      <c r="D257" s="572"/>
      <c r="E257" s="2"/>
      <c r="F257" s="572"/>
      <c r="G257" s="2"/>
      <c r="H257" s="2"/>
      <c r="I257" s="2"/>
      <c r="J257" s="572"/>
      <c r="K257" s="2"/>
      <c r="L257" s="57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75" customHeight="1" x14ac:dyDescent="0.25">
      <c r="A258" s="2"/>
      <c r="B258" s="2"/>
      <c r="C258" s="2"/>
      <c r="D258" s="572"/>
      <c r="E258" s="2"/>
      <c r="F258" s="572"/>
      <c r="G258" s="2"/>
      <c r="H258" s="2"/>
      <c r="I258" s="2"/>
      <c r="J258" s="572"/>
      <c r="K258" s="2"/>
      <c r="L258" s="57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customHeight="1" x14ac:dyDescent="0.25">
      <c r="A259" s="2"/>
      <c r="B259" s="2"/>
      <c r="C259" s="2"/>
      <c r="D259" s="572"/>
      <c r="E259" s="2"/>
      <c r="F259" s="572"/>
      <c r="G259" s="2"/>
      <c r="H259" s="2"/>
      <c r="I259" s="2"/>
      <c r="J259" s="572"/>
      <c r="K259" s="2"/>
      <c r="L259" s="57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75" customHeight="1" x14ac:dyDescent="0.25">
      <c r="A260" s="2"/>
      <c r="B260" s="2"/>
      <c r="C260" s="2"/>
      <c r="D260" s="572"/>
      <c r="E260" s="2"/>
      <c r="F260" s="572"/>
      <c r="G260" s="2"/>
      <c r="H260" s="2"/>
      <c r="I260" s="2"/>
      <c r="J260" s="572"/>
      <c r="K260" s="2"/>
      <c r="L260" s="57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customHeight="1" x14ac:dyDescent="0.25">
      <c r="A261" s="2"/>
      <c r="B261" s="2"/>
      <c r="C261" s="2"/>
      <c r="D261" s="572"/>
      <c r="E261" s="2"/>
      <c r="F261" s="572"/>
      <c r="G261" s="2"/>
      <c r="H261" s="2"/>
      <c r="I261" s="2"/>
      <c r="J261" s="572"/>
      <c r="K261" s="2"/>
      <c r="L261" s="57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75" customHeight="1" x14ac:dyDescent="0.25">
      <c r="A262" s="2"/>
      <c r="B262" s="2"/>
      <c r="C262" s="2"/>
      <c r="D262" s="572"/>
      <c r="E262" s="2"/>
      <c r="F262" s="572"/>
      <c r="G262" s="2"/>
      <c r="H262" s="2"/>
      <c r="I262" s="2"/>
      <c r="J262" s="572"/>
      <c r="K262" s="2"/>
      <c r="L262" s="57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customHeight="1" x14ac:dyDescent="0.25">
      <c r="A263" s="2"/>
      <c r="B263" s="2"/>
      <c r="C263" s="2"/>
      <c r="D263" s="572"/>
      <c r="E263" s="2"/>
      <c r="F263" s="572"/>
      <c r="G263" s="2"/>
      <c r="H263" s="2"/>
      <c r="I263" s="2"/>
      <c r="J263" s="572"/>
      <c r="K263" s="2"/>
      <c r="L263" s="57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75" customHeight="1" x14ac:dyDescent="0.25">
      <c r="A264" s="2"/>
      <c r="B264" s="2"/>
      <c r="C264" s="2"/>
      <c r="D264" s="572"/>
      <c r="E264" s="2"/>
      <c r="F264" s="572"/>
      <c r="G264" s="2"/>
      <c r="H264" s="2"/>
      <c r="I264" s="2"/>
      <c r="J264" s="572"/>
      <c r="K264" s="2"/>
      <c r="L264" s="57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customHeight="1" x14ac:dyDescent="0.25">
      <c r="A265" s="2"/>
      <c r="B265" s="2"/>
      <c r="C265" s="2"/>
      <c r="D265" s="572"/>
      <c r="E265" s="2"/>
      <c r="F265" s="572"/>
      <c r="G265" s="2"/>
      <c r="H265" s="2"/>
      <c r="I265" s="2"/>
      <c r="J265" s="572"/>
      <c r="K265" s="2"/>
      <c r="L265" s="57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75" customHeight="1" x14ac:dyDescent="0.25">
      <c r="A266" s="2"/>
      <c r="B266" s="2"/>
      <c r="C266" s="2"/>
      <c r="D266" s="572"/>
      <c r="E266" s="2"/>
      <c r="F266" s="572"/>
      <c r="G266" s="2"/>
      <c r="H266" s="2"/>
      <c r="I266" s="2"/>
      <c r="J266" s="572"/>
      <c r="K266" s="2"/>
      <c r="L266" s="57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customHeight="1" x14ac:dyDescent="0.25">
      <c r="A267" s="2"/>
      <c r="B267" s="2"/>
      <c r="C267" s="2"/>
      <c r="D267" s="572"/>
      <c r="E267" s="2"/>
      <c r="F267" s="572"/>
      <c r="G267" s="2"/>
      <c r="H267" s="2"/>
      <c r="I267" s="2"/>
      <c r="J267" s="572"/>
      <c r="K267" s="2"/>
      <c r="L267" s="57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75" customHeight="1" x14ac:dyDescent="0.25">
      <c r="A268" s="2"/>
      <c r="B268" s="2"/>
      <c r="C268" s="2"/>
      <c r="D268" s="572"/>
      <c r="E268" s="2"/>
      <c r="F268" s="572"/>
      <c r="G268" s="2"/>
      <c r="H268" s="2"/>
      <c r="I268" s="2"/>
      <c r="J268" s="572"/>
      <c r="K268" s="2"/>
      <c r="L268" s="57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customHeight="1" x14ac:dyDescent="0.25">
      <c r="A269" s="2"/>
      <c r="B269" s="2"/>
      <c r="C269" s="2"/>
      <c r="D269" s="572"/>
      <c r="E269" s="2"/>
      <c r="F269" s="572"/>
      <c r="G269" s="2"/>
      <c r="H269" s="2"/>
      <c r="I269" s="2"/>
      <c r="J269" s="572"/>
      <c r="K269" s="2"/>
      <c r="L269" s="57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75" customHeight="1" x14ac:dyDescent="0.25">
      <c r="A270" s="2"/>
      <c r="B270" s="2"/>
      <c r="C270" s="2"/>
      <c r="D270" s="572"/>
      <c r="E270" s="2"/>
      <c r="F270" s="572"/>
      <c r="G270" s="2"/>
      <c r="H270" s="2"/>
      <c r="I270" s="2"/>
      <c r="J270" s="572"/>
      <c r="K270" s="2"/>
      <c r="L270" s="57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customHeight="1" x14ac:dyDescent="0.25">
      <c r="A271" s="2"/>
      <c r="B271" s="2"/>
      <c r="C271" s="2"/>
      <c r="D271" s="572"/>
      <c r="E271" s="2"/>
      <c r="F271" s="572"/>
      <c r="G271" s="2"/>
      <c r="H271" s="2"/>
      <c r="I271" s="2"/>
      <c r="J271" s="572"/>
      <c r="K271" s="2"/>
      <c r="L271" s="57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75" customHeight="1" x14ac:dyDescent="0.25">
      <c r="A272" s="2"/>
      <c r="B272" s="2"/>
      <c r="C272" s="2"/>
      <c r="D272" s="572"/>
      <c r="E272" s="2"/>
      <c r="F272" s="572"/>
      <c r="G272" s="2"/>
      <c r="H272" s="2"/>
      <c r="I272" s="2"/>
      <c r="J272" s="572"/>
      <c r="K272" s="2"/>
      <c r="L272" s="57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customHeight="1" x14ac:dyDescent="0.25">
      <c r="A273" s="2"/>
      <c r="B273" s="2"/>
      <c r="C273" s="2"/>
      <c r="D273" s="572"/>
      <c r="E273" s="2"/>
      <c r="F273" s="572"/>
      <c r="G273" s="2"/>
      <c r="H273" s="2"/>
      <c r="I273" s="2"/>
      <c r="J273" s="572"/>
      <c r="K273" s="2"/>
      <c r="L273" s="57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75" customHeight="1" x14ac:dyDescent="0.25">
      <c r="A274" s="2"/>
      <c r="B274" s="2"/>
      <c r="C274" s="2"/>
      <c r="D274" s="572"/>
      <c r="E274" s="2"/>
      <c r="F274" s="572"/>
      <c r="G274" s="2"/>
      <c r="H274" s="2"/>
      <c r="I274" s="2"/>
      <c r="J274" s="572"/>
      <c r="K274" s="2"/>
      <c r="L274" s="57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customHeight="1" x14ac:dyDescent="0.25">
      <c r="A275" s="2"/>
      <c r="B275" s="2"/>
      <c r="C275" s="2"/>
      <c r="D275" s="572"/>
      <c r="E275" s="2"/>
      <c r="F275" s="572"/>
      <c r="G275" s="2"/>
      <c r="H275" s="2"/>
      <c r="I275" s="2"/>
      <c r="J275" s="572"/>
      <c r="K275" s="2"/>
      <c r="L275" s="57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75" customHeight="1" x14ac:dyDescent="0.25">
      <c r="A276" s="2"/>
      <c r="B276" s="2"/>
      <c r="C276" s="2"/>
      <c r="D276" s="572"/>
      <c r="E276" s="2"/>
      <c r="F276" s="572"/>
      <c r="G276" s="2"/>
      <c r="H276" s="2"/>
      <c r="I276" s="2"/>
      <c r="J276" s="572"/>
      <c r="K276" s="2"/>
      <c r="L276" s="57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customHeight="1" x14ac:dyDescent="0.25">
      <c r="A277" s="2"/>
      <c r="B277" s="2"/>
      <c r="C277" s="2"/>
      <c r="D277" s="572"/>
      <c r="E277" s="2"/>
      <c r="F277" s="572"/>
      <c r="G277" s="2"/>
      <c r="H277" s="2"/>
      <c r="I277" s="2"/>
      <c r="J277" s="572"/>
      <c r="K277" s="2"/>
      <c r="L277" s="57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75" customHeight="1" x14ac:dyDescent="0.25">
      <c r="A278" s="2"/>
      <c r="B278" s="2"/>
      <c r="C278" s="2"/>
      <c r="D278" s="572"/>
      <c r="E278" s="2"/>
      <c r="F278" s="572"/>
      <c r="G278" s="2"/>
      <c r="H278" s="2"/>
      <c r="I278" s="2"/>
      <c r="J278" s="572"/>
      <c r="K278" s="2"/>
      <c r="L278" s="57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customHeight="1" x14ac:dyDescent="0.25">
      <c r="A279" s="2"/>
      <c r="B279" s="2"/>
      <c r="C279" s="2"/>
      <c r="D279" s="572"/>
      <c r="E279" s="2"/>
      <c r="F279" s="572"/>
      <c r="G279" s="2"/>
      <c r="H279" s="2"/>
      <c r="I279" s="2"/>
      <c r="J279" s="572"/>
      <c r="K279" s="2"/>
      <c r="L279" s="57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75" customHeight="1" x14ac:dyDescent="0.25">
      <c r="A280" s="2"/>
      <c r="B280" s="2"/>
      <c r="C280" s="2"/>
      <c r="D280" s="572"/>
      <c r="E280" s="2"/>
      <c r="F280" s="572"/>
      <c r="G280" s="2"/>
      <c r="H280" s="2"/>
      <c r="I280" s="2"/>
      <c r="J280" s="572"/>
      <c r="K280" s="2"/>
      <c r="L280" s="57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customHeight="1" x14ac:dyDescent="0.25">
      <c r="A281" s="2"/>
      <c r="B281" s="2"/>
      <c r="C281" s="2"/>
      <c r="D281" s="572"/>
      <c r="E281" s="2"/>
      <c r="F281" s="572"/>
      <c r="G281" s="2"/>
      <c r="H281" s="2"/>
      <c r="I281" s="2"/>
      <c r="J281" s="572"/>
      <c r="K281" s="2"/>
      <c r="L281" s="57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75" customHeight="1" x14ac:dyDescent="0.25">
      <c r="A282" s="2"/>
      <c r="B282" s="2"/>
      <c r="C282" s="2"/>
      <c r="D282" s="572"/>
      <c r="E282" s="2"/>
      <c r="F282" s="572"/>
      <c r="G282" s="2"/>
      <c r="H282" s="2"/>
      <c r="I282" s="2"/>
      <c r="J282" s="572"/>
      <c r="K282" s="2"/>
      <c r="L282" s="57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customHeight="1" x14ac:dyDescent="0.25">
      <c r="A283" s="2"/>
      <c r="B283" s="2"/>
      <c r="C283" s="2"/>
      <c r="D283" s="572"/>
      <c r="E283" s="2"/>
      <c r="F283" s="572"/>
      <c r="G283" s="2"/>
      <c r="H283" s="2"/>
      <c r="I283" s="2"/>
      <c r="J283" s="572"/>
      <c r="K283" s="2"/>
      <c r="L283" s="57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75" customHeight="1" x14ac:dyDescent="0.25">
      <c r="A284" s="2"/>
      <c r="B284" s="2"/>
      <c r="C284" s="2"/>
      <c r="D284" s="572"/>
      <c r="E284" s="2"/>
      <c r="F284" s="572"/>
      <c r="G284" s="2"/>
      <c r="H284" s="2"/>
      <c r="I284" s="2"/>
      <c r="J284" s="572"/>
      <c r="K284" s="2"/>
      <c r="L284" s="57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customHeight="1" x14ac:dyDescent="0.25">
      <c r="A285" s="2"/>
      <c r="B285" s="2"/>
      <c r="C285" s="2"/>
      <c r="D285" s="572"/>
      <c r="E285" s="2"/>
      <c r="F285" s="572"/>
      <c r="G285" s="2"/>
      <c r="H285" s="2"/>
      <c r="I285" s="2"/>
      <c r="J285" s="572"/>
      <c r="K285" s="2"/>
      <c r="L285" s="57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75" customHeight="1" x14ac:dyDescent="0.25">
      <c r="A286" s="2"/>
      <c r="B286" s="2"/>
      <c r="C286" s="2"/>
      <c r="D286" s="572"/>
      <c r="E286" s="2"/>
      <c r="F286" s="572"/>
      <c r="G286" s="2"/>
      <c r="H286" s="2"/>
      <c r="I286" s="2"/>
      <c r="J286" s="572"/>
      <c r="K286" s="2"/>
      <c r="L286" s="57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customHeight="1" x14ac:dyDescent="0.25">
      <c r="A287" s="2"/>
      <c r="B287" s="2"/>
      <c r="C287" s="2"/>
      <c r="D287" s="572"/>
      <c r="E287" s="2"/>
      <c r="F287" s="572"/>
      <c r="G287" s="2"/>
      <c r="H287" s="2"/>
      <c r="I287" s="2"/>
      <c r="J287" s="572"/>
      <c r="K287" s="2"/>
      <c r="L287" s="57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75" customHeight="1" x14ac:dyDescent="0.25">
      <c r="A288" s="2"/>
      <c r="B288" s="2"/>
      <c r="C288" s="2"/>
      <c r="D288" s="572"/>
      <c r="E288" s="2"/>
      <c r="F288" s="572"/>
      <c r="G288" s="2"/>
      <c r="H288" s="2"/>
      <c r="I288" s="2"/>
      <c r="J288" s="572"/>
      <c r="K288" s="2"/>
      <c r="L288" s="57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customHeight="1" x14ac:dyDescent="0.25">
      <c r="A289" s="2"/>
      <c r="B289" s="2"/>
      <c r="C289" s="2"/>
      <c r="D289" s="572"/>
      <c r="E289" s="2"/>
      <c r="F289" s="572"/>
      <c r="G289" s="2"/>
      <c r="H289" s="2"/>
      <c r="I289" s="2"/>
      <c r="J289" s="572"/>
      <c r="K289" s="2"/>
      <c r="L289" s="57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75" customHeight="1" x14ac:dyDescent="0.25">
      <c r="A290" s="2"/>
      <c r="B290" s="2"/>
      <c r="C290" s="2"/>
      <c r="D290" s="572"/>
      <c r="E290" s="2"/>
      <c r="F290" s="572"/>
      <c r="G290" s="2"/>
      <c r="H290" s="2"/>
      <c r="I290" s="2"/>
      <c r="J290" s="572"/>
      <c r="K290" s="2"/>
      <c r="L290" s="57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customHeight="1" x14ac:dyDescent="0.25">
      <c r="A291" s="2"/>
      <c r="B291" s="2"/>
      <c r="C291" s="2"/>
      <c r="D291" s="572"/>
      <c r="E291" s="2"/>
      <c r="F291" s="572"/>
      <c r="G291" s="2"/>
      <c r="H291" s="2"/>
      <c r="I291" s="2"/>
      <c r="J291" s="572"/>
      <c r="K291" s="2"/>
      <c r="L291" s="57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75" customHeight="1" x14ac:dyDescent="0.25">
      <c r="A292" s="2"/>
      <c r="B292" s="2"/>
      <c r="C292" s="2"/>
      <c r="D292" s="572"/>
      <c r="E292" s="2"/>
      <c r="F292" s="572"/>
      <c r="G292" s="2"/>
      <c r="H292" s="2"/>
      <c r="I292" s="2"/>
      <c r="J292" s="572"/>
      <c r="K292" s="2"/>
      <c r="L292" s="57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customHeight="1" x14ac:dyDescent="0.25">
      <c r="A293" s="2"/>
      <c r="B293" s="2"/>
      <c r="C293" s="2"/>
      <c r="D293" s="572"/>
      <c r="E293" s="2"/>
      <c r="F293" s="572"/>
      <c r="G293" s="2"/>
      <c r="H293" s="2"/>
      <c r="I293" s="2"/>
      <c r="J293" s="572"/>
      <c r="K293" s="2"/>
      <c r="L293" s="57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75" customHeight="1" x14ac:dyDescent="0.25">
      <c r="A294" s="2"/>
      <c r="B294" s="2"/>
      <c r="C294" s="2"/>
      <c r="D294" s="572"/>
      <c r="E294" s="2"/>
      <c r="F294" s="572"/>
      <c r="G294" s="2"/>
      <c r="H294" s="2"/>
      <c r="I294" s="2"/>
      <c r="J294" s="572"/>
      <c r="K294" s="2"/>
      <c r="L294" s="57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customHeight="1" x14ac:dyDescent="0.25">
      <c r="A295" s="2"/>
      <c r="B295" s="2"/>
      <c r="C295" s="2"/>
      <c r="D295" s="572"/>
      <c r="E295" s="2"/>
      <c r="F295" s="572"/>
      <c r="G295" s="2"/>
      <c r="H295" s="2"/>
      <c r="I295" s="2"/>
      <c r="J295" s="572"/>
      <c r="K295" s="2"/>
      <c r="L295" s="57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75" customHeight="1" x14ac:dyDescent="0.25">
      <c r="A296" s="2"/>
      <c r="B296" s="2"/>
      <c r="C296" s="2"/>
      <c r="D296" s="572"/>
      <c r="E296" s="2"/>
      <c r="F296" s="572"/>
      <c r="G296" s="2"/>
      <c r="H296" s="2"/>
      <c r="I296" s="2"/>
      <c r="J296" s="572"/>
      <c r="K296" s="2"/>
      <c r="L296" s="57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customHeight="1" x14ac:dyDescent="0.25">
      <c r="A297" s="2"/>
      <c r="B297" s="2"/>
      <c r="C297" s="2"/>
      <c r="D297" s="572"/>
      <c r="E297" s="2"/>
      <c r="F297" s="572"/>
      <c r="G297" s="2"/>
      <c r="H297" s="2"/>
      <c r="I297" s="2"/>
      <c r="J297" s="572"/>
      <c r="K297" s="2"/>
      <c r="L297" s="57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75" customHeight="1" x14ac:dyDescent="0.25">
      <c r="A298" s="2"/>
      <c r="B298" s="2"/>
      <c r="C298" s="2"/>
      <c r="D298" s="572"/>
      <c r="E298" s="2"/>
      <c r="F298" s="572"/>
      <c r="G298" s="2"/>
      <c r="H298" s="2"/>
      <c r="I298" s="2"/>
      <c r="J298" s="572"/>
      <c r="K298" s="2"/>
      <c r="L298" s="57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customHeight="1" x14ac:dyDescent="0.25">
      <c r="A299" s="2"/>
      <c r="B299" s="2"/>
      <c r="C299" s="2"/>
      <c r="D299" s="572"/>
      <c r="E299" s="2"/>
      <c r="F299" s="572"/>
      <c r="G299" s="2"/>
      <c r="H299" s="2"/>
      <c r="I299" s="2"/>
      <c r="J299" s="572"/>
      <c r="K299" s="2"/>
      <c r="L299" s="57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75" customHeight="1" x14ac:dyDescent="0.25">
      <c r="A300" s="2"/>
      <c r="B300" s="2"/>
      <c r="C300" s="2"/>
      <c r="D300" s="572"/>
      <c r="E300" s="2"/>
      <c r="F300" s="572"/>
      <c r="G300" s="2"/>
      <c r="H300" s="2"/>
      <c r="I300" s="2"/>
      <c r="J300" s="572"/>
      <c r="K300" s="2"/>
      <c r="L300" s="57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customHeight="1" x14ac:dyDescent="0.25">
      <c r="A301" s="2"/>
      <c r="B301" s="2"/>
      <c r="C301" s="2"/>
      <c r="D301" s="572"/>
      <c r="E301" s="2"/>
      <c r="F301" s="572"/>
      <c r="G301" s="2"/>
      <c r="H301" s="2"/>
      <c r="I301" s="2"/>
      <c r="J301" s="572"/>
      <c r="K301" s="2"/>
      <c r="L301" s="57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75" customHeight="1" x14ac:dyDescent="0.25">
      <c r="A302" s="2"/>
      <c r="B302" s="2"/>
      <c r="C302" s="2"/>
      <c r="D302" s="572"/>
      <c r="E302" s="2"/>
      <c r="F302" s="572"/>
      <c r="G302" s="2"/>
      <c r="H302" s="2"/>
      <c r="I302" s="2"/>
      <c r="J302" s="572"/>
      <c r="K302" s="2"/>
      <c r="L302" s="57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customHeight="1" x14ac:dyDescent="0.25">
      <c r="A303" s="2"/>
      <c r="B303" s="2"/>
      <c r="C303" s="2"/>
      <c r="D303" s="572"/>
      <c r="E303" s="2"/>
      <c r="F303" s="572"/>
      <c r="G303" s="2"/>
      <c r="H303" s="2"/>
      <c r="I303" s="2"/>
      <c r="J303" s="572"/>
      <c r="K303" s="2"/>
      <c r="L303" s="57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75" customHeight="1" x14ac:dyDescent="0.25">
      <c r="A304" s="2"/>
      <c r="B304" s="2"/>
      <c r="C304" s="2"/>
      <c r="D304" s="572"/>
      <c r="E304" s="2"/>
      <c r="F304" s="572"/>
      <c r="G304" s="2"/>
      <c r="H304" s="2"/>
      <c r="I304" s="2"/>
      <c r="J304" s="572"/>
      <c r="K304" s="2"/>
      <c r="L304" s="57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customHeight="1" x14ac:dyDescent="0.25">
      <c r="A305" s="2"/>
      <c r="B305" s="2"/>
      <c r="C305" s="2"/>
      <c r="D305" s="572"/>
      <c r="E305" s="2"/>
      <c r="F305" s="572"/>
      <c r="G305" s="2"/>
      <c r="H305" s="2"/>
      <c r="I305" s="2"/>
      <c r="J305" s="572"/>
      <c r="K305" s="2"/>
      <c r="L305" s="57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75" customHeight="1" x14ac:dyDescent="0.25">
      <c r="A306" s="2"/>
      <c r="B306" s="2"/>
      <c r="C306" s="2"/>
      <c r="D306" s="572"/>
      <c r="E306" s="2"/>
      <c r="F306" s="572"/>
      <c r="G306" s="2"/>
      <c r="H306" s="2"/>
      <c r="I306" s="2"/>
      <c r="J306" s="572"/>
      <c r="K306" s="2"/>
      <c r="L306" s="57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customHeight="1" x14ac:dyDescent="0.25">
      <c r="A307" s="2"/>
      <c r="B307" s="2"/>
      <c r="C307" s="2"/>
      <c r="D307" s="572"/>
      <c r="E307" s="2"/>
      <c r="F307" s="572"/>
      <c r="G307" s="2"/>
      <c r="H307" s="2"/>
      <c r="I307" s="2"/>
      <c r="J307" s="572"/>
      <c r="K307" s="2"/>
      <c r="L307" s="57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75" customHeight="1" x14ac:dyDescent="0.25">
      <c r="A308" s="2"/>
      <c r="B308" s="2"/>
      <c r="C308" s="2"/>
      <c r="D308" s="572"/>
      <c r="E308" s="2"/>
      <c r="F308" s="572"/>
      <c r="G308" s="2"/>
      <c r="H308" s="2"/>
      <c r="I308" s="2"/>
      <c r="J308" s="572"/>
      <c r="K308" s="2"/>
      <c r="L308" s="57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customHeight="1" x14ac:dyDescent="0.25">
      <c r="A309" s="2"/>
      <c r="B309" s="2"/>
      <c r="C309" s="2"/>
      <c r="D309" s="572"/>
      <c r="E309" s="2"/>
      <c r="F309" s="572"/>
      <c r="G309" s="2"/>
      <c r="H309" s="2"/>
      <c r="I309" s="2"/>
      <c r="J309" s="572"/>
      <c r="K309" s="2"/>
      <c r="L309" s="57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75" customHeight="1" x14ac:dyDescent="0.25">
      <c r="A310" s="2"/>
      <c r="B310" s="2"/>
      <c r="C310" s="2"/>
      <c r="D310" s="572"/>
      <c r="E310" s="2"/>
      <c r="F310" s="572"/>
      <c r="G310" s="2"/>
      <c r="H310" s="2"/>
      <c r="I310" s="2"/>
      <c r="J310" s="572"/>
      <c r="K310" s="2"/>
      <c r="L310" s="57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customHeight="1" x14ac:dyDescent="0.25">
      <c r="A311" s="2"/>
      <c r="B311" s="2"/>
      <c r="C311" s="2"/>
      <c r="D311" s="572"/>
      <c r="E311" s="2"/>
      <c r="F311" s="572"/>
      <c r="G311" s="2"/>
      <c r="H311" s="2"/>
      <c r="I311" s="2"/>
      <c r="J311" s="572"/>
      <c r="K311" s="2"/>
      <c r="L311" s="57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75" customHeight="1" x14ac:dyDescent="0.25">
      <c r="A312" s="2"/>
      <c r="B312" s="2"/>
      <c r="C312" s="2"/>
      <c r="D312" s="572"/>
      <c r="E312" s="2"/>
      <c r="F312" s="572"/>
      <c r="G312" s="2"/>
      <c r="H312" s="2"/>
      <c r="I312" s="2"/>
      <c r="J312" s="572"/>
      <c r="K312" s="2"/>
      <c r="L312" s="57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customHeight="1" x14ac:dyDescent="0.25">
      <c r="A313" s="2"/>
      <c r="B313" s="2"/>
      <c r="C313" s="2"/>
      <c r="D313" s="572"/>
      <c r="E313" s="2"/>
      <c r="F313" s="572"/>
      <c r="G313" s="2"/>
      <c r="H313" s="2"/>
      <c r="I313" s="2"/>
      <c r="J313" s="572"/>
      <c r="K313" s="2"/>
      <c r="L313" s="57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75" customHeight="1" x14ac:dyDescent="0.25">
      <c r="A314" s="2"/>
      <c r="B314" s="2"/>
      <c r="C314" s="2"/>
      <c r="D314" s="572"/>
      <c r="E314" s="2"/>
      <c r="F314" s="572"/>
      <c r="G314" s="2"/>
      <c r="H314" s="2"/>
      <c r="I314" s="2"/>
      <c r="J314" s="572"/>
      <c r="K314" s="2"/>
      <c r="L314" s="57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customHeight="1" x14ac:dyDescent="0.25">
      <c r="A315" s="2"/>
      <c r="B315" s="2"/>
      <c r="C315" s="2"/>
      <c r="D315" s="572"/>
      <c r="E315" s="2"/>
      <c r="F315" s="572"/>
      <c r="G315" s="2"/>
      <c r="H315" s="2"/>
      <c r="I315" s="2"/>
      <c r="J315" s="572"/>
      <c r="K315" s="2"/>
      <c r="L315" s="57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75" customHeight="1" x14ac:dyDescent="0.25">
      <c r="A316" s="2"/>
      <c r="B316" s="2"/>
      <c r="C316" s="2"/>
      <c r="D316" s="572"/>
      <c r="E316" s="2"/>
      <c r="F316" s="572"/>
      <c r="G316" s="2"/>
      <c r="H316" s="2"/>
      <c r="I316" s="2"/>
      <c r="J316" s="572"/>
      <c r="K316" s="2"/>
      <c r="L316" s="57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customHeight="1" x14ac:dyDescent="0.25">
      <c r="A317" s="2"/>
      <c r="B317" s="2"/>
      <c r="C317" s="2"/>
      <c r="D317" s="572"/>
      <c r="E317" s="2"/>
      <c r="F317" s="572"/>
      <c r="G317" s="2"/>
      <c r="H317" s="2"/>
      <c r="I317" s="2"/>
      <c r="J317" s="572"/>
      <c r="K317" s="2"/>
      <c r="L317" s="57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75" customHeight="1" x14ac:dyDescent="0.25">
      <c r="A318" s="2"/>
      <c r="B318" s="2"/>
      <c r="C318" s="2"/>
      <c r="D318" s="572"/>
      <c r="E318" s="2"/>
      <c r="F318" s="572"/>
      <c r="G318" s="2"/>
      <c r="H318" s="2"/>
      <c r="I318" s="2"/>
      <c r="J318" s="572"/>
      <c r="K318" s="2"/>
      <c r="L318" s="57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customHeight="1" x14ac:dyDescent="0.25">
      <c r="A319" s="2"/>
      <c r="B319" s="2"/>
      <c r="C319" s="2"/>
      <c r="D319" s="572"/>
      <c r="E319" s="2"/>
      <c r="F319" s="572"/>
      <c r="G319" s="2"/>
      <c r="H319" s="2"/>
      <c r="I319" s="2"/>
      <c r="J319" s="572"/>
      <c r="K319" s="2"/>
      <c r="L319" s="57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75" customHeight="1" x14ac:dyDescent="0.25">
      <c r="A320" s="2"/>
      <c r="B320" s="2"/>
      <c r="C320" s="2"/>
      <c r="D320" s="572"/>
      <c r="E320" s="2"/>
      <c r="F320" s="572"/>
      <c r="G320" s="2"/>
      <c r="H320" s="2"/>
      <c r="I320" s="2"/>
      <c r="J320" s="572"/>
      <c r="K320" s="2"/>
      <c r="L320" s="57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customHeight="1" x14ac:dyDescent="0.25">
      <c r="A321" s="2"/>
      <c r="B321" s="2"/>
      <c r="C321" s="2"/>
      <c r="D321" s="572"/>
      <c r="E321" s="2"/>
      <c r="F321" s="572"/>
      <c r="G321" s="2"/>
      <c r="H321" s="2"/>
      <c r="I321" s="2"/>
      <c r="J321" s="572"/>
      <c r="K321" s="2"/>
      <c r="L321" s="57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75" customHeight="1" x14ac:dyDescent="0.25">
      <c r="A322" s="2"/>
      <c r="B322" s="2"/>
      <c r="C322" s="2"/>
      <c r="D322" s="572"/>
      <c r="E322" s="2"/>
      <c r="F322" s="572"/>
      <c r="G322" s="2"/>
      <c r="H322" s="2"/>
      <c r="I322" s="2"/>
      <c r="J322" s="572"/>
      <c r="K322" s="2"/>
      <c r="L322" s="57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customHeight="1" x14ac:dyDescent="0.25">
      <c r="A323" s="2"/>
      <c r="B323" s="2"/>
      <c r="C323" s="2"/>
      <c r="D323" s="572"/>
      <c r="E323" s="2"/>
      <c r="F323" s="572"/>
      <c r="G323" s="2"/>
      <c r="H323" s="2"/>
      <c r="I323" s="2"/>
      <c r="J323" s="572"/>
      <c r="K323" s="2"/>
      <c r="L323" s="57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75" customHeight="1" x14ac:dyDescent="0.25">
      <c r="A324" s="2"/>
      <c r="B324" s="2"/>
      <c r="C324" s="2"/>
      <c r="D324" s="572"/>
      <c r="E324" s="2"/>
      <c r="F324" s="572"/>
      <c r="G324" s="2"/>
      <c r="H324" s="2"/>
      <c r="I324" s="2"/>
      <c r="J324" s="572"/>
      <c r="K324" s="2"/>
      <c r="L324" s="57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customHeight="1" x14ac:dyDescent="0.25">
      <c r="A325" s="2"/>
      <c r="B325" s="2"/>
      <c r="C325" s="2"/>
      <c r="D325" s="572"/>
      <c r="E325" s="2"/>
      <c r="F325" s="572"/>
      <c r="G325" s="2"/>
      <c r="H325" s="2"/>
      <c r="I325" s="2"/>
      <c r="J325" s="572"/>
      <c r="K325" s="2"/>
      <c r="L325" s="57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75" customHeight="1" x14ac:dyDescent="0.25">
      <c r="A326" s="2"/>
      <c r="B326" s="2"/>
      <c r="C326" s="2"/>
      <c r="D326" s="572"/>
      <c r="E326" s="2"/>
      <c r="F326" s="572"/>
      <c r="G326" s="2"/>
      <c r="H326" s="2"/>
      <c r="I326" s="2"/>
      <c r="J326" s="572"/>
      <c r="K326" s="2"/>
      <c r="L326" s="57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customHeight="1" x14ac:dyDescent="0.25">
      <c r="A327" s="2"/>
      <c r="B327" s="2"/>
      <c r="C327" s="2"/>
      <c r="D327" s="572"/>
      <c r="E327" s="2"/>
      <c r="F327" s="572"/>
      <c r="G327" s="2"/>
      <c r="H327" s="2"/>
      <c r="I327" s="2"/>
      <c r="J327" s="572"/>
      <c r="K327" s="2"/>
      <c r="L327" s="57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75" customHeight="1" x14ac:dyDescent="0.25">
      <c r="A328" s="2"/>
      <c r="B328" s="2"/>
      <c r="C328" s="2"/>
      <c r="D328" s="572"/>
      <c r="E328" s="2"/>
      <c r="F328" s="572"/>
      <c r="G328" s="2"/>
      <c r="H328" s="2"/>
      <c r="I328" s="2"/>
      <c r="J328" s="572"/>
      <c r="K328" s="2"/>
      <c r="L328" s="57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customHeight="1" x14ac:dyDescent="0.25">
      <c r="A329" s="2"/>
      <c r="B329" s="2"/>
      <c r="C329" s="2"/>
      <c r="D329" s="572"/>
      <c r="E329" s="2"/>
      <c r="F329" s="572"/>
      <c r="G329" s="2"/>
      <c r="H329" s="2"/>
      <c r="I329" s="2"/>
      <c r="J329" s="572"/>
      <c r="K329" s="2"/>
      <c r="L329" s="57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75" customHeight="1" x14ac:dyDescent="0.25">
      <c r="A330" s="2"/>
      <c r="B330" s="2"/>
      <c r="C330" s="2"/>
      <c r="D330" s="572"/>
      <c r="E330" s="2"/>
      <c r="F330" s="572"/>
      <c r="G330" s="2"/>
      <c r="H330" s="2"/>
      <c r="I330" s="2"/>
      <c r="J330" s="572"/>
      <c r="K330" s="2"/>
      <c r="L330" s="57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customHeight="1" x14ac:dyDescent="0.25">
      <c r="A331" s="2"/>
      <c r="B331" s="2"/>
      <c r="C331" s="2"/>
      <c r="D331" s="572"/>
      <c r="E331" s="2"/>
      <c r="F331" s="572"/>
      <c r="G331" s="2"/>
      <c r="H331" s="2"/>
      <c r="I331" s="2"/>
      <c r="J331" s="572"/>
      <c r="K331" s="2"/>
      <c r="L331" s="57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75" customHeight="1" x14ac:dyDescent="0.25">
      <c r="A332" s="2"/>
      <c r="B332" s="2"/>
      <c r="C332" s="2"/>
      <c r="D332" s="572"/>
      <c r="E332" s="2"/>
      <c r="F332" s="572"/>
      <c r="G332" s="2"/>
      <c r="H332" s="2"/>
      <c r="I332" s="2"/>
      <c r="J332" s="572"/>
      <c r="K332" s="2"/>
      <c r="L332" s="57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customHeight="1" x14ac:dyDescent="0.25">
      <c r="A333" s="2"/>
      <c r="B333" s="2"/>
      <c r="C333" s="2"/>
      <c r="D333" s="572"/>
      <c r="E333" s="2"/>
      <c r="F333" s="572"/>
      <c r="G333" s="2"/>
      <c r="H333" s="2"/>
      <c r="I333" s="2"/>
      <c r="J333" s="572"/>
      <c r="K333" s="2"/>
      <c r="L333" s="57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75" customHeight="1" x14ac:dyDescent="0.25">
      <c r="A334" s="2"/>
      <c r="B334" s="2"/>
      <c r="C334" s="2"/>
      <c r="D334" s="572"/>
      <c r="E334" s="2"/>
      <c r="F334" s="572"/>
      <c r="G334" s="2"/>
      <c r="H334" s="2"/>
      <c r="I334" s="2"/>
      <c r="J334" s="572"/>
      <c r="K334" s="2"/>
      <c r="L334" s="57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customHeight="1" x14ac:dyDescent="0.25">
      <c r="A335" s="2"/>
      <c r="B335" s="2"/>
      <c r="C335" s="2"/>
      <c r="D335" s="572"/>
      <c r="E335" s="2"/>
      <c r="F335" s="572"/>
      <c r="G335" s="2"/>
      <c r="H335" s="2"/>
      <c r="I335" s="2"/>
      <c r="J335" s="572"/>
      <c r="K335" s="2"/>
      <c r="L335" s="57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75" customHeight="1" x14ac:dyDescent="0.2">
      <c r="F336" s="114"/>
      <c r="L336" s="114"/>
    </row>
    <row r="337" spans="6:12" ht="15.75" customHeight="1" x14ac:dyDescent="0.2">
      <c r="F337" s="114"/>
      <c r="L337" s="114"/>
    </row>
    <row r="338" spans="6:12" ht="15.75" customHeight="1" x14ac:dyDescent="0.2">
      <c r="F338" s="114"/>
      <c r="L338" s="114"/>
    </row>
    <row r="339" spans="6:12" ht="15.75" customHeight="1" x14ac:dyDescent="0.2">
      <c r="F339" s="114"/>
      <c r="L339" s="114"/>
    </row>
    <row r="340" spans="6:12" ht="15.75" customHeight="1" x14ac:dyDescent="0.2">
      <c r="F340" s="114"/>
      <c r="L340" s="114"/>
    </row>
    <row r="341" spans="6:12" ht="15.75" customHeight="1" x14ac:dyDescent="0.2">
      <c r="F341" s="114"/>
      <c r="L341" s="114"/>
    </row>
    <row r="342" spans="6:12" ht="15.75" customHeight="1" x14ac:dyDescent="0.2">
      <c r="F342" s="114"/>
      <c r="L342" s="114"/>
    </row>
    <row r="343" spans="6:12" ht="15.75" customHeight="1" x14ac:dyDescent="0.2">
      <c r="F343" s="114"/>
      <c r="L343" s="114"/>
    </row>
    <row r="344" spans="6:12" ht="15.75" customHeight="1" x14ac:dyDescent="0.2">
      <c r="F344" s="114"/>
      <c r="L344" s="114"/>
    </row>
    <row r="345" spans="6:12" ht="15.75" customHeight="1" x14ac:dyDescent="0.2">
      <c r="F345" s="114"/>
      <c r="L345" s="114"/>
    </row>
    <row r="346" spans="6:12" ht="15.75" customHeight="1" x14ac:dyDescent="0.2">
      <c r="F346" s="114"/>
      <c r="L346" s="114"/>
    </row>
    <row r="347" spans="6:12" ht="15.75" customHeight="1" x14ac:dyDescent="0.2">
      <c r="F347" s="114"/>
      <c r="L347" s="114"/>
    </row>
    <row r="348" spans="6:12" ht="15.75" customHeight="1" x14ac:dyDescent="0.2">
      <c r="F348" s="114"/>
      <c r="L348" s="114"/>
    </row>
    <row r="349" spans="6:12" ht="15.75" customHeight="1" x14ac:dyDescent="0.2">
      <c r="F349" s="114"/>
      <c r="L349" s="114"/>
    </row>
    <row r="350" spans="6:12" ht="15.75" customHeight="1" x14ac:dyDescent="0.2">
      <c r="F350" s="114"/>
      <c r="L350" s="114"/>
    </row>
    <row r="351" spans="6:12" ht="15.75" customHeight="1" x14ac:dyDescent="0.2">
      <c r="F351" s="114"/>
      <c r="L351" s="114"/>
    </row>
    <row r="352" spans="6:12" ht="15.75" customHeight="1" x14ac:dyDescent="0.2">
      <c r="F352" s="114"/>
      <c r="L352" s="114"/>
    </row>
    <row r="353" spans="6:12" ht="15.75" customHeight="1" x14ac:dyDescent="0.2">
      <c r="F353" s="114"/>
      <c r="L353" s="114"/>
    </row>
    <row r="354" spans="6:12" ht="15.75" customHeight="1" x14ac:dyDescent="0.2">
      <c r="F354" s="114"/>
      <c r="L354" s="114"/>
    </row>
    <row r="355" spans="6:12" ht="15.75" customHeight="1" x14ac:dyDescent="0.2">
      <c r="F355" s="114"/>
      <c r="L355" s="114"/>
    </row>
    <row r="356" spans="6:12" ht="15.75" customHeight="1" x14ac:dyDescent="0.2">
      <c r="F356" s="114"/>
      <c r="L356" s="114"/>
    </row>
    <row r="357" spans="6:12" ht="15.75" customHeight="1" x14ac:dyDescent="0.2">
      <c r="F357" s="114"/>
      <c r="L357" s="114"/>
    </row>
    <row r="358" spans="6:12" ht="15.75" customHeight="1" x14ac:dyDescent="0.2">
      <c r="F358" s="114"/>
      <c r="L358" s="114"/>
    </row>
    <row r="359" spans="6:12" ht="15.75" customHeight="1" x14ac:dyDescent="0.2">
      <c r="F359" s="114"/>
      <c r="L359" s="114"/>
    </row>
    <row r="360" spans="6:12" ht="15.75" customHeight="1" x14ac:dyDescent="0.2">
      <c r="F360" s="114"/>
      <c r="L360" s="114"/>
    </row>
    <row r="361" spans="6:12" ht="15.75" customHeight="1" x14ac:dyDescent="0.2">
      <c r="F361" s="114"/>
      <c r="L361" s="114"/>
    </row>
    <row r="362" spans="6:12" ht="15.75" customHeight="1" x14ac:dyDescent="0.2">
      <c r="F362" s="114"/>
      <c r="L362" s="114"/>
    </row>
    <row r="363" spans="6:12" ht="15.75" customHeight="1" x14ac:dyDescent="0.2">
      <c r="F363" s="114"/>
      <c r="L363" s="114"/>
    </row>
    <row r="364" spans="6:12" ht="15.75" customHeight="1" x14ac:dyDescent="0.2">
      <c r="F364" s="114"/>
      <c r="L364" s="114"/>
    </row>
    <row r="365" spans="6:12" ht="15.75" customHeight="1" x14ac:dyDescent="0.2">
      <c r="F365" s="114"/>
      <c r="L365" s="114"/>
    </row>
    <row r="366" spans="6:12" ht="15.75" customHeight="1" x14ac:dyDescent="0.2">
      <c r="F366" s="114"/>
      <c r="L366" s="114"/>
    </row>
    <row r="367" spans="6:12" ht="15.75" customHeight="1" x14ac:dyDescent="0.2">
      <c r="F367" s="114"/>
      <c r="L367" s="114"/>
    </row>
    <row r="368" spans="6:12" ht="15.75" customHeight="1" x14ac:dyDescent="0.2">
      <c r="F368" s="114"/>
      <c r="L368" s="114"/>
    </row>
    <row r="369" spans="6:12" ht="15.75" customHeight="1" x14ac:dyDescent="0.2">
      <c r="F369" s="114"/>
      <c r="L369" s="114"/>
    </row>
    <row r="370" spans="6:12" ht="15.75" customHeight="1" x14ac:dyDescent="0.2">
      <c r="F370" s="114"/>
      <c r="L370" s="114"/>
    </row>
    <row r="371" spans="6:12" ht="15.75" customHeight="1" x14ac:dyDescent="0.2">
      <c r="F371" s="114"/>
      <c r="L371" s="114"/>
    </row>
    <row r="372" spans="6:12" ht="15.75" customHeight="1" x14ac:dyDescent="0.2">
      <c r="F372" s="114"/>
      <c r="L372" s="114"/>
    </row>
    <row r="373" spans="6:12" ht="15.75" customHeight="1" x14ac:dyDescent="0.2">
      <c r="F373" s="114"/>
      <c r="L373" s="114"/>
    </row>
    <row r="374" spans="6:12" ht="15.75" customHeight="1" x14ac:dyDescent="0.2">
      <c r="F374" s="114"/>
      <c r="L374" s="114"/>
    </row>
    <row r="375" spans="6:12" ht="15.75" customHeight="1" x14ac:dyDescent="0.2">
      <c r="F375" s="114"/>
      <c r="L375" s="114"/>
    </row>
    <row r="376" spans="6:12" ht="15.75" customHeight="1" x14ac:dyDescent="0.2">
      <c r="F376" s="114"/>
      <c r="L376" s="114"/>
    </row>
    <row r="377" spans="6:12" ht="15.75" customHeight="1" x14ac:dyDescent="0.2">
      <c r="F377" s="114"/>
      <c r="L377" s="114"/>
    </row>
    <row r="378" spans="6:12" ht="15.75" customHeight="1" x14ac:dyDescent="0.2">
      <c r="F378" s="114"/>
      <c r="L378" s="114"/>
    </row>
    <row r="379" spans="6:12" ht="15.75" customHeight="1" x14ac:dyDescent="0.2">
      <c r="F379" s="114"/>
      <c r="L379" s="114"/>
    </row>
    <row r="380" spans="6:12" ht="15.75" customHeight="1" x14ac:dyDescent="0.2">
      <c r="F380" s="114"/>
      <c r="L380" s="114"/>
    </row>
    <row r="381" spans="6:12" ht="15.75" customHeight="1" x14ac:dyDescent="0.2">
      <c r="F381" s="114"/>
      <c r="L381" s="114"/>
    </row>
    <row r="382" spans="6:12" ht="15.75" customHeight="1" x14ac:dyDescent="0.2">
      <c r="F382" s="114"/>
      <c r="L382" s="114"/>
    </row>
    <row r="383" spans="6:12" ht="15.75" customHeight="1" x14ac:dyDescent="0.2">
      <c r="F383" s="114"/>
      <c r="L383" s="114"/>
    </row>
    <row r="384" spans="6:12" ht="15.75" customHeight="1" x14ac:dyDescent="0.2">
      <c r="F384" s="114"/>
      <c r="L384" s="114"/>
    </row>
    <row r="385" spans="6:12" ht="15.75" customHeight="1" x14ac:dyDescent="0.2">
      <c r="F385" s="114"/>
      <c r="L385" s="114"/>
    </row>
    <row r="386" spans="6:12" ht="15.75" customHeight="1" x14ac:dyDescent="0.2">
      <c r="F386" s="114"/>
      <c r="L386" s="114"/>
    </row>
    <row r="387" spans="6:12" ht="15.75" customHeight="1" x14ac:dyDescent="0.2">
      <c r="F387" s="114"/>
      <c r="L387" s="114"/>
    </row>
    <row r="388" spans="6:12" ht="15.75" customHeight="1" x14ac:dyDescent="0.2">
      <c r="F388" s="114"/>
      <c r="L388" s="114"/>
    </row>
    <row r="389" spans="6:12" ht="15.75" customHeight="1" x14ac:dyDescent="0.2">
      <c r="F389" s="114"/>
      <c r="L389" s="114"/>
    </row>
    <row r="390" spans="6:12" ht="15.75" customHeight="1" x14ac:dyDescent="0.2">
      <c r="F390" s="114"/>
      <c r="L390" s="114"/>
    </row>
    <row r="391" spans="6:12" ht="15.75" customHeight="1" x14ac:dyDescent="0.2">
      <c r="F391" s="114"/>
      <c r="L391" s="114"/>
    </row>
    <row r="392" spans="6:12" ht="15.75" customHeight="1" x14ac:dyDescent="0.2">
      <c r="F392" s="114"/>
      <c r="L392" s="114"/>
    </row>
    <row r="393" spans="6:12" ht="15.75" customHeight="1" x14ac:dyDescent="0.2">
      <c r="F393" s="114"/>
      <c r="L393" s="114"/>
    </row>
    <row r="394" spans="6:12" ht="15.75" customHeight="1" x14ac:dyDescent="0.2">
      <c r="F394" s="114"/>
      <c r="L394" s="114"/>
    </row>
    <row r="395" spans="6:12" ht="15.75" customHeight="1" x14ac:dyDescent="0.2">
      <c r="F395" s="114"/>
      <c r="L395" s="114"/>
    </row>
    <row r="396" spans="6:12" ht="15.75" customHeight="1" x14ac:dyDescent="0.2">
      <c r="F396" s="114"/>
      <c r="L396" s="114"/>
    </row>
    <row r="397" spans="6:12" ht="15.75" customHeight="1" x14ac:dyDescent="0.2">
      <c r="F397" s="114"/>
      <c r="L397" s="114"/>
    </row>
    <row r="398" spans="6:12" ht="15.75" customHeight="1" x14ac:dyDescent="0.2">
      <c r="F398" s="114"/>
      <c r="L398" s="114"/>
    </row>
    <row r="399" spans="6:12" ht="15.75" customHeight="1" x14ac:dyDescent="0.2">
      <c r="F399" s="114"/>
      <c r="L399" s="114"/>
    </row>
    <row r="400" spans="6:12" ht="15.75" customHeight="1" x14ac:dyDescent="0.2">
      <c r="F400" s="114"/>
      <c r="L400" s="114"/>
    </row>
    <row r="401" spans="6:12" ht="15.75" customHeight="1" x14ac:dyDescent="0.2">
      <c r="F401" s="114"/>
      <c r="L401" s="114"/>
    </row>
    <row r="402" spans="6:12" ht="15.75" customHeight="1" x14ac:dyDescent="0.2">
      <c r="F402" s="114"/>
      <c r="L402" s="114"/>
    </row>
    <row r="403" spans="6:12" ht="15.75" customHeight="1" x14ac:dyDescent="0.2">
      <c r="F403" s="114"/>
      <c r="L403" s="114"/>
    </row>
    <row r="404" spans="6:12" ht="15.75" customHeight="1" x14ac:dyDescent="0.2">
      <c r="F404" s="114"/>
      <c r="L404" s="114"/>
    </row>
    <row r="405" spans="6:12" ht="15.75" customHeight="1" x14ac:dyDescent="0.2">
      <c r="F405" s="114"/>
      <c r="L405" s="114"/>
    </row>
    <row r="406" spans="6:12" ht="15.75" customHeight="1" x14ac:dyDescent="0.2">
      <c r="F406" s="114"/>
      <c r="L406" s="114"/>
    </row>
    <row r="407" spans="6:12" ht="15.75" customHeight="1" x14ac:dyDescent="0.2">
      <c r="F407" s="114"/>
      <c r="L407" s="114"/>
    </row>
    <row r="408" spans="6:12" ht="15.75" customHeight="1" x14ac:dyDescent="0.2">
      <c r="F408" s="114"/>
      <c r="L408" s="114"/>
    </row>
    <row r="409" spans="6:12" ht="15.75" customHeight="1" x14ac:dyDescent="0.2">
      <c r="F409" s="114"/>
      <c r="L409" s="114"/>
    </row>
    <row r="410" spans="6:12" ht="15.75" customHeight="1" x14ac:dyDescent="0.2">
      <c r="F410" s="114"/>
      <c r="L410" s="114"/>
    </row>
    <row r="411" spans="6:12" ht="15.75" customHeight="1" x14ac:dyDescent="0.2">
      <c r="F411" s="114"/>
      <c r="L411" s="114"/>
    </row>
    <row r="412" spans="6:12" ht="15.75" customHeight="1" x14ac:dyDescent="0.2">
      <c r="F412" s="114"/>
      <c r="L412" s="114"/>
    </row>
    <row r="413" spans="6:12" ht="15.75" customHeight="1" x14ac:dyDescent="0.2">
      <c r="F413" s="114"/>
      <c r="L413" s="114"/>
    </row>
    <row r="414" spans="6:12" ht="15.75" customHeight="1" x14ac:dyDescent="0.2">
      <c r="F414" s="114"/>
      <c r="L414" s="114"/>
    </row>
    <row r="415" spans="6:12" ht="15.75" customHeight="1" x14ac:dyDescent="0.2">
      <c r="F415" s="114"/>
      <c r="L415" s="114"/>
    </row>
    <row r="416" spans="6:12" ht="15.75" customHeight="1" x14ac:dyDescent="0.2">
      <c r="F416" s="114"/>
      <c r="L416" s="114"/>
    </row>
    <row r="417" spans="6:12" ht="15.75" customHeight="1" x14ac:dyDescent="0.2">
      <c r="F417" s="114"/>
      <c r="L417" s="114"/>
    </row>
    <row r="418" spans="6:12" ht="15.75" customHeight="1" x14ac:dyDescent="0.2">
      <c r="F418" s="114"/>
      <c r="L418" s="114"/>
    </row>
    <row r="419" spans="6:12" ht="15.75" customHeight="1" x14ac:dyDescent="0.2">
      <c r="F419" s="114"/>
      <c r="L419" s="114"/>
    </row>
    <row r="420" spans="6:12" ht="15.75" customHeight="1" x14ac:dyDescent="0.2">
      <c r="F420" s="114"/>
      <c r="L420" s="114"/>
    </row>
    <row r="421" spans="6:12" ht="15.75" customHeight="1" x14ac:dyDescent="0.2">
      <c r="F421" s="114"/>
      <c r="L421" s="114"/>
    </row>
    <row r="422" spans="6:12" ht="15.75" customHeight="1" x14ac:dyDescent="0.2">
      <c r="F422" s="114"/>
      <c r="L422" s="114"/>
    </row>
    <row r="423" spans="6:12" ht="15.75" customHeight="1" x14ac:dyDescent="0.2">
      <c r="F423" s="114"/>
      <c r="L423" s="114"/>
    </row>
    <row r="424" spans="6:12" ht="15.75" customHeight="1" x14ac:dyDescent="0.2">
      <c r="F424" s="114"/>
      <c r="L424" s="114"/>
    </row>
    <row r="425" spans="6:12" ht="15.75" customHeight="1" x14ac:dyDescent="0.2">
      <c r="F425" s="114"/>
      <c r="L425" s="114"/>
    </row>
    <row r="426" spans="6:12" ht="15.75" customHeight="1" x14ac:dyDescent="0.2">
      <c r="F426" s="114"/>
      <c r="L426" s="114"/>
    </row>
    <row r="427" spans="6:12" ht="15.75" customHeight="1" x14ac:dyDescent="0.2">
      <c r="F427" s="114"/>
      <c r="L427" s="114"/>
    </row>
    <row r="428" spans="6:12" ht="15.75" customHeight="1" x14ac:dyDescent="0.2">
      <c r="F428" s="114"/>
      <c r="L428" s="114"/>
    </row>
    <row r="429" spans="6:12" ht="15.75" customHeight="1" x14ac:dyDescent="0.2">
      <c r="F429" s="114"/>
      <c r="L429" s="114"/>
    </row>
    <row r="430" spans="6:12" ht="15.75" customHeight="1" x14ac:dyDescent="0.2">
      <c r="F430" s="114"/>
      <c r="L430" s="114"/>
    </row>
    <row r="431" spans="6:12" ht="15.75" customHeight="1" x14ac:dyDescent="0.2">
      <c r="F431" s="114"/>
      <c r="L431" s="114"/>
    </row>
    <row r="432" spans="6:12" ht="15.75" customHeight="1" x14ac:dyDescent="0.2">
      <c r="F432" s="114"/>
      <c r="L432" s="114"/>
    </row>
    <row r="433" spans="6:12" ht="15.75" customHeight="1" x14ac:dyDescent="0.2">
      <c r="F433" s="114"/>
      <c r="L433" s="114"/>
    </row>
    <row r="434" spans="6:12" ht="15.75" customHeight="1" x14ac:dyDescent="0.2">
      <c r="F434" s="114"/>
      <c r="L434" s="114"/>
    </row>
    <row r="435" spans="6:12" ht="15.75" customHeight="1" x14ac:dyDescent="0.2">
      <c r="F435" s="114"/>
      <c r="L435" s="114"/>
    </row>
    <row r="436" spans="6:12" ht="15.75" customHeight="1" x14ac:dyDescent="0.2">
      <c r="F436" s="114"/>
      <c r="L436" s="114"/>
    </row>
    <row r="437" spans="6:12" ht="15.75" customHeight="1" x14ac:dyDescent="0.2">
      <c r="F437" s="114"/>
      <c r="L437" s="114"/>
    </row>
    <row r="438" spans="6:12" ht="15.75" customHeight="1" x14ac:dyDescent="0.2">
      <c r="F438" s="114"/>
      <c r="L438" s="114"/>
    </row>
    <row r="439" spans="6:12" ht="15.75" customHeight="1" x14ac:dyDescent="0.2">
      <c r="F439" s="114"/>
      <c r="L439" s="114"/>
    </row>
    <row r="440" spans="6:12" ht="15.75" customHeight="1" x14ac:dyDescent="0.2">
      <c r="F440" s="114"/>
      <c r="L440" s="114"/>
    </row>
    <row r="441" spans="6:12" ht="15.75" customHeight="1" x14ac:dyDescent="0.2">
      <c r="F441" s="114"/>
      <c r="L441" s="114"/>
    </row>
    <row r="442" spans="6:12" ht="15.75" customHeight="1" x14ac:dyDescent="0.2">
      <c r="F442" s="114"/>
      <c r="L442" s="114"/>
    </row>
    <row r="443" spans="6:12" ht="15.75" customHeight="1" x14ac:dyDescent="0.2">
      <c r="F443" s="114"/>
      <c r="L443" s="114"/>
    </row>
    <row r="444" spans="6:12" ht="15.75" customHeight="1" x14ac:dyDescent="0.2">
      <c r="F444" s="114"/>
      <c r="L444" s="114"/>
    </row>
    <row r="445" spans="6:12" ht="15.75" customHeight="1" x14ac:dyDescent="0.2">
      <c r="F445" s="114"/>
      <c r="L445" s="114"/>
    </row>
    <row r="446" spans="6:12" ht="15.75" customHeight="1" x14ac:dyDescent="0.2">
      <c r="F446" s="114"/>
      <c r="L446" s="114"/>
    </row>
    <row r="447" spans="6:12" ht="15.75" customHeight="1" x14ac:dyDescent="0.2">
      <c r="F447" s="114"/>
      <c r="L447" s="114"/>
    </row>
    <row r="448" spans="6:12" ht="15.75" customHeight="1" x14ac:dyDescent="0.2">
      <c r="F448" s="114"/>
      <c r="L448" s="114"/>
    </row>
    <row r="449" spans="6:12" ht="15.75" customHeight="1" x14ac:dyDescent="0.2">
      <c r="F449" s="114"/>
      <c r="L449" s="114"/>
    </row>
    <row r="450" spans="6:12" ht="15.75" customHeight="1" x14ac:dyDescent="0.2">
      <c r="F450" s="114"/>
      <c r="L450" s="114"/>
    </row>
    <row r="451" spans="6:12" ht="15.75" customHeight="1" x14ac:dyDescent="0.2">
      <c r="F451" s="114"/>
      <c r="L451" s="114"/>
    </row>
    <row r="452" spans="6:12" ht="15.75" customHeight="1" x14ac:dyDescent="0.2">
      <c r="F452" s="114"/>
      <c r="L452" s="114"/>
    </row>
    <row r="453" spans="6:12" ht="15.75" customHeight="1" x14ac:dyDescent="0.2">
      <c r="F453" s="114"/>
      <c r="L453" s="114"/>
    </row>
    <row r="454" spans="6:12" ht="15.75" customHeight="1" x14ac:dyDescent="0.2">
      <c r="F454" s="114"/>
      <c r="L454" s="114"/>
    </row>
    <row r="455" spans="6:12" ht="15.75" customHeight="1" x14ac:dyDescent="0.2">
      <c r="F455" s="114"/>
      <c r="L455" s="114"/>
    </row>
    <row r="456" spans="6:12" ht="15.75" customHeight="1" x14ac:dyDescent="0.2">
      <c r="F456" s="114"/>
      <c r="L456" s="114"/>
    </row>
    <row r="457" spans="6:12" ht="15.75" customHeight="1" x14ac:dyDescent="0.2">
      <c r="F457" s="114"/>
      <c r="L457" s="114"/>
    </row>
    <row r="458" spans="6:12" ht="15.75" customHeight="1" x14ac:dyDescent="0.2">
      <c r="F458" s="114"/>
      <c r="L458" s="114"/>
    </row>
    <row r="459" spans="6:12" ht="15.75" customHeight="1" x14ac:dyDescent="0.2">
      <c r="F459" s="114"/>
      <c r="L459" s="114"/>
    </row>
    <row r="460" spans="6:12" ht="15.75" customHeight="1" x14ac:dyDescent="0.2">
      <c r="F460" s="114"/>
      <c r="L460" s="114"/>
    </row>
    <row r="461" spans="6:12" ht="15.75" customHeight="1" x14ac:dyDescent="0.2">
      <c r="F461" s="114"/>
      <c r="L461" s="114"/>
    </row>
    <row r="462" spans="6:12" ht="15.75" customHeight="1" x14ac:dyDescent="0.2">
      <c r="F462" s="114"/>
      <c r="L462" s="114"/>
    </row>
    <row r="463" spans="6:12" ht="15.75" customHeight="1" x14ac:dyDescent="0.2">
      <c r="F463" s="114"/>
      <c r="L463" s="114"/>
    </row>
    <row r="464" spans="6:12" ht="15.75" customHeight="1" x14ac:dyDescent="0.2">
      <c r="F464" s="114"/>
      <c r="L464" s="114"/>
    </row>
    <row r="465" spans="6:12" ht="15.75" customHeight="1" x14ac:dyDescent="0.2">
      <c r="F465" s="114"/>
      <c r="L465" s="114"/>
    </row>
    <row r="466" spans="6:12" ht="15.75" customHeight="1" x14ac:dyDescent="0.2">
      <c r="F466" s="114"/>
      <c r="L466" s="114"/>
    </row>
    <row r="467" spans="6:12" ht="15.75" customHeight="1" x14ac:dyDescent="0.2">
      <c r="F467" s="114"/>
      <c r="L467" s="114"/>
    </row>
    <row r="468" spans="6:12" ht="15.75" customHeight="1" x14ac:dyDescent="0.2">
      <c r="F468" s="114"/>
      <c r="L468" s="114"/>
    </row>
    <row r="469" spans="6:12" ht="15.75" customHeight="1" x14ac:dyDescent="0.2">
      <c r="F469" s="114"/>
      <c r="L469" s="114"/>
    </row>
    <row r="470" spans="6:12" ht="15.75" customHeight="1" x14ac:dyDescent="0.2">
      <c r="F470" s="114"/>
      <c r="L470" s="114"/>
    </row>
    <row r="471" spans="6:12" ht="15.75" customHeight="1" x14ac:dyDescent="0.2">
      <c r="F471" s="114"/>
      <c r="L471" s="114"/>
    </row>
    <row r="472" spans="6:12" ht="15.75" customHeight="1" x14ac:dyDescent="0.2">
      <c r="F472" s="114"/>
      <c r="L472" s="114"/>
    </row>
    <row r="473" spans="6:12" ht="15.75" customHeight="1" x14ac:dyDescent="0.2">
      <c r="F473" s="114"/>
      <c r="L473" s="114"/>
    </row>
    <row r="474" spans="6:12" ht="15.75" customHeight="1" x14ac:dyDescent="0.2">
      <c r="F474" s="114"/>
      <c r="L474" s="114"/>
    </row>
    <row r="475" spans="6:12" ht="15.75" customHeight="1" x14ac:dyDescent="0.2">
      <c r="F475" s="114"/>
      <c r="L475" s="114"/>
    </row>
    <row r="476" spans="6:12" ht="15.75" customHeight="1" x14ac:dyDescent="0.2">
      <c r="F476" s="114"/>
      <c r="L476" s="114"/>
    </row>
    <row r="477" spans="6:12" ht="15.75" customHeight="1" x14ac:dyDescent="0.2">
      <c r="F477" s="114"/>
      <c r="L477" s="114"/>
    </row>
    <row r="478" spans="6:12" ht="15.75" customHeight="1" x14ac:dyDescent="0.2">
      <c r="F478" s="114"/>
      <c r="L478" s="114"/>
    </row>
    <row r="479" spans="6:12" ht="15.75" customHeight="1" x14ac:dyDescent="0.2">
      <c r="F479" s="114"/>
      <c r="L479" s="114"/>
    </row>
    <row r="480" spans="6:12" ht="15.75" customHeight="1" x14ac:dyDescent="0.2">
      <c r="F480" s="114"/>
      <c r="L480" s="114"/>
    </row>
    <row r="481" spans="6:12" ht="15.75" customHeight="1" x14ac:dyDescent="0.2">
      <c r="F481" s="114"/>
      <c r="L481" s="114"/>
    </row>
    <row r="482" spans="6:12" ht="15.75" customHeight="1" x14ac:dyDescent="0.2">
      <c r="F482" s="114"/>
      <c r="L482" s="114"/>
    </row>
    <row r="483" spans="6:12" ht="15.75" customHeight="1" x14ac:dyDescent="0.2">
      <c r="F483" s="114"/>
      <c r="L483" s="114"/>
    </row>
    <row r="484" spans="6:12" ht="15.75" customHeight="1" x14ac:dyDescent="0.2">
      <c r="F484" s="114"/>
      <c r="L484" s="114"/>
    </row>
    <row r="485" spans="6:12" ht="15.75" customHeight="1" x14ac:dyDescent="0.2">
      <c r="F485" s="114"/>
      <c r="L485" s="114"/>
    </row>
    <row r="486" spans="6:12" ht="15.75" customHeight="1" x14ac:dyDescent="0.2">
      <c r="F486" s="114"/>
      <c r="L486" s="114"/>
    </row>
    <row r="487" spans="6:12" ht="15.75" customHeight="1" x14ac:dyDescent="0.2">
      <c r="F487" s="114"/>
      <c r="L487" s="114"/>
    </row>
    <row r="488" spans="6:12" ht="15.75" customHeight="1" x14ac:dyDescent="0.2">
      <c r="F488" s="114"/>
      <c r="L488" s="114"/>
    </row>
    <row r="489" spans="6:12" ht="15.75" customHeight="1" x14ac:dyDescent="0.2">
      <c r="F489" s="114"/>
      <c r="L489" s="114"/>
    </row>
    <row r="490" spans="6:12" ht="15.75" customHeight="1" x14ac:dyDescent="0.2">
      <c r="F490" s="114"/>
      <c r="L490" s="114"/>
    </row>
    <row r="491" spans="6:12" ht="15.75" customHeight="1" x14ac:dyDescent="0.2">
      <c r="F491" s="114"/>
      <c r="L491" s="114"/>
    </row>
    <row r="492" spans="6:12" ht="15.75" customHeight="1" x14ac:dyDescent="0.2">
      <c r="F492" s="114"/>
      <c r="L492" s="114"/>
    </row>
    <row r="493" spans="6:12" ht="15.75" customHeight="1" x14ac:dyDescent="0.2">
      <c r="F493" s="114"/>
      <c r="L493" s="114"/>
    </row>
    <row r="494" spans="6:12" ht="15.75" customHeight="1" x14ac:dyDescent="0.2">
      <c r="F494" s="114"/>
      <c r="L494" s="114"/>
    </row>
    <row r="495" spans="6:12" ht="15.75" customHeight="1" x14ac:dyDescent="0.2">
      <c r="F495" s="114"/>
      <c r="L495" s="114"/>
    </row>
    <row r="496" spans="6:12" ht="15.75" customHeight="1" x14ac:dyDescent="0.2">
      <c r="F496" s="114"/>
      <c r="L496" s="114"/>
    </row>
    <row r="497" spans="6:12" ht="15.75" customHeight="1" x14ac:dyDescent="0.2">
      <c r="F497" s="114"/>
      <c r="L497" s="114"/>
    </row>
    <row r="498" spans="6:12" ht="15.75" customHeight="1" x14ac:dyDescent="0.2">
      <c r="F498" s="114"/>
      <c r="L498" s="114"/>
    </row>
    <row r="499" spans="6:12" ht="15.75" customHeight="1" x14ac:dyDescent="0.2">
      <c r="F499" s="114"/>
      <c r="L499" s="114"/>
    </row>
    <row r="500" spans="6:12" ht="15.75" customHeight="1" x14ac:dyDescent="0.2">
      <c r="F500" s="114"/>
      <c r="L500" s="114"/>
    </row>
    <row r="501" spans="6:12" ht="15.75" customHeight="1" x14ac:dyDescent="0.2">
      <c r="F501" s="114"/>
      <c r="L501" s="114"/>
    </row>
    <row r="502" spans="6:12" ht="15.75" customHeight="1" x14ac:dyDescent="0.2">
      <c r="F502" s="114"/>
      <c r="L502" s="114"/>
    </row>
    <row r="503" spans="6:12" ht="15.75" customHeight="1" x14ac:dyDescent="0.2">
      <c r="F503" s="114"/>
      <c r="L503" s="114"/>
    </row>
    <row r="504" spans="6:12" ht="15.75" customHeight="1" x14ac:dyDescent="0.2">
      <c r="F504" s="114"/>
      <c r="L504" s="114"/>
    </row>
    <row r="505" spans="6:12" ht="15.75" customHeight="1" x14ac:dyDescent="0.2">
      <c r="F505" s="114"/>
      <c r="L505" s="114"/>
    </row>
    <row r="506" spans="6:12" ht="15.75" customHeight="1" x14ac:dyDescent="0.2">
      <c r="F506" s="114"/>
      <c r="L506" s="114"/>
    </row>
    <row r="507" spans="6:12" ht="15.75" customHeight="1" x14ac:dyDescent="0.2">
      <c r="F507" s="114"/>
      <c r="L507" s="114"/>
    </row>
    <row r="508" spans="6:12" ht="15.75" customHeight="1" x14ac:dyDescent="0.2">
      <c r="F508" s="114"/>
      <c r="L508" s="114"/>
    </row>
    <row r="509" spans="6:12" ht="15.75" customHeight="1" x14ac:dyDescent="0.2">
      <c r="F509" s="114"/>
      <c r="L509" s="114"/>
    </row>
    <row r="510" spans="6:12" ht="15.75" customHeight="1" x14ac:dyDescent="0.2">
      <c r="F510" s="114"/>
      <c r="L510" s="114"/>
    </row>
    <row r="511" spans="6:12" ht="15.75" customHeight="1" x14ac:dyDescent="0.2">
      <c r="F511" s="114"/>
      <c r="L511" s="114"/>
    </row>
    <row r="512" spans="6:12" ht="15.75" customHeight="1" x14ac:dyDescent="0.2">
      <c r="F512" s="114"/>
      <c r="L512" s="114"/>
    </row>
    <row r="513" spans="6:12" ht="15.75" customHeight="1" x14ac:dyDescent="0.2">
      <c r="F513" s="114"/>
      <c r="L513" s="114"/>
    </row>
    <row r="514" spans="6:12" ht="15.75" customHeight="1" x14ac:dyDescent="0.2">
      <c r="F514" s="114"/>
      <c r="L514" s="114"/>
    </row>
    <row r="515" spans="6:12" ht="15.75" customHeight="1" x14ac:dyDescent="0.2">
      <c r="F515" s="114"/>
      <c r="L515" s="114"/>
    </row>
    <row r="516" spans="6:12" ht="15.75" customHeight="1" x14ac:dyDescent="0.2">
      <c r="F516" s="114"/>
      <c r="L516" s="114"/>
    </row>
    <row r="517" spans="6:12" ht="15.75" customHeight="1" x14ac:dyDescent="0.2">
      <c r="F517" s="114"/>
      <c r="L517" s="114"/>
    </row>
    <row r="518" spans="6:12" ht="15.75" customHeight="1" x14ac:dyDescent="0.2">
      <c r="F518" s="114"/>
      <c r="L518" s="114"/>
    </row>
    <row r="519" spans="6:12" ht="15.75" customHeight="1" x14ac:dyDescent="0.2">
      <c r="F519" s="114"/>
      <c r="L519" s="114"/>
    </row>
    <row r="520" spans="6:12" ht="15.75" customHeight="1" x14ac:dyDescent="0.2">
      <c r="F520" s="114"/>
      <c r="L520" s="114"/>
    </row>
    <row r="521" spans="6:12" ht="15.75" customHeight="1" x14ac:dyDescent="0.2">
      <c r="F521" s="114"/>
      <c r="L521" s="114"/>
    </row>
    <row r="522" spans="6:12" ht="15.75" customHeight="1" x14ac:dyDescent="0.2">
      <c r="F522" s="114"/>
      <c r="L522" s="114"/>
    </row>
    <row r="523" spans="6:12" ht="15.75" customHeight="1" x14ac:dyDescent="0.2">
      <c r="F523" s="114"/>
      <c r="L523" s="114"/>
    </row>
    <row r="524" spans="6:12" ht="15.75" customHeight="1" x14ac:dyDescent="0.2">
      <c r="F524" s="114"/>
      <c r="L524" s="114"/>
    </row>
    <row r="525" spans="6:12" ht="15.75" customHeight="1" x14ac:dyDescent="0.2">
      <c r="F525" s="114"/>
      <c r="L525" s="114"/>
    </row>
    <row r="526" spans="6:12" ht="15.75" customHeight="1" x14ac:dyDescent="0.2">
      <c r="F526" s="114"/>
      <c r="L526" s="114"/>
    </row>
    <row r="527" spans="6:12" ht="15.75" customHeight="1" x14ac:dyDescent="0.2">
      <c r="F527" s="114"/>
      <c r="L527" s="114"/>
    </row>
    <row r="528" spans="6:12" ht="15.75" customHeight="1" x14ac:dyDescent="0.2">
      <c r="F528" s="114"/>
      <c r="L528" s="114"/>
    </row>
    <row r="529" spans="6:12" ht="15.75" customHeight="1" x14ac:dyDescent="0.2">
      <c r="F529" s="114"/>
      <c r="L529" s="114"/>
    </row>
    <row r="530" spans="6:12" ht="15.75" customHeight="1" x14ac:dyDescent="0.2">
      <c r="F530" s="114"/>
      <c r="L530" s="114"/>
    </row>
    <row r="531" spans="6:12" ht="15.75" customHeight="1" x14ac:dyDescent="0.2">
      <c r="F531" s="114"/>
      <c r="L531" s="114"/>
    </row>
    <row r="532" spans="6:12" ht="15.75" customHeight="1" x14ac:dyDescent="0.2">
      <c r="F532" s="114"/>
      <c r="L532" s="114"/>
    </row>
    <row r="533" spans="6:12" ht="15.75" customHeight="1" x14ac:dyDescent="0.2">
      <c r="F533" s="114"/>
      <c r="L533" s="114"/>
    </row>
    <row r="534" spans="6:12" ht="15.75" customHeight="1" x14ac:dyDescent="0.2">
      <c r="F534" s="114"/>
      <c r="L534" s="114"/>
    </row>
    <row r="535" spans="6:12" ht="15.75" customHeight="1" x14ac:dyDescent="0.2">
      <c r="F535" s="114"/>
      <c r="L535" s="114"/>
    </row>
    <row r="536" spans="6:12" ht="15.75" customHeight="1" x14ac:dyDescent="0.2">
      <c r="F536" s="114"/>
      <c r="L536" s="114"/>
    </row>
    <row r="537" spans="6:12" ht="15.75" customHeight="1" x14ac:dyDescent="0.2">
      <c r="F537" s="114"/>
      <c r="L537" s="114"/>
    </row>
    <row r="538" spans="6:12" ht="15.75" customHeight="1" x14ac:dyDescent="0.2">
      <c r="F538" s="114"/>
      <c r="L538" s="114"/>
    </row>
    <row r="539" spans="6:12" ht="15.75" customHeight="1" x14ac:dyDescent="0.2">
      <c r="F539" s="114"/>
      <c r="L539" s="114"/>
    </row>
    <row r="540" spans="6:12" ht="15.75" customHeight="1" x14ac:dyDescent="0.2">
      <c r="F540" s="114"/>
      <c r="L540" s="114"/>
    </row>
    <row r="541" spans="6:12" ht="15.75" customHeight="1" x14ac:dyDescent="0.2">
      <c r="F541" s="114"/>
      <c r="L541" s="114"/>
    </row>
    <row r="542" spans="6:12" ht="15.75" customHeight="1" x14ac:dyDescent="0.2">
      <c r="F542" s="114"/>
      <c r="L542" s="114"/>
    </row>
    <row r="543" spans="6:12" ht="15.75" customHeight="1" x14ac:dyDescent="0.2">
      <c r="F543" s="114"/>
      <c r="L543" s="114"/>
    </row>
    <row r="544" spans="6:12" ht="15.75" customHeight="1" x14ac:dyDescent="0.2">
      <c r="F544" s="114"/>
      <c r="L544" s="114"/>
    </row>
    <row r="545" spans="6:12" ht="15.75" customHeight="1" x14ac:dyDescent="0.2">
      <c r="F545" s="114"/>
      <c r="L545" s="114"/>
    </row>
    <row r="546" spans="6:12" ht="15.75" customHeight="1" x14ac:dyDescent="0.2">
      <c r="F546" s="114"/>
      <c r="L546" s="114"/>
    </row>
    <row r="547" spans="6:12" ht="15.75" customHeight="1" x14ac:dyDescent="0.2">
      <c r="F547" s="114"/>
      <c r="L547" s="114"/>
    </row>
    <row r="548" spans="6:12" ht="15.75" customHeight="1" x14ac:dyDescent="0.2">
      <c r="F548" s="114"/>
      <c r="L548" s="114"/>
    </row>
    <row r="549" spans="6:12" ht="15.75" customHeight="1" x14ac:dyDescent="0.2">
      <c r="F549" s="114"/>
      <c r="L549" s="114"/>
    </row>
    <row r="550" spans="6:12" ht="15.75" customHeight="1" x14ac:dyDescent="0.2">
      <c r="F550" s="114"/>
      <c r="L550" s="114"/>
    </row>
    <row r="551" spans="6:12" ht="15.75" customHeight="1" x14ac:dyDescent="0.2">
      <c r="F551" s="114"/>
      <c r="L551" s="114"/>
    </row>
    <row r="552" spans="6:12" ht="15.75" customHeight="1" x14ac:dyDescent="0.2">
      <c r="F552" s="114"/>
      <c r="L552" s="114"/>
    </row>
    <row r="553" spans="6:12" ht="15.75" customHeight="1" x14ac:dyDescent="0.2">
      <c r="F553" s="114"/>
      <c r="L553" s="114"/>
    </row>
    <row r="554" spans="6:12" ht="15.75" customHeight="1" x14ac:dyDescent="0.2">
      <c r="F554" s="114"/>
      <c r="L554" s="114"/>
    </row>
    <row r="555" spans="6:12" ht="15.75" customHeight="1" x14ac:dyDescent="0.2">
      <c r="F555" s="114"/>
      <c r="L555" s="114"/>
    </row>
    <row r="556" spans="6:12" ht="15.75" customHeight="1" x14ac:dyDescent="0.2">
      <c r="F556" s="114"/>
      <c r="L556" s="114"/>
    </row>
    <row r="557" spans="6:12" ht="15.75" customHeight="1" x14ac:dyDescent="0.2">
      <c r="F557" s="114"/>
      <c r="L557" s="114"/>
    </row>
    <row r="558" spans="6:12" ht="15.75" customHeight="1" x14ac:dyDescent="0.2">
      <c r="F558" s="114"/>
      <c r="L558" s="114"/>
    </row>
    <row r="559" spans="6:12" ht="15.75" customHeight="1" x14ac:dyDescent="0.2">
      <c r="F559" s="114"/>
      <c r="L559" s="114"/>
    </row>
    <row r="560" spans="6:12" ht="15.75" customHeight="1" x14ac:dyDescent="0.2">
      <c r="F560" s="114"/>
      <c r="L560" s="114"/>
    </row>
    <row r="561" spans="6:12" ht="15.75" customHeight="1" x14ac:dyDescent="0.2">
      <c r="F561" s="114"/>
      <c r="L561" s="114"/>
    </row>
    <row r="562" spans="6:12" ht="15.75" customHeight="1" x14ac:dyDescent="0.2">
      <c r="F562" s="114"/>
      <c r="L562" s="114"/>
    </row>
    <row r="563" spans="6:12" ht="15.75" customHeight="1" x14ac:dyDescent="0.2">
      <c r="F563" s="114"/>
      <c r="L563" s="114"/>
    </row>
    <row r="564" spans="6:12" ht="15.75" customHeight="1" x14ac:dyDescent="0.2">
      <c r="F564" s="114"/>
      <c r="L564" s="114"/>
    </row>
    <row r="565" spans="6:12" ht="15.75" customHeight="1" x14ac:dyDescent="0.2">
      <c r="F565" s="114"/>
      <c r="L565" s="114"/>
    </row>
    <row r="566" spans="6:12" ht="15.75" customHeight="1" x14ac:dyDescent="0.2">
      <c r="F566" s="114"/>
      <c r="L566" s="114"/>
    </row>
    <row r="567" spans="6:12" ht="15.75" customHeight="1" x14ac:dyDescent="0.2">
      <c r="F567" s="114"/>
      <c r="L567" s="114"/>
    </row>
    <row r="568" spans="6:12" ht="15.75" customHeight="1" x14ac:dyDescent="0.2">
      <c r="F568" s="114"/>
      <c r="L568" s="114"/>
    </row>
    <row r="569" spans="6:12" ht="15.75" customHeight="1" x14ac:dyDescent="0.2">
      <c r="F569" s="114"/>
      <c r="L569" s="114"/>
    </row>
    <row r="570" spans="6:12" ht="15.75" customHeight="1" x14ac:dyDescent="0.2">
      <c r="F570" s="114"/>
      <c r="L570" s="114"/>
    </row>
    <row r="571" spans="6:12" ht="15.75" customHeight="1" x14ac:dyDescent="0.2">
      <c r="F571" s="114"/>
      <c r="L571" s="114"/>
    </row>
    <row r="572" spans="6:12" ht="15.75" customHeight="1" x14ac:dyDescent="0.2">
      <c r="F572" s="114"/>
      <c r="L572" s="114"/>
    </row>
    <row r="573" spans="6:12" ht="15.75" customHeight="1" x14ac:dyDescent="0.2">
      <c r="F573" s="114"/>
      <c r="L573" s="114"/>
    </row>
    <row r="574" spans="6:12" ht="15.75" customHeight="1" x14ac:dyDescent="0.2">
      <c r="F574" s="114"/>
      <c r="L574" s="114"/>
    </row>
    <row r="575" spans="6:12" ht="15.75" customHeight="1" x14ac:dyDescent="0.2">
      <c r="F575" s="114"/>
      <c r="L575" s="114"/>
    </row>
    <row r="576" spans="6:12" ht="15.75" customHeight="1" x14ac:dyDescent="0.2">
      <c r="F576" s="114"/>
      <c r="L576" s="114"/>
    </row>
    <row r="577" spans="6:12" ht="15.75" customHeight="1" x14ac:dyDescent="0.2">
      <c r="F577" s="114"/>
      <c r="L577" s="114"/>
    </row>
    <row r="578" spans="6:12" ht="15.75" customHeight="1" x14ac:dyDescent="0.2">
      <c r="F578" s="114"/>
      <c r="L578" s="114"/>
    </row>
    <row r="579" spans="6:12" ht="15.75" customHeight="1" x14ac:dyDescent="0.2">
      <c r="F579" s="114"/>
      <c r="L579" s="114"/>
    </row>
    <row r="580" spans="6:12" ht="15.75" customHeight="1" x14ac:dyDescent="0.2">
      <c r="F580" s="114"/>
      <c r="L580" s="114"/>
    </row>
    <row r="581" spans="6:12" ht="15.75" customHeight="1" x14ac:dyDescent="0.2">
      <c r="F581" s="114"/>
      <c r="L581" s="114"/>
    </row>
    <row r="582" spans="6:12" ht="15.75" customHeight="1" x14ac:dyDescent="0.2">
      <c r="F582" s="114"/>
      <c r="L582" s="114"/>
    </row>
    <row r="583" spans="6:12" ht="15.75" customHeight="1" x14ac:dyDescent="0.2">
      <c r="F583" s="114"/>
      <c r="L583" s="114"/>
    </row>
    <row r="584" spans="6:12" ht="15.75" customHeight="1" x14ac:dyDescent="0.2">
      <c r="F584" s="114"/>
      <c r="L584" s="114"/>
    </row>
    <row r="585" spans="6:12" ht="15.75" customHeight="1" x14ac:dyDescent="0.2">
      <c r="F585" s="114"/>
      <c r="L585" s="114"/>
    </row>
    <row r="586" spans="6:12" ht="15.75" customHeight="1" x14ac:dyDescent="0.2">
      <c r="F586" s="114"/>
      <c r="L586" s="114"/>
    </row>
    <row r="587" spans="6:12" ht="15.75" customHeight="1" x14ac:dyDescent="0.2">
      <c r="F587" s="114"/>
      <c r="L587" s="114"/>
    </row>
    <row r="588" spans="6:12" ht="15.75" customHeight="1" x14ac:dyDescent="0.2">
      <c r="F588" s="114"/>
      <c r="L588" s="114"/>
    </row>
    <row r="589" spans="6:12" ht="15.75" customHeight="1" x14ac:dyDescent="0.2">
      <c r="F589" s="114"/>
      <c r="L589" s="114"/>
    </row>
    <row r="590" spans="6:12" ht="15.75" customHeight="1" x14ac:dyDescent="0.2">
      <c r="F590" s="114"/>
      <c r="L590" s="114"/>
    </row>
    <row r="591" spans="6:12" ht="15.75" customHeight="1" x14ac:dyDescent="0.2">
      <c r="F591" s="114"/>
      <c r="L591" s="114"/>
    </row>
    <row r="592" spans="6:12" ht="15.75" customHeight="1" x14ac:dyDescent="0.2">
      <c r="F592" s="114"/>
      <c r="L592" s="114"/>
    </row>
    <row r="593" spans="6:12" ht="15.75" customHeight="1" x14ac:dyDescent="0.2">
      <c r="F593" s="114"/>
      <c r="L593" s="114"/>
    </row>
    <row r="594" spans="6:12" ht="15.75" customHeight="1" x14ac:dyDescent="0.2">
      <c r="F594" s="114"/>
      <c r="L594" s="114"/>
    </row>
    <row r="595" spans="6:12" ht="15.75" customHeight="1" x14ac:dyDescent="0.2">
      <c r="F595" s="114"/>
      <c r="L595" s="114"/>
    </row>
    <row r="596" spans="6:12" ht="15.75" customHeight="1" x14ac:dyDescent="0.2">
      <c r="F596" s="114"/>
      <c r="L596" s="114"/>
    </row>
    <row r="597" spans="6:12" ht="15.75" customHeight="1" x14ac:dyDescent="0.2">
      <c r="F597" s="114"/>
      <c r="L597" s="114"/>
    </row>
    <row r="598" spans="6:12" ht="15.75" customHeight="1" x14ac:dyDescent="0.2">
      <c r="F598" s="114"/>
      <c r="L598" s="114"/>
    </row>
    <row r="599" spans="6:12" ht="15.75" customHeight="1" x14ac:dyDescent="0.2">
      <c r="F599" s="114"/>
      <c r="L599" s="114"/>
    </row>
    <row r="600" spans="6:12" ht="15.75" customHeight="1" x14ac:dyDescent="0.2">
      <c r="F600" s="114"/>
      <c r="L600" s="114"/>
    </row>
    <row r="601" spans="6:12" ht="15.75" customHeight="1" x14ac:dyDescent="0.2">
      <c r="F601" s="114"/>
      <c r="L601" s="114"/>
    </row>
    <row r="602" spans="6:12" ht="15.75" customHeight="1" x14ac:dyDescent="0.2">
      <c r="F602" s="114"/>
      <c r="L602" s="114"/>
    </row>
    <row r="603" spans="6:12" ht="15.75" customHeight="1" x14ac:dyDescent="0.2">
      <c r="F603" s="114"/>
      <c r="L603" s="114"/>
    </row>
    <row r="604" spans="6:12" ht="15.75" customHeight="1" x14ac:dyDescent="0.2">
      <c r="F604" s="114"/>
      <c r="L604" s="114"/>
    </row>
    <row r="605" spans="6:12" ht="15.75" customHeight="1" x14ac:dyDescent="0.2">
      <c r="F605" s="114"/>
      <c r="L605" s="114"/>
    </row>
    <row r="606" spans="6:12" ht="15.75" customHeight="1" x14ac:dyDescent="0.2">
      <c r="F606" s="114"/>
      <c r="L606" s="114"/>
    </row>
    <row r="607" spans="6:12" ht="15.75" customHeight="1" x14ac:dyDescent="0.2">
      <c r="F607" s="114"/>
      <c r="L607" s="114"/>
    </row>
    <row r="608" spans="6:12" ht="15.75" customHeight="1" x14ac:dyDescent="0.2">
      <c r="F608" s="114"/>
      <c r="L608" s="114"/>
    </row>
    <row r="609" spans="6:12" ht="15.75" customHeight="1" x14ac:dyDescent="0.2">
      <c r="F609" s="114"/>
      <c r="L609" s="114"/>
    </row>
    <row r="610" spans="6:12" ht="15.75" customHeight="1" x14ac:dyDescent="0.2">
      <c r="F610" s="114"/>
      <c r="L610" s="114"/>
    </row>
    <row r="611" spans="6:12" ht="15.75" customHeight="1" x14ac:dyDescent="0.2">
      <c r="F611" s="114"/>
      <c r="L611" s="114"/>
    </row>
    <row r="612" spans="6:12" ht="15.75" customHeight="1" x14ac:dyDescent="0.2">
      <c r="F612" s="114"/>
      <c r="L612" s="114"/>
    </row>
    <row r="613" spans="6:12" ht="15.75" customHeight="1" x14ac:dyDescent="0.2">
      <c r="F613" s="114"/>
      <c r="L613" s="114"/>
    </row>
    <row r="614" spans="6:12" ht="15.75" customHeight="1" x14ac:dyDescent="0.2">
      <c r="F614" s="114"/>
      <c r="L614" s="114"/>
    </row>
    <row r="615" spans="6:12" ht="15.75" customHeight="1" x14ac:dyDescent="0.2">
      <c r="F615" s="114"/>
      <c r="L615" s="114"/>
    </row>
    <row r="616" spans="6:12" ht="15.75" customHeight="1" x14ac:dyDescent="0.2">
      <c r="F616" s="114"/>
      <c r="L616" s="114"/>
    </row>
    <row r="617" spans="6:12" ht="15.75" customHeight="1" x14ac:dyDescent="0.2">
      <c r="F617" s="114"/>
      <c r="L617" s="114"/>
    </row>
    <row r="618" spans="6:12" ht="15.75" customHeight="1" x14ac:dyDescent="0.2">
      <c r="F618" s="114"/>
      <c r="L618" s="114"/>
    </row>
    <row r="619" spans="6:12" ht="15.75" customHeight="1" x14ac:dyDescent="0.2">
      <c r="F619" s="114"/>
      <c r="L619" s="114"/>
    </row>
    <row r="620" spans="6:12" ht="15.75" customHeight="1" x14ac:dyDescent="0.2">
      <c r="F620" s="114"/>
      <c r="L620" s="114"/>
    </row>
    <row r="621" spans="6:12" ht="15.75" customHeight="1" x14ac:dyDescent="0.2">
      <c r="F621" s="114"/>
      <c r="L621" s="114"/>
    </row>
    <row r="622" spans="6:12" ht="15.75" customHeight="1" x14ac:dyDescent="0.2">
      <c r="F622" s="114"/>
      <c r="L622" s="114"/>
    </row>
    <row r="623" spans="6:12" ht="15.75" customHeight="1" x14ac:dyDescent="0.2">
      <c r="F623" s="114"/>
      <c r="L623" s="114"/>
    </row>
    <row r="624" spans="6:12" ht="15.75" customHeight="1" x14ac:dyDescent="0.2">
      <c r="F624" s="114"/>
      <c r="L624" s="114"/>
    </row>
    <row r="625" spans="6:12" ht="15.75" customHeight="1" x14ac:dyDescent="0.2">
      <c r="F625" s="114"/>
      <c r="L625" s="114"/>
    </row>
    <row r="626" spans="6:12" ht="15.75" customHeight="1" x14ac:dyDescent="0.2">
      <c r="F626" s="114"/>
      <c r="L626" s="114"/>
    </row>
    <row r="627" spans="6:12" ht="15.75" customHeight="1" x14ac:dyDescent="0.2">
      <c r="F627" s="114"/>
      <c r="L627" s="114"/>
    </row>
    <row r="628" spans="6:12" ht="15.75" customHeight="1" x14ac:dyDescent="0.2">
      <c r="F628" s="114"/>
      <c r="L628" s="114"/>
    </row>
    <row r="629" spans="6:12" ht="15.75" customHeight="1" x14ac:dyDescent="0.2">
      <c r="F629" s="114"/>
      <c r="L629" s="114"/>
    </row>
    <row r="630" spans="6:12" ht="15.75" customHeight="1" x14ac:dyDescent="0.2">
      <c r="F630" s="114"/>
      <c r="L630" s="114"/>
    </row>
    <row r="631" spans="6:12" ht="15.75" customHeight="1" x14ac:dyDescent="0.2">
      <c r="F631" s="114"/>
      <c r="L631" s="114"/>
    </row>
    <row r="632" spans="6:12" ht="15.75" customHeight="1" x14ac:dyDescent="0.2">
      <c r="F632" s="114"/>
      <c r="L632" s="114"/>
    </row>
    <row r="633" spans="6:12" ht="15.75" customHeight="1" x14ac:dyDescent="0.2">
      <c r="F633" s="114"/>
      <c r="L633" s="114"/>
    </row>
    <row r="634" spans="6:12" ht="15.75" customHeight="1" x14ac:dyDescent="0.2">
      <c r="F634" s="114"/>
      <c r="L634" s="114"/>
    </row>
    <row r="635" spans="6:12" ht="15.75" customHeight="1" x14ac:dyDescent="0.2">
      <c r="F635" s="114"/>
      <c r="L635" s="114"/>
    </row>
    <row r="636" spans="6:12" ht="15.75" customHeight="1" x14ac:dyDescent="0.2">
      <c r="F636" s="114"/>
      <c r="L636" s="114"/>
    </row>
    <row r="637" spans="6:12" ht="15.75" customHeight="1" x14ac:dyDescent="0.2">
      <c r="F637" s="114"/>
      <c r="L637" s="114"/>
    </row>
    <row r="638" spans="6:12" ht="15.75" customHeight="1" x14ac:dyDescent="0.2">
      <c r="F638" s="114"/>
      <c r="L638" s="114"/>
    </row>
    <row r="639" spans="6:12" ht="15.75" customHeight="1" x14ac:dyDescent="0.2">
      <c r="F639" s="114"/>
      <c r="L639" s="114"/>
    </row>
    <row r="640" spans="6:12" ht="15.75" customHeight="1" x14ac:dyDescent="0.2">
      <c r="F640" s="114"/>
      <c r="L640" s="114"/>
    </row>
    <row r="641" spans="6:12" ht="15.75" customHeight="1" x14ac:dyDescent="0.2">
      <c r="F641" s="114"/>
      <c r="L641" s="114"/>
    </row>
    <row r="642" spans="6:12" ht="15.75" customHeight="1" x14ac:dyDescent="0.2">
      <c r="F642" s="114"/>
      <c r="L642" s="114"/>
    </row>
    <row r="643" spans="6:12" ht="15.75" customHeight="1" x14ac:dyDescent="0.2">
      <c r="F643" s="114"/>
      <c r="L643" s="114"/>
    </row>
    <row r="644" spans="6:12" ht="15.75" customHeight="1" x14ac:dyDescent="0.2">
      <c r="F644" s="114"/>
      <c r="L644" s="114"/>
    </row>
    <row r="645" spans="6:12" ht="15.75" customHeight="1" x14ac:dyDescent="0.2">
      <c r="F645" s="114"/>
      <c r="L645" s="114"/>
    </row>
    <row r="646" spans="6:12" ht="15.75" customHeight="1" x14ac:dyDescent="0.2">
      <c r="F646" s="114"/>
      <c r="L646" s="114"/>
    </row>
    <row r="647" spans="6:12" ht="15.75" customHeight="1" x14ac:dyDescent="0.2">
      <c r="F647" s="114"/>
      <c r="L647" s="114"/>
    </row>
    <row r="648" spans="6:12" ht="15.75" customHeight="1" x14ac:dyDescent="0.2">
      <c r="F648" s="114"/>
      <c r="L648" s="114"/>
    </row>
    <row r="649" spans="6:12" ht="15.75" customHeight="1" x14ac:dyDescent="0.2">
      <c r="F649" s="114"/>
      <c r="L649" s="114"/>
    </row>
    <row r="650" spans="6:12" ht="15.75" customHeight="1" x14ac:dyDescent="0.2">
      <c r="F650" s="114"/>
      <c r="L650" s="114"/>
    </row>
    <row r="651" spans="6:12" ht="15.75" customHeight="1" x14ac:dyDescent="0.2">
      <c r="F651" s="114"/>
      <c r="L651" s="114"/>
    </row>
    <row r="652" spans="6:12" ht="15.75" customHeight="1" x14ac:dyDescent="0.2">
      <c r="F652" s="114"/>
      <c r="L652" s="114"/>
    </row>
    <row r="653" spans="6:12" ht="15.75" customHeight="1" x14ac:dyDescent="0.2">
      <c r="F653" s="114"/>
      <c r="L653" s="114"/>
    </row>
    <row r="654" spans="6:12" ht="15.75" customHeight="1" x14ac:dyDescent="0.2">
      <c r="F654" s="114"/>
      <c r="L654" s="114"/>
    </row>
    <row r="655" spans="6:12" ht="15.75" customHeight="1" x14ac:dyDescent="0.2">
      <c r="F655" s="114"/>
      <c r="L655" s="114"/>
    </row>
    <row r="656" spans="6:12" ht="15.75" customHeight="1" x14ac:dyDescent="0.2">
      <c r="F656" s="114"/>
      <c r="L656" s="114"/>
    </row>
    <row r="657" spans="6:12" ht="15.75" customHeight="1" x14ac:dyDescent="0.2">
      <c r="F657" s="114"/>
      <c r="L657" s="114"/>
    </row>
    <row r="658" spans="6:12" ht="15.75" customHeight="1" x14ac:dyDescent="0.2">
      <c r="F658" s="114"/>
      <c r="L658" s="114"/>
    </row>
    <row r="659" spans="6:12" ht="15.75" customHeight="1" x14ac:dyDescent="0.2">
      <c r="F659" s="114"/>
      <c r="L659" s="114"/>
    </row>
    <row r="660" spans="6:12" ht="15.75" customHeight="1" x14ac:dyDescent="0.2">
      <c r="F660" s="114"/>
      <c r="L660" s="114"/>
    </row>
    <row r="661" spans="6:12" ht="15.75" customHeight="1" x14ac:dyDescent="0.2">
      <c r="F661" s="114"/>
      <c r="L661" s="114"/>
    </row>
    <row r="662" spans="6:12" ht="15.75" customHeight="1" x14ac:dyDescent="0.2">
      <c r="F662" s="114"/>
      <c r="L662" s="114"/>
    </row>
    <row r="663" spans="6:12" ht="15.75" customHeight="1" x14ac:dyDescent="0.2">
      <c r="F663" s="114"/>
      <c r="L663" s="114"/>
    </row>
    <row r="664" spans="6:12" ht="15.75" customHeight="1" x14ac:dyDescent="0.2">
      <c r="F664" s="114"/>
      <c r="L664" s="114"/>
    </row>
    <row r="665" spans="6:12" ht="15.75" customHeight="1" x14ac:dyDescent="0.2">
      <c r="F665" s="114"/>
      <c r="L665" s="114"/>
    </row>
    <row r="666" spans="6:12" ht="15.75" customHeight="1" x14ac:dyDescent="0.2">
      <c r="F666" s="114"/>
      <c r="L666" s="114"/>
    </row>
    <row r="667" spans="6:12" ht="15.75" customHeight="1" x14ac:dyDescent="0.2">
      <c r="F667" s="114"/>
      <c r="L667" s="114"/>
    </row>
    <row r="668" spans="6:12" ht="15.75" customHeight="1" x14ac:dyDescent="0.2">
      <c r="F668" s="114"/>
      <c r="L668" s="114"/>
    </row>
    <row r="669" spans="6:12" ht="15.75" customHeight="1" x14ac:dyDescent="0.2">
      <c r="F669" s="114"/>
      <c r="L669" s="114"/>
    </row>
    <row r="670" spans="6:12" ht="15.75" customHeight="1" x14ac:dyDescent="0.2">
      <c r="F670" s="114"/>
      <c r="L670" s="114"/>
    </row>
    <row r="671" spans="6:12" ht="15.75" customHeight="1" x14ac:dyDescent="0.2">
      <c r="F671" s="114"/>
      <c r="L671" s="114"/>
    </row>
    <row r="672" spans="6:12" ht="15.75" customHeight="1" x14ac:dyDescent="0.2">
      <c r="F672" s="114"/>
      <c r="L672" s="114"/>
    </row>
    <row r="673" spans="6:12" ht="15.75" customHeight="1" x14ac:dyDescent="0.2">
      <c r="F673" s="114"/>
      <c r="L673" s="114"/>
    </row>
    <row r="674" spans="6:12" ht="15.75" customHeight="1" x14ac:dyDescent="0.2">
      <c r="F674" s="114"/>
      <c r="L674" s="114"/>
    </row>
    <row r="675" spans="6:12" ht="15.75" customHeight="1" x14ac:dyDescent="0.2">
      <c r="F675" s="114"/>
      <c r="L675" s="114"/>
    </row>
    <row r="676" spans="6:12" ht="15.75" customHeight="1" x14ac:dyDescent="0.2">
      <c r="F676" s="114"/>
      <c r="L676" s="114"/>
    </row>
    <row r="677" spans="6:12" ht="15.75" customHeight="1" x14ac:dyDescent="0.2">
      <c r="F677" s="114"/>
      <c r="L677" s="114"/>
    </row>
    <row r="678" spans="6:12" ht="15.75" customHeight="1" x14ac:dyDescent="0.2">
      <c r="F678" s="114"/>
      <c r="L678" s="114"/>
    </row>
    <row r="679" spans="6:12" ht="15.75" customHeight="1" x14ac:dyDescent="0.2">
      <c r="F679" s="114"/>
      <c r="L679" s="114"/>
    </row>
    <row r="680" spans="6:12" ht="15.75" customHeight="1" x14ac:dyDescent="0.2">
      <c r="F680" s="114"/>
      <c r="L680" s="114"/>
    </row>
    <row r="681" spans="6:12" ht="15.75" customHeight="1" x14ac:dyDescent="0.2">
      <c r="F681" s="114"/>
      <c r="L681" s="114"/>
    </row>
    <row r="682" spans="6:12" ht="15.75" customHeight="1" x14ac:dyDescent="0.2">
      <c r="F682" s="114"/>
      <c r="L682" s="114"/>
    </row>
    <row r="683" spans="6:12" ht="15.75" customHeight="1" x14ac:dyDescent="0.2">
      <c r="F683" s="114"/>
      <c r="L683" s="114"/>
    </row>
    <row r="684" spans="6:12" ht="15.75" customHeight="1" x14ac:dyDescent="0.2">
      <c r="F684" s="114"/>
      <c r="L684" s="114"/>
    </row>
    <row r="685" spans="6:12" ht="15.75" customHeight="1" x14ac:dyDescent="0.2">
      <c r="F685" s="114"/>
      <c r="L685" s="114"/>
    </row>
    <row r="686" spans="6:12" ht="15.75" customHeight="1" x14ac:dyDescent="0.2">
      <c r="F686" s="114"/>
      <c r="L686" s="114"/>
    </row>
    <row r="687" spans="6:12" ht="15.75" customHeight="1" x14ac:dyDescent="0.2">
      <c r="F687" s="114"/>
      <c r="L687" s="114"/>
    </row>
    <row r="688" spans="6:12" ht="15.75" customHeight="1" x14ac:dyDescent="0.2">
      <c r="F688" s="114"/>
      <c r="L688" s="114"/>
    </row>
    <row r="689" spans="6:12" ht="15.75" customHeight="1" x14ac:dyDescent="0.2">
      <c r="F689" s="114"/>
      <c r="L689" s="114"/>
    </row>
    <row r="690" spans="6:12" ht="15.75" customHeight="1" x14ac:dyDescent="0.2">
      <c r="F690" s="114"/>
      <c r="L690" s="114"/>
    </row>
    <row r="691" spans="6:12" ht="15.75" customHeight="1" x14ac:dyDescent="0.2">
      <c r="F691" s="114"/>
      <c r="L691" s="114"/>
    </row>
    <row r="692" spans="6:12" ht="15.75" customHeight="1" x14ac:dyDescent="0.2">
      <c r="F692" s="114"/>
      <c r="L692" s="114"/>
    </row>
    <row r="693" spans="6:12" ht="15.75" customHeight="1" x14ac:dyDescent="0.2">
      <c r="F693" s="114"/>
      <c r="L693" s="114"/>
    </row>
    <row r="694" spans="6:12" ht="15.75" customHeight="1" x14ac:dyDescent="0.2">
      <c r="F694" s="114"/>
      <c r="L694" s="114"/>
    </row>
    <row r="695" spans="6:12" ht="15.75" customHeight="1" x14ac:dyDescent="0.2">
      <c r="F695" s="114"/>
      <c r="L695" s="114"/>
    </row>
    <row r="696" spans="6:12" ht="15.75" customHeight="1" x14ac:dyDescent="0.2">
      <c r="F696" s="114"/>
      <c r="L696" s="114"/>
    </row>
    <row r="697" spans="6:12" ht="15.75" customHeight="1" x14ac:dyDescent="0.2">
      <c r="F697" s="114"/>
      <c r="L697" s="114"/>
    </row>
    <row r="698" spans="6:12" ht="15.75" customHeight="1" x14ac:dyDescent="0.2">
      <c r="F698" s="114"/>
      <c r="L698" s="114"/>
    </row>
    <row r="699" spans="6:12" ht="15.75" customHeight="1" x14ac:dyDescent="0.2">
      <c r="F699" s="114"/>
      <c r="L699" s="114"/>
    </row>
    <row r="700" spans="6:12" ht="15.75" customHeight="1" x14ac:dyDescent="0.2">
      <c r="F700" s="114"/>
      <c r="L700" s="114"/>
    </row>
    <row r="701" spans="6:12" ht="15.75" customHeight="1" x14ac:dyDescent="0.2">
      <c r="F701" s="114"/>
      <c r="L701" s="114"/>
    </row>
    <row r="702" spans="6:12" ht="15.75" customHeight="1" x14ac:dyDescent="0.2">
      <c r="F702" s="114"/>
      <c r="L702" s="114"/>
    </row>
    <row r="703" spans="6:12" ht="15.75" customHeight="1" x14ac:dyDescent="0.2">
      <c r="F703" s="114"/>
      <c r="L703" s="114"/>
    </row>
    <row r="704" spans="6:12" ht="15.75" customHeight="1" x14ac:dyDescent="0.2">
      <c r="F704" s="114"/>
      <c r="L704" s="114"/>
    </row>
    <row r="705" spans="6:12" ht="15.75" customHeight="1" x14ac:dyDescent="0.2">
      <c r="F705" s="114"/>
      <c r="L705" s="114"/>
    </row>
    <row r="706" spans="6:12" ht="15.75" customHeight="1" x14ac:dyDescent="0.2">
      <c r="F706" s="114"/>
      <c r="L706" s="114"/>
    </row>
    <row r="707" spans="6:12" ht="15.75" customHeight="1" x14ac:dyDescent="0.2">
      <c r="F707" s="114"/>
      <c r="L707" s="114"/>
    </row>
    <row r="708" spans="6:12" ht="15.75" customHeight="1" x14ac:dyDescent="0.2">
      <c r="F708" s="114"/>
      <c r="L708" s="114"/>
    </row>
    <row r="709" spans="6:12" ht="15.75" customHeight="1" x14ac:dyDescent="0.2">
      <c r="F709" s="114"/>
      <c r="L709" s="114"/>
    </row>
    <row r="710" spans="6:12" ht="15.75" customHeight="1" x14ac:dyDescent="0.2">
      <c r="F710" s="114"/>
      <c r="L710" s="114"/>
    </row>
    <row r="711" spans="6:12" ht="15.75" customHeight="1" x14ac:dyDescent="0.2">
      <c r="F711" s="114"/>
      <c r="L711" s="114"/>
    </row>
    <row r="712" spans="6:12" ht="15.75" customHeight="1" x14ac:dyDescent="0.2">
      <c r="F712" s="114"/>
      <c r="L712" s="114"/>
    </row>
    <row r="713" spans="6:12" ht="15.75" customHeight="1" x14ac:dyDescent="0.2">
      <c r="F713" s="114"/>
      <c r="L713" s="114"/>
    </row>
    <row r="714" spans="6:12" ht="15.75" customHeight="1" x14ac:dyDescent="0.2">
      <c r="F714" s="114"/>
      <c r="L714" s="114"/>
    </row>
    <row r="715" spans="6:12" ht="15.75" customHeight="1" x14ac:dyDescent="0.2">
      <c r="F715" s="114"/>
      <c r="L715" s="114"/>
    </row>
    <row r="716" spans="6:12" ht="15.75" customHeight="1" x14ac:dyDescent="0.2">
      <c r="F716" s="114"/>
      <c r="L716" s="114"/>
    </row>
    <row r="717" spans="6:12" ht="15.75" customHeight="1" x14ac:dyDescent="0.2">
      <c r="F717" s="114"/>
      <c r="L717" s="114"/>
    </row>
    <row r="718" spans="6:12" ht="15.75" customHeight="1" x14ac:dyDescent="0.2">
      <c r="F718" s="114"/>
      <c r="L718" s="114"/>
    </row>
    <row r="719" spans="6:12" ht="15.75" customHeight="1" x14ac:dyDescent="0.2">
      <c r="F719" s="114"/>
      <c r="L719" s="114"/>
    </row>
    <row r="720" spans="6:12" ht="15.75" customHeight="1" x14ac:dyDescent="0.2">
      <c r="F720" s="114"/>
      <c r="L720" s="114"/>
    </row>
    <row r="721" spans="6:12" ht="15.75" customHeight="1" x14ac:dyDescent="0.2">
      <c r="F721" s="114"/>
      <c r="L721" s="114"/>
    </row>
    <row r="722" spans="6:12" ht="15.75" customHeight="1" x14ac:dyDescent="0.2">
      <c r="F722" s="114"/>
      <c r="L722" s="114"/>
    </row>
    <row r="723" spans="6:12" ht="15.75" customHeight="1" x14ac:dyDescent="0.2">
      <c r="F723" s="114"/>
      <c r="L723" s="114"/>
    </row>
    <row r="724" spans="6:12" ht="15.75" customHeight="1" x14ac:dyDescent="0.2">
      <c r="F724" s="114"/>
      <c r="L724" s="114"/>
    </row>
    <row r="725" spans="6:12" ht="15.75" customHeight="1" x14ac:dyDescent="0.2">
      <c r="F725" s="114"/>
      <c r="L725" s="114"/>
    </row>
    <row r="726" spans="6:12" ht="15.75" customHeight="1" x14ac:dyDescent="0.2">
      <c r="F726" s="114"/>
      <c r="L726" s="114"/>
    </row>
    <row r="727" spans="6:12" ht="15.75" customHeight="1" x14ac:dyDescent="0.2">
      <c r="F727" s="114"/>
      <c r="L727" s="114"/>
    </row>
    <row r="728" spans="6:12" ht="15.75" customHeight="1" x14ac:dyDescent="0.2">
      <c r="F728" s="114"/>
      <c r="L728" s="114"/>
    </row>
    <row r="729" spans="6:12" ht="15.75" customHeight="1" x14ac:dyDescent="0.2">
      <c r="F729" s="114"/>
      <c r="L729" s="114"/>
    </row>
    <row r="730" spans="6:12" ht="15.75" customHeight="1" x14ac:dyDescent="0.2">
      <c r="F730" s="114"/>
      <c r="L730" s="114"/>
    </row>
    <row r="731" spans="6:12" ht="15.75" customHeight="1" x14ac:dyDescent="0.2">
      <c r="F731" s="114"/>
      <c r="L731" s="114"/>
    </row>
    <row r="732" spans="6:12" ht="15.75" customHeight="1" x14ac:dyDescent="0.2">
      <c r="F732" s="114"/>
      <c r="L732" s="114"/>
    </row>
    <row r="733" spans="6:12" ht="15.75" customHeight="1" x14ac:dyDescent="0.2">
      <c r="F733" s="114"/>
      <c r="L733" s="114"/>
    </row>
    <row r="734" spans="6:12" ht="15.75" customHeight="1" x14ac:dyDescent="0.2">
      <c r="F734" s="114"/>
      <c r="L734" s="114"/>
    </row>
    <row r="735" spans="6:12" ht="15.75" customHeight="1" x14ac:dyDescent="0.2">
      <c r="F735" s="114"/>
      <c r="L735" s="114"/>
    </row>
    <row r="736" spans="6:12" ht="15.75" customHeight="1" x14ac:dyDescent="0.2">
      <c r="F736" s="114"/>
      <c r="L736" s="114"/>
    </row>
    <row r="737" spans="6:12" ht="15.75" customHeight="1" x14ac:dyDescent="0.2">
      <c r="F737" s="114"/>
      <c r="L737" s="114"/>
    </row>
    <row r="738" spans="6:12" ht="15.75" customHeight="1" x14ac:dyDescent="0.2">
      <c r="F738" s="114"/>
      <c r="L738" s="114"/>
    </row>
    <row r="739" spans="6:12" ht="15.75" customHeight="1" x14ac:dyDescent="0.2">
      <c r="F739" s="114"/>
      <c r="L739" s="114"/>
    </row>
    <row r="740" spans="6:12" ht="15.75" customHeight="1" x14ac:dyDescent="0.2">
      <c r="F740" s="114"/>
      <c r="L740" s="114"/>
    </row>
    <row r="741" spans="6:12" ht="15.75" customHeight="1" x14ac:dyDescent="0.2">
      <c r="F741" s="114"/>
      <c r="L741" s="114"/>
    </row>
    <row r="742" spans="6:12" ht="15.75" customHeight="1" x14ac:dyDescent="0.2">
      <c r="F742" s="114"/>
      <c r="L742" s="114"/>
    </row>
    <row r="743" spans="6:12" ht="15.75" customHeight="1" x14ac:dyDescent="0.2">
      <c r="F743" s="114"/>
      <c r="L743" s="114"/>
    </row>
    <row r="744" spans="6:12" ht="15.75" customHeight="1" x14ac:dyDescent="0.2">
      <c r="F744" s="114"/>
      <c r="L744" s="114"/>
    </row>
    <row r="745" spans="6:12" ht="15.75" customHeight="1" x14ac:dyDescent="0.2">
      <c r="F745" s="114"/>
      <c r="L745" s="114"/>
    </row>
    <row r="746" spans="6:12" ht="15.75" customHeight="1" x14ac:dyDescent="0.2">
      <c r="F746" s="114"/>
      <c r="L746" s="114"/>
    </row>
    <row r="747" spans="6:12" ht="15.75" customHeight="1" x14ac:dyDescent="0.2">
      <c r="F747" s="114"/>
      <c r="L747" s="114"/>
    </row>
    <row r="748" spans="6:12" ht="15.75" customHeight="1" x14ac:dyDescent="0.2">
      <c r="F748" s="114"/>
      <c r="L748" s="114"/>
    </row>
    <row r="749" spans="6:12" ht="15.75" customHeight="1" x14ac:dyDescent="0.2">
      <c r="F749" s="114"/>
      <c r="L749" s="114"/>
    </row>
    <row r="750" spans="6:12" ht="15.75" customHeight="1" x14ac:dyDescent="0.2">
      <c r="F750" s="114"/>
      <c r="L750" s="114"/>
    </row>
    <row r="751" spans="6:12" ht="15.75" customHeight="1" x14ac:dyDescent="0.2">
      <c r="F751" s="114"/>
      <c r="L751" s="114"/>
    </row>
    <row r="752" spans="6:12" ht="15.75" customHeight="1" x14ac:dyDescent="0.2">
      <c r="F752" s="114"/>
      <c r="L752" s="114"/>
    </row>
    <row r="753" spans="6:12" ht="15.75" customHeight="1" x14ac:dyDescent="0.2">
      <c r="F753" s="114"/>
      <c r="L753" s="114"/>
    </row>
    <row r="754" spans="6:12" ht="15.75" customHeight="1" x14ac:dyDescent="0.2">
      <c r="F754" s="114"/>
      <c r="L754" s="114"/>
    </row>
    <row r="755" spans="6:12" ht="15.75" customHeight="1" x14ac:dyDescent="0.2">
      <c r="F755" s="114"/>
      <c r="L755" s="114"/>
    </row>
    <row r="756" spans="6:12" ht="15.75" customHeight="1" x14ac:dyDescent="0.2">
      <c r="F756" s="114"/>
      <c r="L756" s="114"/>
    </row>
    <row r="757" spans="6:12" ht="15.75" customHeight="1" x14ac:dyDescent="0.2">
      <c r="F757" s="114"/>
      <c r="L757" s="114"/>
    </row>
    <row r="758" spans="6:12" ht="15.75" customHeight="1" x14ac:dyDescent="0.2">
      <c r="F758" s="114"/>
      <c r="L758" s="114"/>
    </row>
    <row r="759" spans="6:12" ht="15.75" customHeight="1" x14ac:dyDescent="0.2">
      <c r="F759" s="114"/>
      <c r="L759" s="114"/>
    </row>
    <row r="760" spans="6:12" ht="15.75" customHeight="1" x14ac:dyDescent="0.2">
      <c r="F760" s="114"/>
      <c r="L760" s="114"/>
    </row>
    <row r="761" spans="6:12" ht="15.75" customHeight="1" x14ac:dyDescent="0.2">
      <c r="F761" s="114"/>
      <c r="L761" s="114"/>
    </row>
    <row r="762" spans="6:12" ht="15.75" customHeight="1" x14ac:dyDescent="0.2">
      <c r="F762" s="114"/>
      <c r="L762" s="114"/>
    </row>
    <row r="763" spans="6:12" ht="15.75" customHeight="1" x14ac:dyDescent="0.2">
      <c r="F763" s="114"/>
      <c r="L763" s="114"/>
    </row>
    <row r="764" spans="6:12" ht="15.75" customHeight="1" x14ac:dyDescent="0.2">
      <c r="F764" s="114"/>
      <c r="L764" s="114"/>
    </row>
    <row r="765" spans="6:12" ht="15.75" customHeight="1" x14ac:dyDescent="0.2">
      <c r="F765" s="114"/>
      <c r="L765" s="114"/>
    </row>
    <row r="766" spans="6:12" ht="15.75" customHeight="1" x14ac:dyDescent="0.2">
      <c r="F766" s="114"/>
      <c r="L766" s="114"/>
    </row>
    <row r="767" spans="6:12" ht="15.75" customHeight="1" x14ac:dyDescent="0.2">
      <c r="F767" s="114"/>
      <c r="L767" s="114"/>
    </row>
    <row r="768" spans="6:12" ht="15.75" customHeight="1" x14ac:dyDescent="0.2">
      <c r="F768" s="114"/>
      <c r="L768" s="114"/>
    </row>
    <row r="769" spans="6:12" ht="15.75" customHeight="1" x14ac:dyDescent="0.2">
      <c r="F769" s="114"/>
      <c r="L769" s="114"/>
    </row>
    <row r="770" spans="6:12" ht="15.75" customHeight="1" x14ac:dyDescent="0.2">
      <c r="F770" s="114"/>
      <c r="L770" s="114"/>
    </row>
    <row r="771" spans="6:12" ht="15.75" customHeight="1" x14ac:dyDescent="0.2">
      <c r="F771" s="114"/>
      <c r="L771" s="114"/>
    </row>
    <row r="772" spans="6:12" ht="15.75" customHeight="1" x14ac:dyDescent="0.2">
      <c r="F772" s="114"/>
      <c r="L772" s="114"/>
    </row>
    <row r="773" spans="6:12" ht="15.75" customHeight="1" x14ac:dyDescent="0.2">
      <c r="F773" s="114"/>
      <c r="L773" s="114"/>
    </row>
    <row r="774" spans="6:12" ht="15.75" customHeight="1" x14ac:dyDescent="0.2">
      <c r="F774" s="114"/>
      <c r="L774" s="114"/>
    </row>
    <row r="775" spans="6:12" ht="15.75" customHeight="1" x14ac:dyDescent="0.2">
      <c r="F775" s="114"/>
      <c r="L775" s="114"/>
    </row>
    <row r="776" spans="6:12" ht="15.75" customHeight="1" x14ac:dyDescent="0.2">
      <c r="F776" s="114"/>
      <c r="L776" s="114"/>
    </row>
    <row r="777" spans="6:12" ht="15.75" customHeight="1" x14ac:dyDescent="0.2">
      <c r="F777" s="114"/>
      <c r="L777" s="114"/>
    </row>
    <row r="778" spans="6:12" ht="15.75" customHeight="1" x14ac:dyDescent="0.2">
      <c r="F778" s="114"/>
      <c r="L778" s="114"/>
    </row>
    <row r="779" spans="6:12" ht="15.75" customHeight="1" x14ac:dyDescent="0.2">
      <c r="F779" s="114"/>
      <c r="L779" s="114"/>
    </row>
    <row r="780" spans="6:12" ht="15.75" customHeight="1" x14ac:dyDescent="0.2">
      <c r="F780" s="114"/>
      <c r="L780" s="114"/>
    </row>
    <row r="781" spans="6:12" ht="15.75" customHeight="1" x14ac:dyDescent="0.2">
      <c r="F781" s="114"/>
      <c r="L781" s="114"/>
    </row>
    <row r="782" spans="6:12" ht="15.75" customHeight="1" x14ac:dyDescent="0.2">
      <c r="F782" s="114"/>
      <c r="L782" s="114"/>
    </row>
    <row r="783" spans="6:12" ht="15.75" customHeight="1" x14ac:dyDescent="0.2">
      <c r="F783" s="114"/>
      <c r="L783" s="114"/>
    </row>
    <row r="784" spans="6:12" ht="15.75" customHeight="1" x14ac:dyDescent="0.2">
      <c r="F784" s="114"/>
      <c r="L784" s="114"/>
    </row>
    <row r="785" spans="6:12" ht="15.75" customHeight="1" x14ac:dyDescent="0.2">
      <c r="F785" s="114"/>
      <c r="L785" s="114"/>
    </row>
    <row r="786" spans="6:12" ht="15.75" customHeight="1" x14ac:dyDescent="0.2">
      <c r="F786" s="114"/>
      <c r="L786" s="114"/>
    </row>
    <row r="787" spans="6:12" ht="15.75" customHeight="1" x14ac:dyDescent="0.2">
      <c r="F787" s="114"/>
      <c r="L787" s="114"/>
    </row>
    <row r="788" spans="6:12" ht="15.75" customHeight="1" x14ac:dyDescent="0.2">
      <c r="F788" s="114"/>
      <c r="L788" s="114"/>
    </row>
    <row r="789" spans="6:12" ht="15.75" customHeight="1" x14ac:dyDescent="0.2">
      <c r="F789" s="114"/>
      <c r="L789" s="114"/>
    </row>
    <row r="790" spans="6:12" ht="15.75" customHeight="1" x14ac:dyDescent="0.2">
      <c r="F790" s="114"/>
      <c r="L790" s="114"/>
    </row>
    <row r="791" spans="6:12" ht="15.75" customHeight="1" x14ac:dyDescent="0.2">
      <c r="F791" s="114"/>
      <c r="L791" s="114"/>
    </row>
    <row r="792" spans="6:12" ht="15.75" customHeight="1" x14ac:dyDescent="0.2">
      <c r="F792" s="114"/>
      <c r="L792" s="114"/>
    </row>
    <row r="793" spans="6:12" ht="15.75" customHeight="1" x14ac:dyDescent="0.2">
      <c r="F793" s="114"/>
      <c r="L793" s="114"/>
    </row>
    <row r="794" spans="6:12" ht="15.75" customHeight="1" x14ac:dyDescent="0.2">
      <c r="F794" s="114"/>
      <c r="L794" s="114"/>
    </row>
    <row r="795" spans="6:12" ht="15.75" customHeight="1" x14ac:dyDescent="0.2">
      <c r="F795" s="114"/>
      <c r="L795" s="114"/>
    </row>
    <row r="796" spans="6:12" ht="15.75" customHeight="1" x14ac:dyDescent="0.2">
      <c r="F796" s="114"/>
      <c r="L796" s="114"/>
    </row>
    <row r="797" spans="6:12" ht="15.75" customHeight="1" x14ac:dyDescent="0.2">
      <c r="F797" s="114"/>
      <c r="L797" s="114"/>
    </row>
    <row r="798" spans="6:12" ht="15.75" customHeight="1" x14ac:dyDescent="0.2">
      <c r="F798" s="114"/>
      <c r="L798" s="114"/>
    </row>
    <row r="799" spans="6:12" ht="15.75" customHeight="1" x14ac:dyDescent="0.2">
      <c r="F799" s="114"/>
      <c r="L799" s="114"/>
    </row>
    <row r="800" spans="6:12" ht="15.75" customHeight="1" x14ac:dyDescent="0.2">
      <c r="F800" s="114"/>
      <c r="L800" s="114"/>
    </row>
    <row r="801" spans="6:12" ht="15.75" customHeight="1" x14ac:dyDescent="0.2">
      <c r="F801" s="114"/>
      <c r="L801" s="114"/>
    </row>
    <row r="802" spans="6:12" ht="15.75" customHeight="1" x14ac:dyDescent="0.2">
      <c r="F802" s="114"/>
      <c r="L802" s="114"/>
    </row>
    <row r="803" spans="6:12" ht="15.75" customHeight="1" x14ac:dyDescent="0.2">
      <c r="F803" s="114"/>
      <c r="L803" s="114"/>
    </row>
    <row r="804" spans="6:12" ht="15.75" customHeight="1" x14ac:dyDescent="0.2">
      <c r="F804" s="114"/>
      <c r="L804" s="114"/>
    </row>
    <row r="805" spans="6:12" ht="15.75" customHeight="1" x14ac:dyDescent="0.2">
      <c r="F805" s="114"/>
      <c r="L805" s="114"/>
    </row>
    <row r="806" spans="6:12" ht="15.75" customHeight="1" x14ac:dyDescent="0.2">
      <c r="F806" s="114"/>
      <c r="L806" s="114"/>
    </row>
    <row r="807" spans="6:12" ht="15.75" customHeight="1" x14ac:dyDescent="0.2">
      <c r="F807" s="114"/>
      <c r="L807" s="114"/>
    </row>
    <row r="808" spans="6:12" ht="15.75" customHeight="1" x14ac:dyDescent="0.2">
      <c r="F808" s="114"/>
      <c r="L808" s="114"/>
    </row>
    <row r="809" spans="6:12" ht="15.75" customHeight="1" x14ac:dyDescent="0.2">
      <c r="F809" s="114"/>
      <c r="L809" s="114"/>
    </row>
    <row r="810" spans="6:12" ht="15.75" customHeight="1" x14ac:dyDescent="0.2">
      <c r="F810" s="114"/>
      <c r="L810" s="114"/>
    </row>
    <row r="811" spans="6:12" ht="15.75" customHeight="1" x14ac:dyDescent="0.2">
      <c r="F811" s="114"/>
      <c r="L811" s="114"/>
    </row>
    <row r="812" spans="6:12" ht="15.75" customHeight="1" x14ac:dyDescent="0.2">
      <c r="F812" s="114"/>
      <c r="L812" s="114"/>
    </row>
    <row r="813" spans="6:12" ht="15.75" customHeight="1" x14ac:dyDescent="0.2">
      <c r="F813" s="114"/>
      <c r="L813" s="114"/>
    </row>
    <row r="814" spans="6:12" ht="15.75" customHeight="1" x14ac:dyDescent="0.2">
      <c r="F814" s="114"/>
      <c r="L814" s="114"/>
    </row>
    <row r="815" spans="6:12" ht="15.75" customHeight="1" x14ac:dyDescent="0.2">
      <c r="F815" s="114"/>
      <c r="L815" s="114"/>
    </row>
    <row r="816" spans="6:12" ht="15.75" customHeight="1" x14ac:dyDescent="0.2">
      <c r="F816" s="114"/>
      <c r="L816" s="114"/>
    </row>
    <row r="817" spans="6:12" ht="15.75" customHeight="1" x14ac:dyDescent="0.2">
      <c r="F817" s="114"/>
      <c r="L817" s="114"/>
    </row>
    <row r="818" spans="6:12" ht="15.75" customHeight="1" x14ac:dyDescent="0.2">
      <c r="F818" s="114"/>
      <c r="L818" s="114"/>
    </row>
    <row r="819" spans="6:12" ht="15.75" customHeight="1" x14ac:dyDescent="0.2">
      <c r="F819" s="114"/>
      <c r="L819" s="114"/>
    </row>
    <row r="820" spans="6:12" ht="15.75" customHeight="1" x14ac:dyDescent="0.2">
      <c r="F820" s="114"/>
      <c r="L820" s="114"/>
    </row>
    <row r="821" spans="6:12" ht="15.75" customHeight="1" x14ac:dyDescent="0.2">
      <c r="F821" s="114"/>
      <c r="L821" s="114"/>
    </row>
    <row r="822" spans="6:12" ht="15.75" customHeight="1" x14ac:dyDescent="0.2">
      <c r="F822" s="114"/>
      <c r="L822" s="114"/>
    </row>
    <row r="823" spans="6:12" ht="15.75" customHeight="1" x14ac:dyDescent="0.2">
      <c r="F823" s="114"/>
      <c r="L823" s="114"/>
    </row>
    <row r="824" spans="6:12" ht="15.75" customHeight="1" x14ac:dyDescent="0.2">
      <c r="F824" s="114"/>
      <c r="L824" s="114"/>
    </row>
    <row r="825" spans="6:12" ht="15.75" customHeight="1" x14ac:dyDescent="0.2">
      <c r="F825" s="114"/>
      <c r="L825" s="114"/>
    </row>
    <row r="826" spans="6:12" ht="15.75" customHeight="1" x14ac:dyDescent="0.2">
      <c r="F826" s="114"/>
      <c r="L826" s="114"/>
    </row>
    <row r="827" spans="6:12" ht="15.75" customHeight="1" x14ac:dyDescent="0.2">
      <c r="F827" s="114"/>
      <c r="L827" s="114"/>
    </row>
    <row r="828" spans="6:12" ht="15.75" customHeight="1" x14ac:dyDescent="0.2">
      <c r="F828" s="114"/>
      <c r="L828" s="114"/>
    </row>
    <row r="829" spans="6:12" ht="15.75" customHeight="1" x14ac:dyDescent="0.2">
      <c r="F829" s="114"/>
      <c r="L829" s="114"/>
    </row>
    <row r="830" spans="6:12" ht="15.75" customHeight="1" x14ac:dyDescent="0.2">
      <c r="F830" s="114"/>
      <c r="L830" s="114"/>
    </row>
    <row r="831" spans="6:12" ht="15.75" customHeight="1" x14ac:dyDescent="0.2">
      <c r="F831" s="114"/>
      <c r="L831" s="114"/>
    </row>
    <row r="832" spans="6:12" ht="15.75" customHeight="1" x14ac:dyDescent="0.2">
      <c r="F832" s="114"/>
      <c r="L832" s="114"/>
    </row>
    <row r="833" spans="6:12" ht="15.75" customHeight="1" x14ac:dyDescent="0.2">
      <c r="F833" s="114"/>
      <c r="L833" s="114"/>
    </row>
    <row r="834" spans="6:12" ht="15.75" customHeight="1" x14ac:dyDescent="0.2">
      <c r="F834" s="114"/>
      <c r="L834" s="114"/>
    </row>
    <row r="835" spans="6:12" ht="15.75" customHeight="1" x14ac:dyDescent="0.2">
      <c r="F835" s="114"/>
      <c r="L835" s="114"/>
    </row>
    <row r="836" spans="6:12" ht="15.75" customHeight="1" x14ac:dyDescent="0.2">
      <c r="F836" s="114"/>
      <c r="L836" s="114"/>
    </row>
    <row r="837" spans="6:12" ht="15.75" customHeight="1" x14ac:dyDescent="0.2">
      <c r="F837" s="114"/>
      <c r="L837" s="114"/>
    </row>
    <row r="838" spans="6:12" ht="15.75" customHeight="1" x14ac:dyDescent="0.2">
      <c r="F838" s="114"/>
      <c r="L838" s="114"/>
    </row>
    <row r="839" spans="6:12" ht="15.75" customHeight="1" x14ac:dyDescent="0.2">
      <c r="F839" s="114"/>
      <c r="L839" s="114"/>
    </row>
    <row r="840" spans="6:12" ht="15.75" customHeight="1" x14ac:dyDescent="0.2">
      <c r="F840" s="114"/>
      <c r="L840" s="114"/>
    </row>
    <row r="841" spans="6:12" ht="15.75" customHeight="1" x14ac:dyDescent="0.2">
      <c r="F841" s="114"/>
      <c r="L841" s="114"/>
    </row>
    <row r="842" spans="6:12" ht="15.75" customHeight="1" x14ac:dyDescent="0.2">
      <c r="F842" s="114"/>
      <c r="L842" s="114"/>
    </row>
    <row r="843" spans="6:12" ht="15.75" customHeight="1" x14ac:dyDescent="0.2">
      <c r="F843" s="114"/>
      <c r="L843" s="114"/>
    </row>
    <row r="844" spans="6:12" ht="15.75" customHeight="1" x14ac:dyDescent="0.2">
      <c r="F844" s="114"/>
      <c r="L844" s="114"/>
    </row>
    <row r="845" spans="6:12" ht="15.75" customHeight="1" x14ac:dyDescent="0.2">
      <c r="F845" s="114"/>
      <c r="L845" s="114"/>
    </row>
    <row r="846" spans="6:12" ht="15.75" customHeight="1" x14ac:dyDescent="0.2">
      <c r="F846" s="114"/>
      <c r="L846" s="114"/>
    </row>
    <row r="847" spans="6:12" ht="15.75" customHeight="1" x14ac:dyDescent="0.2">
      <c r="F847" s="114"/>
      <c r="L847" s="114"/>
    </row>
    <row r="848" spans="6:12" ht="15.75" customHeight="1" x14ac:dyDescent="0.2">
      <c r="F848" s="114"/>
      <c r="L848" s="114"/>
    </row>
    <row r="849" spans="6:12" ht="15.75" customHeight="1" x14ac:dyDescent="0.2">
      <c r="F849" s="114"/>
      <c r="L849" s="114"/>
    </row>
    <row r="850" spans="6:12" ht="15.75" customHeight="1" x14ac:dyDescent="0.2">
      <c r="F850" s="114"/>
      <c r="L850" s="114"/>
    </row>
    <row r="851" spans="6:12" ht="15.75" customHeight="1" x14ac:dyDescent="0.2">
      <c r="F851" s="114"/>
      <c r="L851" s="114"/>
    </row>
    <row r="852" spans="6:12" ht="15.75" customHeight="1" x14ac:dyDescent="0.2">
      <c r="F852" s="114"/>
      <c r="L852" s="114"/>
    </row>
    <row r="853" spans="6:12" ht="15.75" customHeight="1" x14ac:dyDescent="0.2">
      <c r="F853" s="114"/>
      <c r="L853" s="114"/>
    </row>
    <row r="854" spans="6:12" ht="15.75" customHeight="1" x14ac:dyDescent="0.2">
      <c r="F854" s="114"/>
      <c r="L854" s="114"/>
    </row>
    <row r="855" spans="6:12" ht="15.75" customHeight="1" x14ac:dyDescent="0.2">
      <c r="F855" s="114"/>
      <c r="L855" s="114"/>
    </row>
    <row r="856" spans="6:12" ht="15.75" customHeight="1" x14ac:dyDescent="0.2">
      <c r="F856" s="114"/>
      <c r="L856" s="114"/>
    </row>
    <row r="857" spans="6:12" ht="15.75" customHeight="1" x14ac:dyDescent="0.2">
      <c r="F857" s="114"/>
      <c r="L857" s="114"/>
    </row>
    <row r="858" spans="6:12" ht="15.75" customHeight="1" x14ac:dyDescent="0.2">
      <c r="F858" s="114"/>
      <c r="L858" s="114"/>
    </row>
    <row r="859" spans="6:12" ht="15.75" customHeight="1" x14ac:dyDescent="0.2">
      <c r="F859" s="114"/>
      <c r="L859" s="114"/>
    </row>
    <row r="860" spans="6:12" ht="15.75" customHeight="1" x14ac:dyDescent="0.2">
      <c r="F860" s="114"/>
      <c r="L860" s="114"/>
    </row>
    <row r="861" spans="6:12" ht="15.75" customHeight="1" x14ac:dyDescent="0.2">
      <c r="F861" s="114"/>
      <c r="L861" s="114"/>
    </row>
    <row r="862" spans="6:12" ht="15.75" customHeight="1" x14ac:dyDescent="0.2">
      <c r="F862" s="114"/>
      <c r="L862" s="114"/>
    </row>
    <row r="863" spans="6:12" ht="15.75" customHeight="1" x14ac:dyDescent="0.2">
      <c r="F863" s="114"/>
      <c r="L863" s="114"/>
    </row>
    <row r="864" spans="6:12" ht="15.75" customHeight="1" x14ac:dyDescent="0.2">
      <c r="F864" s="114"/>
      <c r="L864" s="114"/>
    </row>
    <row r="865" spans="6:12" ht="15.75" customHeight="1" x14ac:dyDescent="0.2">
      <c r="F865" s="114"/>
      <c r="L865" s="114"/>
    </row>
    <row r="866" spans="6:12" ht="15.75" customHeight="1" x14ac:dyDescent="0.2">
      <c r="F866" s="114"/>
      <c r="L866" s="114"/>
    </row>
    <row r="867" spans="6:12" ht="15.75" customHeight="1" x14ac:dyDescent="0.2">
      <c r="F867" s="114"/>
      <c r="L867" s="114"/>
    </row>
    <row r="868" spans="6:12" ht="15.75" customHeight="1" x14ac:dyDescent="0.2">
      <c r="F868" s="114"/>
      <c r="L868" s="114"/>
    </row>
    <row r="869" spans="6:12" ht="15.75" customHeight="1" x14ac:dyDescent="0.2">
      <c r="F869" s="114"/>
      <c r="L869" s="114"/>
    </row>
    <row r="870" spans="6:12" ht="15.75" customHeight="1" x14ac:dyDescent="0.2">
      <c r="F870" s="114"/>
      <c r="L870" s="114"/>
    </row>
    <row r="871" spans="6:12" ht="15.75" customHeight="1" x14ac:dyDescent="0.2">
      <c r="F871" s="114"/>
      <c r="L871" s="114"/>
    </row>
    <row r="872" spans="6:12" ht="15.75" customHeight="1" x14ac:dyDescent="0.2">
      <c r="F872" s="114"/>
      <c r="L872" s="114"/>
    </row>
    <row r="873" spans="6:12" ht="15.75" customHeight="1" x14ac:dyDescent="0.2">
      <c r="F873" s="114"/>
      <c r="L873" s="114"/>
    </row>
    <row r="874" spans="6:12" ht="15.75" customHeight="1" x14ac:dyDescent="0.2">
      <c r="F874" s="114"/>
      <c r="L874" s="114"/>
    </row>
    <row r="875" spans="6:12" ht="15.75" customHeight="1" x14ac:dyDescent="0.2">
      <c r="F875" s="114"/>
      <c r="L875" s="114"/>
    </row>
    <row r="876" spans="6:12" ht="15.75" customHeight="1" x14ac:dyDescent="0.2">
      <c r="F876" s="114"/>
      <c r="L876" s="114"/>
    </row>
    <row r="877" spans="6:12" ht="15.75" customHeight="1" x14ac:dyDescent="0.2">
      <c r="F877" s="114"/>
      <c r="L877" s="114"/>
    </row>
    <row r="878" spans="6:12" ht="15.75" customHeight="1" x14ac:dyDescent="0.2">
      <c r="F878" s="114"/>
      <c r="L878" s="114"/>
    </row>
    <row r="879" spans="6:12" ht="15.75" customHeight="1" x14ac:dyDescent="0.2">
      <c r="F879" s="114"/>
      <c r="L879" s="114"/>
    </row>
    <row r="880" spans="6:12" ht="15.75" customHeight="1" x14ac:dyDescent="0.2">
      <c r="F880" s="114"/>
      <c r="L880" s="114"/>
    </row>
    <row r="881" spans="6:12" ht="15.75" customHeight="1" x14ac:dyDescent="0.2">
      <c r="F881" s="114"/>
      <c r="L881" s="114"/>
    </row>
    <row r="882" spans="6:12" ht="15.75" customHeight="1" x14ac:dyDescent="0.2">
      <c r="F882" s="114"/>
      <c r="L882" s="114"/>
    </row>
    <row r="883" spans="6:12" ht="15.75" customHeight="1" x14ac:dyDescent="0.2">
      <c r="F883" s="114"/>
      <c r="L883" s="114"/>
    </row>
    <row r="884" spans="6:12" ht="15.75" customHeight="1" x14ac:dyDescent="0.2">
      <c r="F884" s="114"/>
      <c r="L884" s="114"/>
    </row>
    <row r="885" spans="6:12" ht="15.75" customHeight="1" x14ac:dyDescent="0.2">
      <c r="F885" s="114"/>
      <c r="L885" s="114"/>
    </row>
    <row r="886" spans="6:12" ht="15.75" customHeight="1" x14ac:dyDescent="0.2">
      <c r="F886" s="114"/>
      <c r="L886" s="114"/>
    </row>
    <row r="887" spans="6:12" ht="15.75" customHeight="1" x14ac:dyDescent="0.2">
      <c r="F887" s="114"/>
      <c r="L887" s="114"/>
    </row>
    <row r="888" spans="6:12" ht="15.75" customHeight="1" x14ac:dyDescent="0.2">
      <c r="F888" s="114"/>
      <c r="L888" s="114"/>
    </row>
    <row r="889" spans="6:12" ht="15.75" customHeight="1" x14ac:dyDescent="0.2">
      <c r="F889" s="114"/>
      <c r="L889" s="114"/>
    </row>
    <row r="890" spans="6:12" ht="15.75" customHeight="1" x14ac:dyDescent="0.2">
      <c r="F890" s="114"/>
      <c r="L890" s="114"/>
    </row>
    <row r="891" spans="6:12" ht="15.75" customHeight="1" x14ac:dyDescent="0.2">
      <c r="F891" s="114"/>
      <c r="L891" s="114"/>
    </row>
    <row r="892" spans="6:12" ht="15.75" customHeight="1" x14ac:dyDescent="0.2">
      <c r="F892" s="114"/>
      <c r="L892" s="114"/>
    </row>
    <row r="893" spans="6:12" ht="15.75" customHeight="1" x14ac:dyDescent="0.2">
      <c r="F893" s="114"/>
      <c r="L893" s="114"/>
    </row>
    <row r="894" spans="6:12" ht="15.75" customHeight="1" x14ac:dyDescent="0.2">
      <c r="F894" s="114"/>
      <c r="L894" s="114"/>
    </row>
    <row r="895" spans="6:12" ht="15.75" customHeight="1" x14ac:dyDescent="0.2">
      <c r="F895" s="114"/>
      <c r="L895" s="114"/>
    </row>
    <row r="896" spans="6:12" ht="15.75" customHeight="1" x14ac:dyDescent="0.2">
      <c r="F896" s="114"/>
      <c r="L896" s="114"/>
    </row>
    <row r="897" spans="6:12" ht="15.75" customHeight="1" x14ac:dyDescent="0.2">
      <c r="F897" s="114"/>
      <c r="L897" s="114"/>
    </row>
    <row r="898" spans="6:12" ht="15.75" customHeight="1" x14ac:dyDescent="0.2">
      <c r="F898" s="114"/>
      <c r="L898" s="114"/>
    </row>
    <row r="899" spans="6:12" ht="15.75" customHeight="1" x14ac:dyDescent="0.2">
      <c r="F899" s="114"/>
      <c r="L899" s="114"/>
    </row>
    <row r="900" spans="6:12" ht="15.75" customHeight="1" x14ac:dyDescent="0.2">
      <c r="F900" s="114"/>
      <c r="L900" s="114"/>
    </row>
    <row r="901" spans="6:12" ht="15.75" customHeight="1" x14ac:dyDescent="0.2">
      <c r="F901" s="114"/>
      <c r="L901" s="114"/>
    </row>
    <row r="902" spans="6:12" ht="15.75" customHeight="1" x14ac:dyDescent="0.2">
      <c r="F902" s="114"/>
      <c r="L902" s="114"/>
    </row>
    <row r="903" spans="6:12" ht="15.75" customHeight="1" x14ac:dyDescent="0.2">
      <c r="F903" s="114"/>
      <c r="L903" s="114"/>
    </row>
    <row r="904" spans="6:12" ht="15.75" customHeight="1" x14ac:dyDescent="0.2">
      <c r="F904" s="114"/>
      <c r="L904" s="114"/>
    </row>
    <row r="905" spans="6:12" ht="15.75" customHeight="1" x14ac:dyDescent="0.2">
      <c r="F905" s="114"/>
      <c r="L905" s="114"/>
    </row>
    <row r="906" spans="6:12" ht="15.75" customHeight="1" x14ac:dyDescent="0.2">
      <c r="F906" s="114"/>
      <c r="L906" s="114"/>
    </row>
    <row r="907" spans="6:12" ht="15.75" customHeight="1" x14ac:dyDescent="0.2">
      <c r="F907" s="114"/>
      <c r="L907" s="114"/>
    </row>
    <row r="908" spans="6:12" ht="15.75" customHeight="1" x14ac:dyDescent="0.2">
      <c r="F908" s="114"/>
      <c r="L908" s="114"/>
    </row>
    <row r="909" spans="6:12" ht="15.75" customHeight="1" x14ac:dyDescent="0.2">
      <c r="F909" s="114"/>
      <c r="L909" s="114"/>
    </row>
    <row r="910" spans="6:12" ht="15.75" customHeight="1" x14ac:dyDescent="0.2">
      <c r="F910" s="114"/>
      <c r="L910" s="114"/>
    </row>
    <row r="911" spans="6:12" ht="15.75" customHeight="1" x14ac:dyDescent="0.2">
      <c r="F911" s="114"/>
      <c r="L911" s="114"/>
    </row>
    <row r="912" spans="6:12" ht="15.75" customHeight="1" x14ac:dyDescent="0.2">
      <c r="F912" s="114"/>
      <c r="L912" s="114"/>
    </row>
    <row r="913" spans="6:12" ht="15.75" customHeight="1" x14ac:dyDescent="0.2">
      <c r="F913" s="114"/>
      <c r="L913" s="114"/>
    </row>
    <row r="914" spans="6:12" ht="15.75" customHeight="1" x14ac:dyDescent="0.2">
      <c r="F914" s="114"/>
      <c r="L914" s="114"/>
    </row>
    <row r="915" spans="6:12" ht="15.75" customHeight="1" x14ac:dyDescent="0.2">
      <c r="F915" s="114"/>
      <c r="L915" s="114"/>
    </row>
    <row r="916" spans="6:12" ht="15.75" customHeight="1" x14ac:dyDescent="0.2">
      <c r="F916" s="114"/>
      <c r="L916" s="114"/>
    </row>
    <row r="917" spans="6:12" ht="15.75" customHeight="1" x14ac:dyDescent="0.2">
      <c r="F917" s="114"/>
      <c r="L917" s="114"/>
    </row>
    <row r="918" spans="6:12" ht="15.75" customHeight="1" x14ac:dyDescent="0.2">
      <c r="F918" s="114"/>
      <c r="L918" s="114"/>
    </row>
    <row r="919" spans="6:12" ht="15.75" customHeight="1" x14ac:dyDescent="0.2">
      <c r="F919" s="114"/>
      <c r="L919" s="114"/>
    </row>
    <row r="920" spans="6:12" ht="15.75" customHeight="1" x14ac:dyDescent="0.2">
      <c r="F920" s="114"/>
      <c r="L920" s="114"/>
    </row>
    <row r="921" spans="6:12" ht="15.75" customHeight="1" x14ac:dyDescent="0.2">
      <c r="F921" s="114"/>
      <c r="L921" s="114"/>
    </row>
    <row r="922" spans="6:12" ht="15.75" customHeight="1" x14ac:dyDescent="0.2">
      <c r="F922" s="114"/>
      <c r="L922" s="114"/>
    </row>
    <row r="923" spans="6:12" ht="15.75" customHeight="1" x14ac:dyDescent="0.2">
      <c r="F923" s="114"/>
      <c r="L923" s="114"/>
    </row>
    <row r="924" spans="6:12" ht="15.75" customHeight="1" x14ac:dyDescent="0.2">
      <c r="F924" s="114"/>
      <c r="L924" s="114"/>
    </row>
    <row r="925" spans="6:12" ht="15.75" customHeight="1" x14ac:dyDescent="0.2">
      <c r="F925" s="114"/>
      <c r="L925" s="114"/>
    </row>
    <row r="926" spans="6:12" ht="15.75" customHeight="1" x14ac:dyDescent="0.2">
      <c r="F926" s="114"/>
      <c r="L926" s="114"/>
    </row>
    <row r="927" spans="6:12" ht="15.75" customHeight="1" x14ac:dyDescent="0.2">
      <c r="F927" s="114"/>
      <c r="L927" s="114"/>
    </row>
    <row r="928" spans="6:12" ht="15.75" customHeight="1" x14ac:dyDescent="0.2">
      <c r="F928" s="114"/>
      <c r="L928" s="114"/>
    </row>
    <row r="929" spans="6:12" ht="15.75" customHeight="1" x14ac:dyDescent="0.2">
      <c r="F929" s="114"/>
      <c r="L929" s="114"/>
    </row>
    <row r="930" spans="6:12" ht="15.75" customHeight="1" x14ac:dyDescent="0.2">
      <c r="F930" s="114"/>
      <c r="L930" s="114"/>
    </row>
    <row r="931" spans="6:12" ht="15.75" customHeight="1" x14ac:dyDescent="0.2">
      <c r="F931" s="114"/>
      <c r="L931" s="114"/>
    </row>
    <row r="932" spans="6:12" ht="15.75" customHeight="1" x14ac:dyDescent="0.2">
      <c r="F932" s="114"/>
      <c r="L932" s="114"/>
    </row>
    <row r="933" spans="6:12" ht="15.75" customHeight="1" x14ac:dyDescent="0.2">
      <c r="F933" s="114"/>
      <c r="L933" s="114"/>
    </row>
    <row r="934" spans="6:12" ht="15.75" customHeight="1" x14ac:dyDescent="0.2">
      <c r="F934" s="114"/>
      <c r="L934" s="114"/>
    </row>
    <row r="935" spans="6:12" ht="15.75" customHeight="1" x14ac:dyDescent="0.2">
      <c r="F935" s="114"/>
      <c r="L935" s="114"/>
    </row>
    <row r="936" spans="6:12" ht="15.75" customHeight="1" x14ac:dyDescent="0.2">
      <c r="F936" s="114"/>
      <c r="L936" s="114"/>
    </row>
    <row r="937" spans="6:12" ht="15.75" customHeight="1" x14ac:dyDescent="0.2">
      <c r="F937" s="114"/>
      <c r="L937" s="114"/>
    </row>
    <row r="938" spans="6:12" ht="15.75" customHeight="1" x14ac:dyDescent="0.2">
      <c r="F938" s="114"/>
      <c r="L938" s="114"/>
    </row>
    <row r="939" spans="6:12" ht="15.75" customHeight="1" x14ac:dyDescent="0.2">
      <c r="F939" s="114"/>
      <c r="L939" s="114"/>
    </row>
    <row r="940" spans="6:12" ht="15.75" customHeight="1" x14ac:dyDescent="0.2">
      <c r="F940" s="114"/>
      <c r="L940" s="114"/>
    </row>
    <row r="941" spans="6:12" ht="15.75" customHeight="1" x14ac:dyDescent="0.2">
      <c r="F941" s="114"/>
      <c r="L941" s="114"/>
    </row>
    <row r="942" spans="6:12" ht="15.75" customHeight="1" x14ac:dyDescent="0.2">
      <c r="F942" s="114"/>
      <c r="L942" s="114"/>
    </row>
    <row r="943" spans="6:12" ht="15.75" customHeight="1" x14ac:dyDescent="0.2">
      <c r="F943" s="114"/>
      <c r="L943" s="114"/>
    </row>
    <row r="944" spans="6:12" ht="15.75" customHeight="1" x14ac:dyDescent="0.2">
      <c r="F944" s="114"/>
      <c r="L944" s="114"/>
    </row>
    <row r="945" spans="6:12" ht="15.75" customHeight="1" x14ac:dyDescent="0.2">
      <c r="F945" s="114"/>
      <c r="L945" s="114"/>
    </row>
    <row r="946" spans="6:12" ht="15.75" customHeight="1" x14ac:dyDescent="0.2">
      <c r="F946" s="114"/>
      <c r="L946" s="114"/>
    </row>
    <row r="947" spans="6:12" ht="15.75" customHeight="1" x14ac:dyDescent="0.2">
      <c r="F947" s="114"/>
      <c r="L947" s="114"/>
    </row>
    <row r="948" spans="6:12" ht="15.75" customHeight="1" x14ac:dyDescent="0.2">
      <c r="F948" s="114"/>
      <c r="L948" s="114"/>
    </row>
    <row r="949" spans="6:12" ht="15.75" customHeight="1" x14ac:dyDescent="0.2">
      <c r="F949" s="114"/>
      <c r="L949" s="114"/>
    </row>
    <row r="950" spans="6:12" ht="15.75" customHeight="1" x14ac:dyDescent="0.2">
      <c r="F950" s="114"/>
      <c r="L950" s="114"/>
    </row>
    <row r="951" spans="6:12" ht="15.75" customHeight="1" x14ac:dyDescent="0.2">
      <c r="F951" s="114"/>
      <c r="L951" s="114"/>
    </row>
    <row r="952" spans="6:12" ht="15.75" customHeight="1" x14ac:dyDescent="0.2">
      <c r="F952" s="114"/>
      <c r="L952" s="114"/>
    </row>
    <row r="953" spans="6:12" ht="15.75" customHeight="1" x14ac:dyDescent="0.2">
      <c r="F953" s="114"/>
      <c r="L953" s="114"/>
    </row>
    <row r="954" spans="6:12" ht="15.75" customHeight="1" x14ac:dyDescent="0.2">
      <c r="F954" s="114"/>
      <c r="L954" s="114"/>
    </row>
    <row r="955" spans="6:12" ht="15.75" customHeight="1" x14ac:dyDescent="0.2">
      <c r="F955" s="114"/>
      <c r="L955" s="114"/>
    </row>
    <row r="956" spans="6:12" ht="15.75" customHeight="1" x14ac:dyDescent="0.2">
      <c r="F956" s="114"/>
      <c r="L956" s="114"/>
    </row>
    <row r="957" spans="6:12" ht="15.75" customHeight="1" x14ac:dyDescent="0.2">
      <c r="F957" s="114"/>
      <c r="L957" s="114"/>
    </row>
    <row r="958" spans="6:12" ht="15.75" customHeight="1" x14ac:dyDescent="0.2">
      <c r="F958" s="114"/>
      <c r="L958" s="114"/>
    </row>
    <row r="959" spans="6:12" ht="15.75" customHeight="1" x14ac:dyDescent="0.2">
      <c r="F959" s="114"/>
      <c r="L959" s="114"/>
    </row>
    <row r="960" spans="6:12" ht="15.75" customHeight="1" x14ac:dyDescent="0.2">
      <c r="F960" s="114"/>
      <c r="L960" s="114"/>
    </row>
    <row r="961" spans="6:12" ht="15.75" customHeight="1" x14ac:dyDescent="0.2">
      <c r="F961" s="114"/>
      <c r="L961" s="114"/>
    </row>
    <row r="962" spans="6:12" ht="15.75" customHeight="1" x14ac:dyDescent="0.2">
      <c r="F962" s="114"/>
      <c r="L962" s="114"/>
    </row>
    <row r="963" spans="6:12" ht="15.75" customHeight="1" x14ac:dyDescent="0.2">
      <c r="F963" s="114"/>
      <c r="L963" s="114"/>
    </row>
    <row r="964" spans="6:12" ht="15.75" customHeight="1" x14ac:dyDescent="0.2">
      <c r="F964" s="114"/>
      <c r="L964" s="114"/>
    </row>
    <row r="965" spans="6:12" ht="15.75" customHeight="1" x14ac:dyDescent="0.2">
      <c r="F965" s="114"/>
      <c r="L965" s="114"/>
    </row>
    <row r="966" spans="6:12" ht="15.75" customHeight="1" x14ac:dyDescent="0.2">
      <c r="F966" s="114"/>
      <c r="L966" s="114"/>
    </row>
    <row r="967" spans="6:12" ht="15.75" customHeight="1" x14ac:dyDescent="0.2">
      <c r="F967" s="114"/>
      <c r="L967" s="114"/>
    </row>
    <row r="968" spans="6:12" ht="15.75" customHeight="1" x14ac:dyDescent="0.2">
      <c r="F968" s="114"/>
      <c r="L968" s="114"/>
    </row>
    <row r="969" spans="6:12" ht="15.75" customHeight="1" x14ac:dyDescent="0.2">
      <c r="F969" s="114"/>
      <c r="L969" s="114"/>
    </row>
    <row r="970" spans="6:12" ht="15.75" customHeight="1" x14ac:dyDescent="0.2">
      <c r="F970" s="114"/>
      <c r="L970" s="114"/>
    </row>
    <row r="971" spans="6:12" ht="15.75" customHeight="1" x14ac:dyDescent="0.2">
      <c r="F971" s="114"/>
      <c r="L971" s="114"/>
    </row>
    <row r="972" spans="6:12" ht="15.75" customHeight="1" x14ac:dyDescent="0.2">
      <c r="F972" s="114"/>
      <c r="L972" s="114"/>
    </row>
    <row r="973" spans="6:12" ht="15.75" customHeight="1" x14ac:dyDescent="0.2">
      <c r="F973" s="114"/>
      <c r="L973" s="114"/>
    </row>
    <row r="974" spans="6:12" ht="15.75" customHeight="1" x14ac:dyDescent="0.2">
      <c r="F974" s="114"/>
      <c r="L974" s="114"/>
    </row>
    <row r="975" spans="6:12" ht="15.75" customHeight="1" x14ac:dyDescent="0.2">
      <c r="F975" s="114"/>
      <c r="L975" s="114"/>
    </row>
    <row r="976" spans="6:12" ht="15.75" customHeight="1" x14ac:dyDescent="0.2">
      <c r="F976" s="114"/>
      <c r="L976" s="114"/>
    </row>
    <row r="977" spans="6:12" ht="15.75" customHeight="1" x14ac:dyDescent="0.2">
      <c r="F977" s="114"/>
      <c r="L977" s="114"/>
    </row>
    <row r="978" spans="6:12" ht="15.75" customHeight="1" x14ac:dyDescent="0.2">
      <c r="F978" s="114"/>
      <c r="L978" s="114"/>
    </row>
    <row r="979" spans="6:12" ht="15.75" customHeight="1" x14ac:dyDescent="0.2">
      <c r="F979" s="114"/>
      <c r="L979" s="114"/>
    </row>
    <row r="980" spans="6:12" ht="15.75" customHeight="1" x14ac:dyDescent="0.2">
      <c r="F980" s="114"/>
      <c r="L980" s="114"/>
    </row>
    <row r="981" spans="6:12" ht="15.75" customHeight="1" x14ac:dyDescent="0.2">
      <c r="F981" s="114"/>
      <c r="L981" s="114"/>
    </row>
    <row r="982" spans="6:12" ht="15.75" customHeight="1" x14ac:dyDescent="0.2">
      <c r="F982" s="114"/>
      <c r="L982" s="114"/>
    </row>
    <row r="983" spans="6:12" ht="15.75" customHeight="1" x14ac:dyDescent="0.2">
      <c r="F983" s="114"/>
      <c r="L983" s="114"/>
    </row>
    <row r="984" spans="6:12" ht="15.75" customHeight="1" x14ac:dyDescent="0.2">
      <c r="F984" s="114"/>
      <c r="L984" s="114"/>
    </row>
    <row r="985" spans="6:12" ht="15.75" customHeight="1" x14ac:dyDescent="0.2">
      <c r="F985" s="114"/>
      <c r="L985" s="114"/>
    </row>
  </sheetData>
  <mergeCells count="4">
    <mergeCell ref="B4:B5"/>
    <mergeCell ref="C4:C5"/>
    <mergeCell ref="D4:I4"/>
    <mergeCell ref="J4:O4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1000"/>
  <sheetViews>
    <sheetView workbookViewId="0">
      <pane xSplit="3" ySplit="5" topLeftCell="D104" activePane="bottomRight" state="frozen"/>
      <selection pane="topRight" activeCell="D1" sqref="D1"/>
      <selection pane="bottomLeft" activeCell="A6" sqref="A6"/>
      <selection pane="bottomRight" activeCell="J121" sqref="J121"/>
    </sheetView>
  </sheetViews>
  <sheetFormatPr defaultColWidth="12.5703125" defaultRowHeight="15" customHeight="1" x14ac:dyDescent="0.2"/>
  <cols>
    <col min="1" max="1" width="5.5703125" customWidth="1"/>
    <col min="2" max="2" width="9.7109375" customWidth="1"/>
    <col min="3" max="3" width="41.42578125" customWidth="1"/>
    <col min="4" max="4" width="12.5703125" customWidth="1"/>
    <col min="5" max="5" width="9.5703125" hidden="1" customWidth="1"/>
    <col min="6" max="6" width="13.42578125" hidden="1" customWidth="1"/>
    <col min="7" max="7" width="8.85546875" hidden="1" customWidth="1"/>
    <col min="8" max="8" width="11.85546875" hidden="1" customWidth="1"/>
    <col min="9" max="9" width="13" hidden="1" customWidth="1"/>
    <col min="10" max="10" width="12.5703125" customWidth="1"/>
    <col min="11" max="11" width="9.5703125" hidden="1" customWidth="1"/>
    <col min="12" max="12" width="13.42578125" hidden="1" customWidth="1"/>
    <col min="13" max="13" width="8.85546875" hidden="1" customWidth="1"/>
    <col min="14" max="14" width="11.85546875" hidden="1" customWidth="1"/>
    <col min="15" max="15" width="13" hidden="1" customWidth="1"/>
    <col min="16" max="17" width="12.5703125" customWidth="1"/>
  </cols>
  <sheetData>
    <row r="1" spans="1:17" ht="15.75" customHeight="1" x14ac:dyDescent="0.25">
      <c r="A1" s="244"/>
      <c r="B1" s="245" t="s">
        <v>0</v>
      </c>
      <c r="C1" s="244"/>
      <c r="D1" s="244"/>
      <c r="E1" s="640"/>
      <c r="F1" s="244"/>
      <c r="G1" s="244"/>
      <c r="H1" s="244"/>
      <c r="I1" s="244"/>
      <c r="J1" s="244"/>
      <c r="K1" s="640"/>
      <c r="L1" s="244"/>
      <c r="M1" s="244"/>
      <c r="N1" s="244"/>
      <c r="O1" s="244"/>
      <c r="P1" s="244"/>
      <c r="Q1" s="244"/>
    </row>
    <row r="2" spans="1:17" ht="15.75" customHeight="1" x14ac:dyDescent="0.25">
      <c r="A2" s="244"/>
      <c r="B2" s="246" t="s">
        <v>328</v>
      </c>
      <c r="C2" s="244"/>
      <c r="D2" s="244"/>
      <c r="E2" s="640"/>
      <c r="F2" s="244"/>
      <c r="G2" s="244"/>
      <c r="H2" s="244"/>
      <c r="I2" s="244"/>
      <c r="J2" s="244"/>
      <c r="K2" s="640"/>
      <c r="L2" s="244"/>
      <c r="M2" s="244"/>
      <c r="N2" s="244"/>
      <c r="O2" s="244"/>
      <c r="P2" s="244"/>
      <c r="Q2" s="244"/>
    </row>
    <row r="3" spans="1:17" ht="15.75" customHeight="1" x14ac:dyDescent="0.25">
      <c r="A3" s="244"/>
      <c r="B3" s="244"/>
      <c r="C3" s="244"/>
      <c r="D3" s="244"/>
      <c r="E3" s="640"/>
      <c r="F3" s="244"/>
      <c r="G3" s="244"/>
      <c r="H3" s="244"/>
      <c r="I3" s="244"/>
      <c r="J3" s="244"/>
      <c r="K3" s="640"/>
      <c r="L3" s="244"/>
      <c r="M3" s="244"/>
      <c r="N3" s="244"/>
      <c r="O3" s="244"/>
      <c r="P3" s="244"/>
      <c r="Q3" s="244"/>
    </row>
    <row r="4" spans="1:17" ht="15.75" customHeight="1" x14ac:dyDescent="0.25">
      <c r="A4" s="244"/>
      <c r="B4" s="960" t="s">
        <v>167</v>
      </c>
      <c r="C4" s="961" t="s">
        <v>46</v>
      </c>
      <c r="D4" s="971" t="s">
        <v>168</v>
      </c>
      <c r="E4" s="969"/>
      <c r="F4" s="969"/>
      <c r="G4" s="969"/>
      <c r="H4" s="969"/>
      <c r="I4" s="972"/>
      <c r="J4" s="973" t="s">
        <v>168</v>
      </c>
      <c r="K4" s="930"/>
      <c r="L4" s="930"/>
      <c r="M4" s="930"/>
      <c r="N4" s="930"/>
      <c r="O4" s="931"/>
      <c r="P4" s="305"/>
      <c r="Q4" s="305"/>
    </row>
    <row r="5" spans="1:17" ht="15.75" customHeight="1" x14ac:dyDescent="0.2">
      <c r="A5" s="247"/>
      <c r="B5" s="957"/>
      <c r="C5" s="959"/>
      <c r="D5" s="577" t="s">
        <v>170</v>
      </c>
      <c r="E5" s="641" t="s">
        <v>18</v>
      </c>
      <c r="F5" s="579" t="s">
        <v>19</v>
      </c>
      <c r="G5" s="578" t="s">
        <v>18</v>
      </c>
      <c r="H5" s="578" t="s">
        <v>172</v>
      </c>
      <c r="I5" s="642" t="s">
        <v>172</v>
      </c>
      <c r="J5" s="643" t="s">
        <v>170</v>
      </c>
      <c r="K5" s="644" t="s">
        <v>18</v>
      </c>
      <c r="L5" s="643" t="s">
        <v>19</v>
      </c>
      <c r="M5" s="645" t="s">
        <v>18</v>
      </c>
      <c r="N5" s="645" t="s">
        <v>172</v>
      </c>
      <c r="O5" s="645" t="s">
        <v>172</v>
      </c>
      <c r="P5" s="646"/>
      <c r="Q5" s="646"/>
    </row>
    <row r="6" spans="1:17" ht="15.75" hidden="1" customHeight="1" x14ac:dyDescent="0.25">
      <c r="A6" s="244"/>
      <c r="B6" s="647"/>
      <c r="C6" s="648" t="s">
        <v>78</v>
      </c>
      <c r="D6" s="582">
        <v>0</v>
      </c>
      <c r="E6" s="649"/>
      <c r="F6" s="584"/>
      <c r="G6" s="583"/>
      <c r="H6" s="585"/>
      <c r="I6" s="650"/>
      <c r="J6" s="651">
        <v>0</v>
      </c>
      <c r="K6" s="649"/>
      <c r="L6" s="584"/>
      <c r="M6" s="583"/>
      <c r="N6" s="585"/>
      <c r="O6" s="583"/>
      <c r="P6" s="244"/>
      <c r="Q6" s="244"/>
    </row>
    <row r="7" spans="1:17" ht="15.75" hidden="1" customHeight="1" x14ac:dyDescent="0.25">
      <c r="A7" s="244"/>
      <c r="B7" s="652"/>
      <c r="C7" s="653" t="s">
        <v>85</v>
      </c>
      <c r="D7" s="587">
        <v>0</v>
      </c>
      <c r="E7" s="604"/>
      <c r="F7" s="589"/>
      <c r="G7" s="588"/>
      <c r="H7" s="590"/>
      <c r="I7" s="654"/>
      <c r="J7" s="655">
        <v>0</v>
      </c>
      <c r="K7" s="604"/>
      <c r="L7" s="589"/>
      <c r="M7" s="588"/>
      <c r="N7" s="590"/>
      <c r="O7" s="588"/>
      <c r="P7" s="244"/>
      <c r="Q7" s="244"/>
    </row>
    <row r="8" spans="1:17" ht="15.75" hidden="1" customHeight="1" x14ac:dyDescent="0.25">
      <c r="A8" s="244"/>
      <c r="B8" s="652"/>
      <c r="C8" s="653" t="s">
        <v>92</v>
      </c>
      <c r="D8" s="587">
        <f>D16+D24+D25+D28</f>
        <v>460551</v>
      </c>
      <c r="E8" s="604"/>
      <c r="F8" s="589"/>
      <c r="G8" s="588"/>
      <c r="H8" s="590"/>
      <c r="I8" s="654"/>
      <c r="J8" s="655">
        <f>J16+J24+J25+J28</f>
        <v>460464</v>
      </c>
      <c r="K8" s="604"/>
      <c r="L8" s="589"/>
      <c r="M8" s="588"/>
      <c r="N8" s="590"/>
      <c r="O8" s="588"/>
      <c r="P8" s="244"/>
      <c r="Q8" s="244"/>
    </row>
    <row r="9" spans="1:17" ht="15.75" hidden="1" customHeight="1" x14ac:dyDescent="0.25">
      <c r="A9" s="244"/>
      <c r="B9" s="652"/>
      <c r="C9" s="653" t="s">
        <v>99</v>
      </c>
      <c r="D9" s="587">
        <f>D17+D18+D20+D21</f>
        <v>49978.820000000007</v>
      </c>
      <c r="E9" s="604"/>
      <c r="F9" s="589"/>
      <c r="G9" s="588"/>
      <c r="H9" s="590"/>
      <c r="I9" s="654"/>
      <c r="J9" s="655">
        <f>J17+J18+J20+J21</f>
        <v>0</v>
      </c>
      <c r="K9" s="604"/>
      <c r="L9" s="589"/>
      <c r="M9" s="588"/>
      <c r="N9" s="590"/>
      <c r="O9" s="588"/>
      <c r="P9" s="244"/>
      <c r="Q9" s="244"/>
    </row>
    <row r="10" spans="1:17" ht="15.75" hidden="1" customHeight="1" x14ac:dyDescent="0.25">
      <c r="A10" s="244"/>
      <c r="B10" s="652"/>
      <c r="C10" s="653" t="s">
        <v>106</v>
      </c>
      <c r="D10" s="587">
        <f>SUM(D8:D9)-D29</f>
        <v>0</v>
      </c>
      <c r="E10" s="604"/>
      <c r="F10" s="589"/>
      <c r="G10" s="588"/>
      <c r="H10" s="590"/>
      <c r="I10" s="654"/>
      <c r="J10" s="655">
        <f>SUM(J8:J9)-J29</f>
        <v>0</v>
      </c>
      <c r="K10" s="604"/>
      <c r="L10" s="589"/>
      <c r="M10" s="588"/>
      <c r="N10" s="590"/>
      <c r="O10" s="588"/>
      <c r="P10" s="244"/>
      <c r="Q10" s="244"/>
    </row>
    <row r="11" spans="1:17" ht="15.75" hidden="1" customHeight="1" x14ac:dyDescent="0.25">
      <c r="A11" s="244"/>
      <c r="B11" s="652"/>
      <c r="C11" s="653" t="s">
        <v>113</v>
      </c>
      <c r="D11" s="587"/>
      <c r="E11" s="604"/>
      <c r="F11" s="589"/>
      <c r="G11" s="588"/>
      <c r="H11" s="590"/>
      <c r="I11" s="654"/>
      <c r="J11" s="655"/>
      <c r="K11" s="604"/>
      <c r="L11" s="589"/>
      <c r="M11" s="588"/>
      <c r="N11" s="590"/>
      <c r="O11" s="588"/>
      <c r="P11" s="244"/>
      <c r="Q11" s="244"/>
    </row>
    <row r="12" spans="1:17" ht="15.75" hidden="1" customHeight="1" x14ac:dyDescent="0.25">
      <c r="A12" s="244"/>
      <c r="B12" s="652"/>
      <c r="C12" s="653" t="s">
        <v>120</v>
      </c>
      <c r="D12" s="587"/>
      <c r="E12" s="604"/>
      <c r="F12" s="589"/>
      <c r="G12" s="588"/>
      <c r="H12" s="590"/>
      <c r="I12" s="654"/>
      <c r="J12" s="655"/>
      <c r="K12" s="604"/>
      <c r="L12" s="589"/>
      <c r="M12" s="588"/>
      <c r="N12" s="590"/>
      <c r="O12" s="588"/>
      <c r="P12" s="244"/>
      <c r="Q12" s="244"/>
    </row>
    <row r="13" spans="1:17" ht="15.75" hidden="1" customHeight="1" x14ac:dyDescent="0.25">
      <c r="A13" s="244"/>
      <c r="B13" s="270"/>
      <c r="C13" s="339"/>
      <c r="D13" s="587"/>
      <c r="E13" s="656"/>
      <c r="F13" s="589"/>
      <c r="G13" s="30"/>
      <c r="H13" s="590"/>
      <c r="I13" s="657"/>
      <c r="J13" s="655"/>
      <c r="K13" s="656"/>
      <c r="L13" s="589"/>
      <c r="M13" s="30"/>
      <c r="N13" s="590"/>
      <c r="O13" s="30"/>
      <c r="P13" s="244"/>
      <c r="Q13" s="244"/>
    </row>
    <row r="14" spans="1:17" ht="15.75" hidden="1" customHeight="1" x14ac:dyDescent="0.25">
      <c r="A14" s="244"/>
      <c r="B14" s="270"/>
      <c r="C14" s="339"/>
      <c r="D14" s="587"/>
      <c r="E14" s="656"/>
      <c r="F14" s="589"/>
      <c r="G14" s="30"/>
      <c r="H14" s="590"/>
      <c r="I14" s="657"/>
      <c r="J14" s="655"/>
      <c r="K14" s="656"/>
      <c r="L14" s="589"/>
      <c r="M14" s="30"/>
      <c r="N14" s="590"/>
      <c r="O14" s="30"/>
      <c r="P14" s="244"/>
      <c r="Q14" s="244"/>
    </row>
    <row r="15" spans="1:17" ht="15.75" customHeight="1" x14ac:dyDescent="0.25">
      <c r="A15" s="244"/>
      <c r="B15" s="658" t="s">
        <v>173</v>
      </c>
      <c r="C15" s="339" t="s">
        <v>322</v>
      </c>
      <c r="D15" s="593">
        <f>SUM(D16:D21)</f>
        <v>510529.82</v>
      </c>
      <c r="E15" s="656"/>
      <c r="F15" s="589"/>
      <c r="G15" s="30"/>
      <c r="H15" s="590"/>
      <c r="I15" s="657"/>
      <c r="J15" s="659">
        <f>SUM(J16:J20)</f>
        <v>460464</v>
      </c>
      <c r="K15" s="656"/>
      <c r="L15" s="589"/>
      <c r="M15" s="30"/>
      <c r="N15" s="590"/>
      <c r="O15" s="30"/>
      <c r="P15" s="244"/>
      <c r="Q15" s="244"/>
    </row>
    <row r="16" spans="1:17" ht="15.75" customHeight="1" x14ac:dyDescent="0.25">
      <c r="A16" s="244"/>
      <c r="B16" s="270" t="s">
        <v>23</v>
      </c>
      <c r="C16" s="339" t="s">
        <v>329</v>
      </c>
      <c r="D16" s="587">
        <f>208061+212122+40368</f>
        <v>460551</v>
      </c>
      <c r="E16" s="656"/>
      <c r="F16" s="589"/>
      <c r="G16" s="30"/>
      <c r="H16" s="590">
        <f>D16-F16</f>
        <v>460551</v>
      </c>
      <c r="I16" s="657"/>
      <c r="J16" s="655">
        <f>240517+219947</f>
        <v>460464</v>
      </c>
      <c r="K16" s="656"/>
      <c r="L16" s="589"/>
      <c r="M16" s="30"/>
      <c r="N16" s="590">
        <f>J16-L16</f>
        <v>460464</v>
      </c>
      <c r="O16" s="30"/>
      <c r="P16" s="244"/>
      <c r="Q16" s="244"/>
    </row>
    <row r="17" spans="1:17" ht="15.75" customHeight="1" x14ac:dyDescent="0.25">
      <c r="A17" s="244"/>
      <c r="B17" s="331"/>
      <c r="C17" s="339"/>
      <c r="D17" s="587"/>
      <c r="E17" s="656"/>
      <c r="F17" s="589"/>
      <c r="G17" s="30"/>
      <c r="H17" s="590"/>
      <c r="I17" s="657"/>
      <c r="J17" s="655"/>
      <c r="K17" s="656"/>
      <c r="L17" s="589"/>
      <c r="M17" s="30"/>
      <c r="N17" s="590"/>
      <c r="O17" s="30"/>
      <c r="P17" s="244"/>
      <c r="Q17" s="244"/>
    </row>
    <row r="18" spans="1:17" ht="15.75" customHeight="1" x14ac:dyDescent="0.25">
      <c r="A18" s="244"/>
      <c r="B18" s="264"/>
      <c r="C18" s="339" t="s">
        <v>330</v>
      </c>
      <c r="D18" s="587">
        <v>25840</v>
      </c>
      <c r="E18" s="656"/>
      <c r="F18" s="589"/>
      <c r="G18" s="30"/>
      <c r="H18" s="590"/>
      <c r="I18" s="657"/>
      <c r="J18" s="655">
        <v>0</v>
      </c>
      <c r="K18" s="656"/>
      <c r="L18" s="589"/>
      <c r="M18" s="30"/>
      <c r="N18" s="590"/>
      <c r="O18" s="30"/>
      <c r="P18" s="244"/>
      <c r="Q18" s="244"/>
    </row>
    <row r="19" spans="1:17" ht="15.75" customHeight="1" x14ac:dyDescent="0.25">
      <c r="A19" s="244"/>
      <c r="B19" s="264"/>
      <c r="C19" s="339"/>
      <c r="D19" s="587"/>
      <c r="E19" s="656"/>
      <c r="F19" s="589"/>
      <c r="G19" s="30"/>
      <c r="H19" s="590"/>
      <c r="I19" s="657"/>
      <c r="J19" s="655"/>
      <c r="K19" s="656"/>
      <c r="L19" s="589"/>
      <c r="M19" s="30"/>
      <c r="N19" s="590"/>
      <c r="O19" s="30"/>
      <c r="P19" s="244"/>
      <c r="Q19" s="244"/>
    </row>
    <row r="20" spans="1:17" ht="15.75" customHeight="1" x14ac:dyDescent="0.25">
      <c r="A20" s="244"/>
      <c r="B20" s="331"/>
      <c r="C20" s="34" t="s">
        <v>178</v>
      </c>
      <c r="D20" s="587">
        <f>10268.05+85</f>
        <v>10353.049999999999</v>
      </c>
      <c r="E20" s="656"/>
      <c r="F20" s="589"/>
      <c r="G20" s="30"/>
      <c r="H20" s="590"/>
      <c r="I20" s="657"/>
      <c r="J20" s="655"/>
      <c r="K20" s="656"/>
      <c r="L20" s="589"/>
      <c r="M20" s="30"/>
      <c r="N20" s="590"/>
      <c r="O20" s="30"/>
      <c r="P20" s="244"/>
      <c r="Q20" s="244"/>
    </row>
    <row r="21" spans="1:17" ht="15.75" customHeight="1" x14ac:dyDescent="0.25">
      <c r="A21" s="244"/>
      <c r="B21" s="331"/>
      <c r="C21" s="339" t="s">
        <v>179</v>
      </c>
      <c r="D21" s="587">
        <f>11780.5+2005.27</f>
        <v>13785.77</v>
      </c>
      <c r="E21" s="656"/>
      <c r="F21" s="589"/>
      <c r="G21" s="30"/>
      <c r="H21" s="590"/>
      <c r="I21" s="657"/>
      <c r="J21" s="655"/>
      <c r="K21" s="656"/>
      <c r="L21" s="589"/>
      <c r="M21" s="30"/>
      <c r="N21" s="590"/>
      <c r="O21" s="30"/>
      <c r="P21" s="244"/>
      <c r="Q21" s="244"/>
    </row>
    <row r="22" spans="1:17" ht="15.75" customHeight="1" x14ac:dyDescent="0.25">
      <c r="A22" s="244"/>
      <c r="B22" s="331"/>
      <c r="C22" s="339"/>
      <c r="D22" s="587"/>
      <c r="E22" s="656"/>
      <c r="F22" s="589"/>
      <c r="G22" s="30"/>
      <c r="H22" s="590"/>
      <c r="I22" s="657"/>
      <c r="J22" s="655"/>
      <c r="K22" s="656"/>
      <c r="L22" s="589"/>
      <c r="M22" s="30"/>
      <c r="N22" s="590"/>
      <c r="O22" s="30"/>
      <c r="P22" s="244"/>
      <c r="Q22" s="244"/>
    </row>
    <row r="23" spans="1:17" ht="15.75" customHeight="1" x14ac:dyDescent="0.25">
      <c r="A23" s="244"/>
      <c r="B23" s="270"/>
      <c r="C23" s="339"/>
      <c r="D23" s="587"/>
      <c r="E23" s="656"/>
      <c r="F23" s="589"/>
      <c r="G23" s="30"/>
      <c r="H23" s="590"/>
      <c r="I23" s="657"/>
      <c r="J23" s="655"/>
      <c r="K23" s="656"/>
      <c r="L23" s="589"/>
      <c r="M23" s="30"/>
      <c r="N23" s="590"/>
      <c r="O23" s="30"/>
      <c r="P23" s="244"/>
      <c r="Q23" s="244"/>
    </row>
    <row r="24" spans="1:17" ht="15.75" customHeight="1" x14ac:dyDescent="0.25">
      <c r="A24" s="244"/>
      <c r="B24" s="270" t="s">
        <v>21</v>
      </c>
      <c r="C24" s="339" t="s">
        <v>21</v>
      </c>
      <c r="D24" s="587"/>
      <c r="E24" s="656"/>
      <c r="F24" s="589">
        <v>0</v>
      </c>
      <c r="G24" s="30"/>
      <c r="H24" s="590">
        <v>0</v>
      </c>
      <c r="I24" s="657"/>
      <c r="J24" s="655"/>
      <c r="K24" s="656"/>
      <c r="L24" s="589">
        <v>0</v>
      </c>
      <c r="M24" s="30"/>
      <c r="N24" s="590">
        <v>0</v>
      </c>
      <c r="O24" s="30"/>
      <c r="P24" s="244"/>
      <c r="Q24" s="244"/>
    </row>
    <row r="25" spans="1:17" ht="15.75" customHeight="1" x14ac:dyDescent="0.25">
      <c r="A25" s="244"/>
      <c r="B25" s="270" t="s">
        <v>22</v>
      </c>
      <c r="C25" s="339" t="s">
        <v>22</v>
      </c>
      <c r="D25" s="600"/>
      <c r="E25" s="656"/>
      <c r="F25" s="601">
        <v>0</v>
      </c>
      <c r="G25" s="30"/>
      <c r="H25" s="602">
        <v>0</v>
      </c>
      <c r="I25" s="657"/>
      <c r="J25" s="655"/>
      <c r="K25" s="656"/>
      <c r="L25" s="601">
        <v>0</v>
      </c>
      <c r="M25" s="30"/>
      <c r="N25" s="602">
        <v>0</v>
      </c>
      <c r="O25" s="30"/>
      <c r="P25" s="244"/>
      <c r="Q25" s="244"/>
    </row>
    <row r="26" spans="1:17" ht="15.75" customHeight="1" x14ac:dyDescent="0.25">
      <c r="A26" s="244"/>
      <c r="B26" s="270" t="s">
        <v>23</v>
      </c>
      <c r="C26" s="339" t="s">
        <v>180</v>
      </c>
      <c r="D26" s="268">
        <f>SUM(D16:D22)</f>
        <v>510529.82</v>
      </c>
      <c r="E26" s="656"/>
      <c r="F26" s="589">
        <f>SUM(F16:F21)</f>
        <v>0</v>
      </c>
      <c r="G26" s="30"/>
      <c r="H26" s="35">
        <f>SUM(H16:H21)</f>
        <v>460551</v>
      </c>
      <c r="I26" s="657"/>
      <c r="J26" s="655">
        <f>SUM(J16:J22)</f>
        <v>460464</v>
      </c>
      <c r="K26" s="656"/>
      <c r="L26" s="589">
        <f>SUM(L16:L21)</f>
        <v>0</v>
      </c>
      <c r="M26" s="30"/>
      <c r="N26" s="35">
        <f>SUM(N16:N21)</f>
        <v>460464</v>
      </c>
      <c r="O26" s="30"/>
      <c r="P26" s="244"/>
      <c r="Q26" s="244"/>
    </row>
    <row r="27" spans="1:17" ht="15.75" customHeight="1" x14ac:dyDescent="0.25">
      <c r="A27" s="244"/>
      <c r="B27" s="331"/>
      <c r="C27" s="339"/>
      <c r="D27" s="587"/>
      <c r="E27" s="656"/>
      <c r="F27" s="589"/>
      <c r="G27" s="30"/>
      <c r="H27" s="30"/>
      <c r="I27" s="657"/>
      <c r="J27" s="655"/>
      <c r="K27" s="656"/>
      <c r="L27" s="589"/>
      <c r="M27" s="30"/>
      <c r="N27" s="30"/>
      <c r="O27" s="30"/>
      <c r="P27" s="244"/>
      <c r="Q27" s="244"/>
    </row>
    <row r="28" spans="1:17" ht="15.75" customHeight="1" x14ac:dyDescent="0.25">
      <c r="A28" s="244"/>
      <c r="B28" s="346"/>
      <c r="C28" s="404" t="s">
        <v>181</v>
      </c>
      <c r="D28" s="660"/>
      <c r="E28" s="661"/>
      <c r="F28" s="662"/>
      <c r="G28" s="663"/>
      <c r="H28" s="664"/>
      <c r="I28" s="665"/>
      <c r="J28" s="655"/>
      <c r="K28" s="661"/>
      <c r="L28" s="662"/>
      <c r="M28" s="663"/>
      <c r="N28" s="664"/>
      <c r="O28" s="663"/>
      <c r="P28" s="244"/>
      <c r="Q28" s="244"/>
    </row>
    <row r="29" spans="1:17" ht="15.75" customHeight="1" x14ac:dyDescent="0.25">
      <c r="A29" s="244"/>
      <c r="B29" s="347"/>
      <c r="C29" s="320" t="s">
        <v>182</v>
      </c>
      <c r="D29" s="666">
        <f>D24+D25+D26+D28</f>
        <v>510529.82</v>
      </c>
      <c r="E29" s="667"/>
      <c r="F29" s="668">
        <f>F24+F25+F26+F28</f>
        <v>0</v>
      </c>
      <c r="G29" s="669"/>
      <c r="H29" s="670">
        <f>H24+H25+H26+H28</f>
        <v>460551</v>
      </c>
      <c r="I29" s="671"/>
      <c r="J29" s="666">
        <f>J24+J25+J26+J28</f>
        <v>460464</v>
      </c>
      <c r="K29" s="667"/>
      <c r="L29" s="668">
        <f>L24+L25+L26+L28</f>
        <v>0</v>
      </c>
      <c r="M29" s="669"/>
      <c r="N29" s="670">
        <f>N24+N25+N26+N28</f>
        <v>460464</v>
      </c>
      <c r="O29" s="669"/>
      <c r="P29" s="246"/>
      <c r="Q29" s="246"/>
    </row>
    <row r="30" spans="1:17" ht="15.75" hidden="1" customHeight="1" x14ac:dyDescent="0.25">
      <c r="A30" s="244"/>
      <c r="B30" s="324"/>
      <c r="C30" s="393"/>
      <c r="D30" s="582"/>
      <c r="E30" s="649"/>
      <c r="F30" s="584"/>
      <c r="G30" s="585"/>
      <c r="H30" s="585"/>
      <c r="I30" s="672"/>
      <c r="J30" s="651"/>
      <c r="K30" s="649"/>
      <c r="L30" s="584"/>
      <c r="M30" s="585"/>
      <c r="N30" s="585"/>
      <c r="O30" s="585"/>
      <c r="P30" s="244"/>
      <c r="Q30" s="244"/>
    </row>
    <row r="31" spans="1:17" ht="15.75" hidden="1" customHeight="1" x14ac:dyDescent="0.25">
      <c r="A31" s="244"/>
      <c r="B31" s="331"/>
      <c r="C31" s="339"/>
      <c r="D31" s="587"/>
      <c r="E31" s="604"/>
      <c r="F31" s="589"/>
      <c r="G31" s="590"/>
      <c r="H31" s="590"/>
      <c r="I31" s="673"/>
      <c r="J31" s="655"/>
      <c r="K31" s="604"/>
      <c r="L31" s="589"/>
      <c r="M31" s="590"/>
      <c r="N31" s="590"/>
      <c r="O31" s="590"/>
      <c r="P31" s="244"/>
      <c r="Q31" s="244"/>
    </row>
    <row r="32" spans="1:17" ht="15.75" hidden="1" customHeight="1" x14ac:dyDescent="0.25">
      <c r="A32" s="244"/>
      <c r="B32" s="331"/>
      <c r="C32" s="339"/>
      <c r="D32" s="587"/>
      <c r="E32" s="604"/>
      <c r="F32" s="589"/>
      <c r="G32" s="590"/>
      <c r="H32" s="590"/>
      <c r="I32" s="673"/>
      <c r="J32" s="655"/>
      <c r="K32" s="604"/>
      <c r="L32" s="589"/>
      <c r="M32" s="590"/>
      <c r="N32" s="590"/>
      <c r="O32" s="590"/>
      <c r="P32" s="244"/>
      <c r="Q32" s="244"/>
    </row>
    <row r="33" spans="1:17" ht="15.75" hidden="1" customHeight="1" x14ac:dyDescent="0.25">
      <c r="A33" s="244"/>
      <c r="B33" s="331"/>
      <c r="C33" s="339"/>
      <c r="D33" s="587"/>
      <c r="E33" s="604"/>
      <c r="F33" s="589"/>
      <c r="G33" s="590"/>
      <c r="H33" s="590"/>
      <c r="I33" s="673"/>
      <c r="J33" s="655"/>
      <c r="K33" s="604"/>
      <c r="L33" s="589"/>
      <c r="M33" s="590"/>
      <c r="N33" s="590"/>
      <c r="O33" s="590"/>
      <c r="P33" s="244"/>
      <c r="Q33" s="244"/>
    </row>
    <row r="34" spans="1:17" ht="15.75" hidden="1" customHeight="1" x14ac:dyDescent="0.25">
      <c r="A34" s="244"/>
      <c r="B34" s="331"/>
      <c r="C34" s="339"/>
      <c r="D34" s="587"/>
      <c r="E34" s="604"/>
      <c r="F34" s="589"/>
      <c r="G34" s="590"/>
      <c r="H34" s="590"/>
      <c r="I34" s="673"/>
      <c r="J34" s="655"/>
      <c r="K34" s="604"/>
      <c r="L34" s="589"/>
      <c r="M34" s="590"/>
      <c r="N34" s="590"/>
      <c r="O34" s="590"/>
      <c r="P34" s="244"/>
      <c r="Q34" s="244"/>
    </row>
    <row r="35" spans="1:17" ht="15.75" hidden="1" customHeight="1" x14ac:dyDescent="0.25">
      <c r="A35" s="244"/>
      <c r="B35" s="331"/>
      <c r="C35" s="339"/>
      <c r="D35" s="587"/>
      <c r="E35" s="604"/>
      <c r="F35" s="589"/>
      <c r="G35" s="590"/>
      <c r="H35" s="590"/>
      <c r="I35" s="673"/>
      <c r="J35" s="655"/>
      <c r="K35" s="604"/>
      <c r="L35" s="589"/>
      <c r="M35" s="590"/>
      <c r="N35" s="590"/>
      <c r="O35" s="590"/>
      <c r="P35" s="244"/>
      <c r="Q35" s="244"/>
    </row>
    <row r="36" spans="1:17" ht="15.75" hidden="1" customHeight="1" x14ac:dyDescent="0.25">
      <c r="A36" s="244"/>
      <c r="B36" s="331"/>
      <c r="C36" s="339"/>
      <c r="D36" s="607"/>
      <c r="E36" s="608"/>
      <c r="F36" s="609"/>
      <c r="G36" s="610"/>
      <c r="H36" s="610"/>
      <c r="I36" s="674"/>
      <c r="J36" s="675"/>
      <c r="K36" s="608"/>
      <c r="L36" s="609"/>
      <c r="M36" s="610"/>
      <c r="N36" s="610"/>
      <c r="O36" s="610"/>
      <c r="P36" s="244"/>
      <c r="Q36" s="244"/>
    </row>
    <row r="37" spans="1:17" ht="15.75" hidden="1" customHeight="1" x14ac:dyDescent="0.25">
      <c r="A37" s="244"/>
      <c r="B37" s="331"/>
      <c r="C37" s="339"/>
      <c r="D37" s="138"/>
      <c r="E37" s="656"/>
      <c r="F37" s="121"/>
      <c r="G37" s="30"/>
      <c r="H37" s="30"/>
      <c r="I37" s="657"/>
      <c r="J37" s="26"/>
      <c r="K37" s="656"/>
      <c r="L37" s="121"/>
      <c r="M37" s="30"/>
      <c r="N37" s="30"/>
      <c r="O37" s="30"/>
      <c r="P37" s="246"/>
      <c r="Q37" s="246"/>
    </row>
    <row r="38" spans="1:17" ht="15.75" customHeight="1" x14ac:dyDescent="0.25">
      <c r="A38" s="244"/>
      <c r="B38" s="270"/>
      <c r="C38" s="271"/>
      <c r="D38" s="138"/>
      <c r="E38" s="656"/>
      <c r="F38" s="121"/>
      <c r="G38" s="30"/>
      <c r="H38" s="30"/>
      <c r="I38" s="657"/>
      <c r="J38" s="26"/>
      <c r="K38" s="656"/>
      <c r="L38" s="121"/>
      <c r="M38" s="30"/>
      <c r="N38" s="30"/>
      <c r="O38" s="30"/>
      <c r="P38" s="244"/>
      <c r="Q38" s="244"/>
    </row>
    <row r="39" spans="1:17" ht="15.75" customHeight="1" x14ac:dyDescent="0.25">
      <c r="A39" s="244"/>
      <c r="B39" s="487" t="s">
        <v>186</v>
      </c>
      <c r="C39" s="422"/>
      <c r="D39" s="138"/>
      <c r="E39" s="656"/>
      <c r="F39" s="121"/>
      <c r="G39" s="30"/>
      <c r="H39" s="30"/>
      <c r="I39" s="657"/>
      <c r="J39" s="26"/>
      <c r="K39" s="656"/>
      <c r="L39" s="121"/>
      <c r="M39" s="30"/>
      <c r="N39" s="30"/>
      <c r="O39" s="30"/>
      <c r="P39" s="244"/>
      <c r="Q39" s="244"/>
    </row>
    <row r="40" spans="1:17" ht="15.75" customHeight="1" x14ac:dyDescent="0.25">
      <c r="A40" s="244"/>
      <c r="B40" s="270" t="s">
        <v>28</v>
      </c>
      <c r="C40" s="339"/>
      <c r="D40" s="138"/>
      <c r="E40" s="656"/>
      <c r="F40" s="121"/>
      <c r="G40" s="30"/>
      <c r="H40" s="30"/>
      <c r="I40" s="657"/>
      <c r="J40" s="26"/>
      <c r="K40" s="656"/>
      <c r="L40" s="121"/>
      <c r="M40" s="30"/>
      <c r="N40" s="30"/>
      <c r="O40" s="30"/>
      <c r="P40" s="244"/>
      <c r="Q40" s="244"/>
    </row>
    <row r="41" spans="1:17" ht="15.75" customHeight="1" x14ac:dyDescent="0.25">
      <c r="A41" s="244"/>
      <c r="B41" s="331"/>
      <c r="C41" s="423" t="s">
        <v>187</v>
      </c>
      <c r="D41" s="138"/>
      <c r="E41" s="656"/>
      <c r="F41" s="121"/>
      <c r="G41" s="30"/>
      <c r="H41" s="30"/>
      <c r="I41" s="657"/>
      <c r="J41" s="26"/>
      <c r="K41" s="656"/>
      <c r="L41" s="121"/>
      <c r="M41" s="30"/>
      <c r="N41" s="30"/>
      <c r="O41" s="30"/>
      <c r="P41" s="244"/>
      <c r="Q41" s="244"/>
    </row>
    <row r="42" spans="1:17" ht="15.75" customHeight="1" x14ac:dyDescent="0.25">
      <c r="A42" s="244"/>
      <c r="B42" s="331"/>
      <c r="C42" s="339" t="s">
        <v>188</v>
      </c>
      <c r="D42" s="138">
        <f>'MSBC CK Allocation'!C35</f>
        <v>561823.40091511386</v>
      </c>
      <c r="E42" s="656">
        <f>D42/D$29</f>
        <v>1.1004712729907018</v>
      </c>
      <c r="F42" s="121"/>
      <c r="G42" s="30"/>
      <c r="H42" s="121">
        <f t="shared" ref="H42:H46" si="0">D42-F42</f>
        <v>561823.40091511386</v>
      </c>
      <c r="I42" s="657"/>
      <c r="J42" s="26">
        <f>'MSBC CK Allocation'!D35</f>
        <v>622359.68618919398</v>
      </c>
      <c r="K42" s="656">
        <f>J42/J$29</f>
        <v>1.3515924940694473</v>
      </c>
      <c r="L42" s="121"/>
      <c r="M42" s="30"/>
      <c r="N42" s="121">
        <f t="shared" ref="N42:N46" si="1">J42-L42</f>
        <v>622359.68618919398</v>
      </c>
      <c r="O42" s="30"/>
      <c r="P42" s="244"/>
      <c r="Q42" s="244"/>
    </row>
    <row r="43" spans="1:17" ht="15.75" customHeight="1" x14ac:dyDescent="0.25">
      <c r="A43" s="244"/>
      <c r="B43" s="331"/>
      <c r="C43" s="339" t="s">
        <v>189</v>
      </c>
      <c r="D43" s="297">
        <v>258286.94697961808</v>
      </c>
      <c r="E43" s="656"/>
      <c r="F43" s="121"/>
      <c r="G43" s="30"/>
      <c r="H43" s="121">
        <f t="shared" si="0"/>
        <v>258286.94697961808</v>
      </c>
      <c r="I43" s="657"/>
      <c r="J43" s="26">
        <v>255013.45</v>
      </c>
      <c r="K43" s="656"/>
      <c r="L43" s="121"/>
      <c r="M43" s="30"/>
      <c r="N43" s="121">
        <f t="shared" si="1"/>
        <v>255013.45</v>
      </c>
      <c r="O43" s="30"/>
      <c r="P43" s="244"/>
      <c r="Q43" s="244"/>
    </row>
    <row r="44" spans="1:17" ht="15.75" customHeight="1" x14ac:dyDescent="0.25">
      <c r="A44" s="244"/>
      <c r="B44" s="331"/>
      <c r="C44" s="339" t="s">
        <v>21</v>
      </c>
      <c r="D44" s="138">
        <v>0</v>
      </c>
      <c r="E44" s="656"/>
      <c r="F44" s="121"/>
      <c r="G44" s="30"/>
      <c r="H44" s="121">
        <f t="shared" si="0"/>
        <v>0</v>
      </c>
      <c r="I44" s="657"/>
      <c r="J44" s="26">
        <v>0</v>
      </c>
      <c r="K44" s="656"/>
      <c r="L44" s="121"/>
      <c r="M44" s="30"/>
      <c r="N44" s="121">
        <f t="shared" si="1"/>
        <v>0</v>
      </c>
      <c r="O44" s="30"/>
      <c r="P44" s="244"/>
      <c r="Q44" s="244"/>
    </row>
    <row r="45" spans="1:17" ht="15.75" customHeight="1" x14ac:dyDescent="0.25">
      <c r="A45" s="244"/>
      <c r="B45" s="331"/>
      <c r="C45" s="339" t="s">
        <v>22</v>
      </c>
      <c r="D45" s="138">
        <v>0</v>
      </c>
      <c r="E45" s="656"/>
      <c r="F45" s="121"/>
      <c r="G45" s="30"/>
      <c r="H45" s="121">
        <f t="shared" si="0"/>
        <v>0</v>
      </c>
      <c r="I45" s="657"/>
      <c r="J45" s="26">
        <v>0</v>
      </c>
      <c r="K45" s="656"/>
      <c r="L45" s="121"/>
      <c r="M45" s="30"/>
      <c r="N45" s="121">
        <f t="shared" si="1"/>
        <v>0</v>
      </c>
      <c r="O45" s="30"/>
      <c r="P45" s="244"/>
      <c r="Q45" s="244"/>
    </row>
    <row r="46" spans="1:17" ht="15.75" customHeight="1" x14ac:dyDescent="0.25">
      <c r="A46" s="244"/>
      <c r="B46" s="346"/>
      <c r="C46" s="404" t="s">
        <v>190</v>
      </c>
      <c r="D46" s="154">
        <v>0</v>
      </c>
      <c r="E46" s="676">
        <f t="shared" ref="E46:E47" si="2">D46/D$29</f>
        <v>0</v>
      </c>
      <c r="F46" s="71"/>
      <c r="G46" s="40"/>
      <c r="H46" s="71">
        <f t="shared" si="0"/>
        <v>0</v>
      </c>
      <c r="I46" s="677"/>
      <c r="J46" s="44">
        <v>0</v>
      </c>
      <c r="K46" s="676">
        <f t="shared" ref="K46:K47" si="3">J46/J$29</f>
        <v>0</v>
      </c>
      <c r="L46" s="71"/>
      <c r="M46" s="40"/>
      <c r="N46" s="71">
        <f t="shared" si="1"/>
        <v>0</v>
      </c>
      <c r="O46" s="40"/>
      <c r="P46" s="244"/>
      <c r="Q46" s="244"/>
    </row>
    <row r="47" spans="1:17" ht="15.75" customHeight="1" x14ac:dyDescent="0.25">
      <c r="A47" s="244"/>
      <c r="B47" s="678"/>
      <c r="C47" s="279" t="s">
        <v>191</v>
      </c>
      <c r="D47" s="128">
        <f>SUM(D42:D46)</f>
        <v>820110.34789473191</v>
      </c>
      <c r="E47" s="104">
        <f t="shared" si="2"/>
        <v>1.6063906862379398</v>
      </c>
      <c r="F47" s="634">
        <f>SUM(F42:F46)</f>
        <v>0</v>
      </c>
      <c r="G47" s="633"/>
      <c r="H47" s="634">
        <f>SUM(H42:H46)</f>
        <v>820110.34789473191</v>
      </c>
      <c r="I47" s="679"/>
      <c r="J47" s="111">
        <f>SUM(J42:J46)</f>
        <v>877373.13618919393</v>
      </c>
      <c r="K47" s="104">
        <f t="shared" si="3"/>
        <v>1.9054109250434212</v>
      </c>
      <c r="L47" s="634">
        <f>SUM(L42:L46)</f>
        <v>0</v>
      </c>
      <c r="M47" s="633"/>
      <c r="N47" s="634">
        <f>SUM(N42:N46)</f>
        <v>877373.13618919393</v>
      </c>
      <c r="O47" s="633"/>
      <c r="P47" s="246"/>
      <c r="Q47" s="246"/>
    </row>
    <row r="48" spans="1:17" ht="15.75" customHeight="1" x14ac:dyDescent="0.25">
      <c r="A48" s="244"/>
      <c r="B48" s="354"/>
      <c r="C48" s="425" t="s">
        <v>192</v>
      </c>
      <c r="D48" s="297">
        <v>93423.5</v>
      </c>
      <c r="E48" s="680">
        <f>D48/D29</f>
        <v>0.18299322848565436</v>
      </c>
      <c r="F48" s="681"/>
      <c r="G48" s="682"/>
      <c r="H48" s="682"/>
      <c r="I48" s="683"/>
      <c r="J48" s="684">
        <f>108073+1580</f>
        <v>109653</v>
      </c>
      <c r="K48" s="685">
        <f>J48/J29</f>
        <v>0.23813588032940686</v>
      </c>
      <c r="L48" s="681"/>
      <c r="M48" s="682"/>
      <c r="N48" s="682"/>
      <c r="O48" s="682"/>
      <c r="P48" s="244"/>
      <c r="Q48" s="244"/>
    </row>
    <row r="49" spans="1:17" ht="15.75" customHeight="1" x14ac:dyDescent="0.25">
      <c r="A49" s="244"/>
      <c r="B49" s="347"/>
      <c r="C49" s="320" t="s">
        <v>193</v>
      </c>
      <c r="D49" s="111">
        <f>D47+D48</f>
        <v>913533.84789473191</v>
      </c>
      <c r="E49" s="104">
        <f>D49/D$29</f>
        <v>1.7893839147235941</v>
      </c>
      <c r="F49" s="108">
        <f>F47+F48</f>
        <v>0</v>
      </c>
      <c r="G49" s="109"/>
      <c r="H49" s="108">
        <f>H47+H48</f>
        <v>820110.34789473191</v>
      </c>
      <c r="I49" s="132"/>
      <c r="J49" s="111">
        <f>J47+J48</f>
        <v>987026.13618919393</v>
      </c>
      <c r="K49" s="104">
        <f>J49/J$29</f>
        <v>2.1435468053728282</v>
      </c>
      <c r="L49" s="108">
        <f>L47+L48</f>
        <v>0</v>
      </c>
      <c r="M49" s="109"/>
      <c r="N49" s="108">
        <f>N47+N48</f>
        <v>877373.13618919393</v>
      </c>
      <c r="O49" s="109"/>
      <c r="P49" s="246"/>
      <c r="Q49" s="246"/>
    </row>
    <row r="50" spans="1:17" ht="15.75" customHeight="1" x14ac:dyDescent="0.25">
      <c r="A50" s="244"/>
      <c r="B50" s="470"/>
      <c r="C50" s="686" t="s">
        <v>32</v>
      </c>
      <c r="D50" s="111">
        <f>D29-D49</f>
        <v>-403004.0278947319</v>
      </c>
      <c r="E50" s="104">
        <f>D50/D29</f>
        <v>-0.78938391472359415</v>
      </c>
      <c r="F50" s="634">
        <f>F29-F49</f>
        <v>0</v>
      </c>
      <c r="G50" s="633" t="e">
        <f>F49/F$29</f>
        <v>#DIV/0!</v>
      </c>
      <c r="H50" s="131">
        <f>H29-H49</f>
        <v>-359559.34789473191</v>
      </c>
      <c r="I50" s="679">
        <f>H49/H$29</f>
        <v>1.7807155947869659</v>
      </c>
      <c r="J50" s="111">
        <f>J29-J49</f>
        <v>-526562.13618919393</v>
      </c>
      <c r="K50" s="104">
        <f>J50/J29</f>
        <v>-1.1435468053728282</v>
      </c>
      <c r="L50" s="634">
        <f>L29-L49</f>
        <v>0</v>
      </c>
      <c r="M50" s="633" t="e">
        <f>L49/L$29</f>
        <v>#DIV/0!</v>
      </c>
      <c r="N50" s="131">
        <f>N29-N49</f>
        <v>-416909.13618919393</v>
      </c>
      <c r="O50" s="633">
        <f>N49/N$29</f>
        <v>1.9054109250434212</v>
      </c>
      <c r="P50" s="244"/>
      <c r="Q50" s="244"/>
    </row>
    <row r="51" spans="1:17" ht="15.75" customHeight="1" x14ac:dyDescent="0.25">
      <c r="A51" s="244"/>
      <c r="B51" s="371"/>
      <c r="C51" s="393"/>
      <c r="D51" s="119"/>
      <c r="E51" s="65"/>
      <c r="F51" s="66"/>
      <c r="G51" s="17"/>
      <c r="H51" s="17"/>
      <c r="I51" s="687"/>
      <c r="J51" s="25"/>
      <c r="K51" s="65"/>
      <c r="L51" s="66"/>
      <c r="M51" s="17"/>
      <c r="N51" s="17"/>
      <c r="O51" s="17"/>
      <c r="P51" s="244"/>
      <c r="Q51" s="244"/>
    </row>
    <row r="52" spans="1:17" ht="15.75" customHeight="1" x14ac:dyDescent="0.25">
      <c r="A52" s="244"/>
      <c r="B52" s="331"/>
      <c r="C52" s="428" t="s">
        <v>194</v>
      </c>
      <c r="D52" s="138"/>
      <c r="E52" s="656"/>
      <c r="F52" s="121"/>
      <c r="G52" s="30"/>
      <c r="H52" s="121">
        <f t="shared" ref="H52:H58" si="4">D52-F52</f>
        <v>0</v>
      </c>
      <c r="I52" s="657"/>
      <c r="J52" s="26"/>
      <c r="K52" s="656"/>
      <c r="L52" s="121"/>
      <c r="M52" s="30"/>
      <c r="N52" s="121">
        <f t="shared" ref="N52:N58" si="5">J52-L52</f>
        <v>0</v>
      </c>
      <c r="O52" s="30"/>
      <c r="P52" s="244"/>
      <c r="Q52" s="244"/>
    </row>
    <row r="53" spans="1:17" ht="15.75" customHeight="1" x14ac:dyDescent="0.25">
      <c r="A53" s="244"/>
      <c r="B53" s="331"/>
      <c r="C53" s="339" t="s">
        <v>195</v>
      </c>
      <c r="D53" s="138">
        <v>3107</v>
      </c>
      <c r="E53" s="656">
        <f t="shared" ref="E53:E59" si="6">D53/D$29</f>
        <v>6.0858345159936003E-3</v>
      </c>
      <c r="F53" s="121"/>
      <c r="G53" s="30"/>
      <c r="H53" s="121">
        <f t="shared" si="4"/>
        <v>3107</v>
      </c>
      <c r="I53" s="657"/>
      <c r="J53" s="26">
        <v>6000</v>
      </c>
      <c r="K53" s="656">
        <f t="shared" ref="K53:K59" si="7">J53/J$29</f>
        <v>1.3030334618993016E-2</v>
      </c>
      <c r="L53" s="121"/>
      <c r="M53" s="30"/>
      <c r="N53" s="121">
        <f t="shared" si="5"/>
        <v>6000</v>
      </c>
      <c r="O53" s="30"/>
      <c r="P53" s="244"/>
      <c r="Q53" s="244"/>
    </row>
    <row r="54" spans="1:17" ht="15.75" customHeight="1" x14ac:dyDescent="0.25">
      <c r="A54" s="244"/>
      <c r="B54" s="331"/>
      <c r="C54" s="339" t="s">
        <v>196</v>
      </c>
      <c r="D54" s="138">
        <v>1721.19</v>
      </c>
      <c r="E54" s="656">
        <f t="shared" si="6"/>
        <v>3.3713799519095671E-3</v>
      </c>
      <c r="F54" s="121"/>
      <c r="G54" s="30"/>
      <c r="H54" s="121">
        <f t="shared" si="4"/>
        <v>1721.19</v>
      </c>
      <c r="I54" s="657"/>
      <c r="J54" s="26">
        <v>17939</v>
      </c>
      <c r="K54" s="656">
        <f t="shared" si="7"/>
        <v>3.8958528788352619E-2</v>
      </c>
      <c r="L54" s="121"/>
      <c r="M54" s="30"/>
      <c r="N54" s="121">
        <f t="shared" si="5"/>
        <v>17939</v>
      </c>
      <c r="O54" s="30"/>
      <c r="P54" s="244"/>
      <c r="Q54" s="244"/>
    </row>
    <row r="55" spans="1:17" ht="15.75" customHeight="1" x14ac:dyDescent="0.25">
      <c r="A55" s="244"/>
      <c r="B55" s="331"/>
      <c r="C55" s="339" t="s">
        <v>266</v>
      </c>
      <c r="D55" s="138">
        <v>0</v>
      </c>
      <c r="E55" s="656">
        <f t="shared" si="6"/>
        <v>0</v>
      </c>
      <c r="F55" s="121"/>
      <c r="G55" s="30"/>
      <c r="H55" s="121">
        <f t="shared" si="4"/>
        <v>0</v>
      </c>
      <c r="I55" s="657"/>
      <c r="J55" s="26">
        <v>0</v>
      </c>
      <c r="K55" s="656">
        <f t="shared" si="7"/>
        <v>0</v>
      </c>
      <c r="L55" s="121"/>
      <c r="M55" s="30"/>
      <c r="N55" s="121">
        <f t="shared" si="5"/>
        <v>0</v>
      </c>
      <c r="O55" s="30"/>
      <c r="P55" s="244"/>
      <c r="Q55" s="244"/>
    </row>
    <row r="56" spans="1:17" ht="15.75" customHeight="1" x14ac:dyDescent="0.25">
      <c r="A56" s="244"/>
      <c r="B56" s="331"/>
      <c r="C56" s="339" t="s">
        <v>197</v>
      </c>
      <c r="D56" s="138">
        <v>8134.67</v>
      </c>
      <c r="E56" s="656">
        <f t="shared" si="6"/>
        <v>1.5933780322567641E-2</v>
      </c>
      <c r="F56" s="121"/>
      <c r="G56" s="30"/>
      <c r="H56" s="121">
        <f t="shared" si="4"/>
        <v>8134.67</v>
      </c>
      <c r="I56" s="657"/>
      <c r="J56" s="26">
        <v>2902</v>
      </c>
      <c r="K56" s="656">
        <f t="shared" si="7"/>
        <v>6.3023385107196222E-3</v>
      </c>
      <c r="L56" s="121"/>
      <c r="M56" s="30"/>
      <c r="N56" s="121">
        <f t="shared" si="5"/>
        <v>2902</v>
      </c>
      <c r="O56" s="30"/>
      <c r="P56" s="244"/>
      <c r="Q56" s="244"/>
    </row>
    <row r="57" spans="1:17" ht="15.75" customHeight="1" x14ac:dyDescent="0.25">
      <c r="A57" s="244"/>
      <c r="B57" s="331"/>
      <c r="C57" s="339" t="s">
        <v>198</v>
      </c>
      <c r="D57" s="138">
        <v>15721</v>
      </c>
      <c r="E57" s="656">
        <f t="shared" si="6"/>
        <v>3.0793499976162018E-2</v>
      </c>
      <c r="F57" s="121"/>
      <c r="G57" s="30"/>
      <c r="H57" s="121">
        <f t="shared" si="4"/>
        <v>15721</v>
      </c>
      <c r="I57" s="657"/>
      <c r="J57" s="26">
        <v>15674</v>
      </c>
      <c r="K57" s="656">
        <f t="shared" si="7"/>
        <v>3.4039577469682752E-2</v>
      </c>
      <c r="L57" s="121"/>
      <c r="M57" s="30"/>
      <c r="N57" s="121">
        <f t="shared" si="5"/>
        <v>15674</v>
      </c>
      <c r="O57" s="30"/>
      <c r="P57" s="244"/>
      <c r="Q57" s="244"/>
    </row>
    <row r="58" spans="1:17" ht="15.75" customHeight="1" x14ac:dyDescent="0.25">
      <c r="A58" s="244"/>
      <c r="B58" s="346"/>
      <c r="C58" s="404" t="s">
        <v>199</v>
      </c>
      <c r="D58" s="688">
        <v>0</v>
      </c>
      <c r="E58" s="661">
        <f t="shared" si="6"/>
        <v>0</v>
      </c>
      <c r="F58" s="689"/>
      <c r="G58" s="689"/>
      <c r="H58" s="689">
        <f t="shared" si="4"/>
        <v>0</v>
      </c>
      <c r="I58" s="690"/>
      <c r="J58" s="691">
        <v>0</v>
      </c>
      <c r="K58" s="661">
        <f t="shared" si="7"/>
        <v>0</v>
      </c>
      <c r="L58" s="689"/>
      <c r="M58" s="689"/>
      <c r="N58" s="689">
        <f t="shared" si="5"/>
        <v>0</v>
      </c>
      <c r="O58" s="689"/>
      <c r="P58" s="244"/>
      <c r="Q58" s="244"/>
    </row>
    <row r="59" spans="1:17" ht="15.75" customHeight="1" x14ac:dyDescent="0.25">
      <c r="A59" s="244"/>
      <c r="B59" s="347"/>
      <c r="C59" s="410" t="s">
        <v>200</v>
      </c>
      <c r="D59" s="128">
        <f>SUM(D53:D58)</f>
        <v>28683.86</v>
      </c>
      <c r="E59" s="104">
        <f t="shared" si="6"/>
        <v>5.6184494766632828E-2</v>
      </c>
      <c r="F59" s="634">
        <f>SUM(F53:F58)</f>
        <v>0</v>
      </c>
      <c r="G59" s="633"/>
      <c r="H59" s="634">
        <f>SUM(H53:H58)</f>
        <v>28683.86</v>
      </c>
      <c r="I59" s="679"/>
      <c r="J59" s="111">
        <f>SUM(J53:J58)</f>
        <v>42515</v>
      </c>
      <c r="K59" s="104">
        <f t="shared" si="7"/>
        <v>9.2330779387748016E-2</v>
      </c>
      <c r="L59" s="634">
        <f>SUM(L53:L58)</f>
        <v>0</v>
      </c>
      <c r="M59" s="633"/>
      <c r="N59" s="634">
        <f>SUM(N53:N58)</f>
        <v>42515</v>
      </c>
      <c r="O59" s="633"/>
      <c r="P59" s="246"/>
      <c r="Q59" s="246"/>
    </row>
    <row r="60" spans="1:17" ht="15.75" customHeight="1" x14ac:dyDescent="0.25">
      <c r="A60" s="244"/>
      <c r="B60" s="974" t="s">
        <v>204</v>
      </c>
      <c r="C60" s="975"/>
      <c r="D60" s="692"/>
      <c r="E60" s="693"/>
      <c r="F60" s="694"/>
      <c r="G60" s="695"/>
      <c r="H60" s="695"/>
      <c r="I60" s="696"/>
      <c r="J60" s="697"/>
      <c r="K60" s="693"/>
      <c r="L60" s="694"/>
      <c r="M60" s="695"/>
      <c r="N60" s="695"/>
      <c r="O60" s="695"/>
      <c r="P60" s="244"/>
      <c r="Q60" s="244"/>
    </row>
    <row r="61" spans="1:17" ht="15.75" customHeight="1" x14ac:dyDescent="0.25">
      <c r="A61" s="244"/>
      <c r="B61" s="976" t="s">
        <v>205</v>
      </c>
      <c r="C61" s="931"/>
      <c r="D61" s="698">
        <f>SUM(D62:D67)</f>
        <v>77809.78</v>
      </c>
      <c r="E61" s="620">
        <f t="shared" ref="E61:E67" si="8">D61/D$29</f>
        <v>0.15240986314961974</v>
      </c>
      <c r="F61" s="699">
        <f>SUM(F62:F67)</f>
        <v>0</v>
      </c>
      <c r="G61" s="700" t="e">
        <f t="shared" ref="G61:G65" si="9">F61/F$29</f>
        <v>#DIV/0!</v>
      </c>
      <c r="H61" s="699">
        <f>SUM(H62:H67)</f>
        <v>21534</v>
      </c>
      <c r="I61" s="701">
        <f t="shared" ref="I61:I65" si="10">H61/H$29</f>
        <v>4.6757036679976813E-2</v>
      </c>
      <c r="J61" s="702">
        <f>SUM(J62:J67)</f>
        <v>25981</v>
      </c>
      <c r="K61" s="620">
        <f t="shared" ref="K61:K67" si="11">J61/J$29</f>
        <v>5.6423520622676256E-2</v>
      </c>
      <c r="L61" s="699">
        <f>SUM(L62:L67)</f>
        <v>0</v>
      </c>
      <c r="M61" s="700" t="e">
        <f t="shared" ref="M61:M65" si="12">L61/L$29</f>
        <v>#DIV/0!</v>
      </c>
      <c r="N61" s="699">
        <f>SUM(N62:N67)</f>
        <v>0</v>
      </c>
      <c r="O61" s="700">
        <f t="shared" ref="O61:O65" si="13">N61/N$29</f>
        <v>0</v>
      </c>
      <c r="P61" s="246"/>
      <c r="Q61" s="246"/>
    </row>
    <row r="62" spans="1:17" ht="15.75" customHeight="1" x14ac:dyDescent="0.25">
      <c r="A62" s="244"/>
      <c r="B62" s="371"/>
      <c r="C62" s="393" t="s">
        <v>268</v>
      </c>
      <c r="D62" s="582">
        <v>21534</v>
      </c>
      <c r="E62" s="649">
        <f t="shared" si="8"/>
        <v>4.2179710481945992E-2</v>
      </c>
      <c r="F62" s="584">
        <v>0</v>
      </c>
      <c r="G62" s="583" t="e">
        <f t="shared" si="9"/>
        <v>#DIV/0!</v>
      </c>
      <c r="H62" s="584">
        <f>D62-F62</f>
        <v>21534</v>
      </c>
      <c r="I62" s="650">
        <f t="shared" si="10"/>
        <v>4.6757036679976813E-2</v>
      </c>
      <c r="J62" s="651"/>
      <c r="K62" s="649">
        <f t="shared" si="11"/>
        <v>0</v>
      </c>
      <c r="L62" s="584">
        <v>0</v>
      </c>
      <c r="M62" s="583" t="e">
        <f t="shared" si="12"/>
        <v>#DIV/0!</v>
      </c>
      <c r="N62" s="584">
        <f>J62-L62</f>
        <v>0</v>
      </c>
      <c r="O62" s="583">
        <f t="shared" si="13"/>
        <v>0</v>
      </c>
      <c r="P62" s="244"/>
      <c r="Q62" s="244"/>
    </row>
    <row r="63" spans="1:17" ht="15.75" customHeight="1" x14ac:dyDescent="0.25">
      <c r="A63" s="244"/>
      <c r="B63" s="331"/>
      <c r="C63" s="450" t="s">
        <v>269</v>
      </c>
      <c r="D63" s="587">
        <v>17370.78</v>
      </c>
      <c r="E63" s="604">
        <f t="shared" si="8"/>
        <v>3.4025005630425265E-2</v>
      </c>
      <c r="F63" s="589"/>
      <c r="G63" s="588" t="e">
        <f t="shared" si="9"/>
        <v>#DIV/0!</v>
      </c>
      <c r="H63" s="588">
        <v>0</v>
      </c>
      <c r="I63" s="654">
        <f t="shared" si="10"/>
        <v>0</v>
      </c>
      <c r="J63" s="655"/>
      <c r="K63" s="604">
        <f t="shared" si="11"/>
        <v>0</v>
      </c>
      <c r="L63" s="589"/>
      <c r="M63" s="588" t="e">
        <f t="shared" si="12"/>
        <v>#DIV/0!</v>
      </c>
      <c r="N63" s="588">
        <v>0</v>
      </c>
      <c r="O63" s="588">
        <f t="shared" si="13"/>
        <v>0</v>
      </c>
      <c r="P63" s="244"/>
      <c r="Q63" s="244"/>
    </row>
    <row r="64" spans="1:17" ht="15.75" customHeight="1" x14ac:dyDescent="0.25">
      <c r="A64" s="244"/>
      <c r="B64" s="331"/>
      <c r="C64" s="339" t="s">
        <v>212</v>
      </c>
      <c r="D64" s="587">
        <v>0</v>
      </c>
      <c r="E64" s="604">
        <f t="shared" si="8"/>
        <v>0</v>
      </c>
      <c r="F64" s="589">
        <v>0</v>
      </c>
      <c r="G64" s="588" t="e">
        <f t="shared" si="9"/>
        <v>#DIV/0!</v>
      </c>
      <c r="H64" s="589">
        <f t="shared" ref="H64:H65" si="14">D64-F64</f>
        <v>0</v>
      </c>
      <c r="I64" s="654">
        <f t="shared" si="10"/>
        <v>0</v>
      </c>
      <c r="J64" s="655">
        <v>0</v>
      </c>
      <c r="K64" s="604">
        <f t="shared" si="11"/>
        <v>0</v>
      </c>
      <c r="L64" s="589">
        <v>0</v>
      </c>
      <c r="M64" s="588" t="e">
        <f t="shared" si="12"/>
        <v>#DIV/0!</v>
      </c>
      <c r="N64" s="589">
        <f t="shared" ref="N64:N65" si="15">J64-L64</f>
        <v>0</v>
      </c>
      <c r="O64" s="588">
        <f t="shared" si="13"/>
        <v>0</v>
      </c>
      <c r="P64" s="244"/>
      <c r="Q64" s="244"/>
    </row>
    <row r="65" spans="1:17" ht="15.75" customHeight="1" x14ac:dyDescent="0.25">
      <c r="A65" s="244"/>
      <c r="B65" s="331"/>
      <c r="C65" s="339" t="s">
        <v>307</v>
      </c>
      <c r="D65" s="587">
        <v>0</v>
      </c>
      <c r="E65" s="604">
        <f t="shared" si="8"/>
        <v>0</v>
      </c>
      <c r="F65" s="589">
        <v>0</v>
      </c>
      <c r="G65" s="588" t="e">
        <f t="shared" si="9"/>
        <v>#DIV/0!</v>
      </c>
      <c r="H65" s="589">
        <f t="shared" si="14"/>
        <v>0</v>
      </c>
      <c r="I65" s="654">
        <f t="shared" si="10"/>
        <v>0</v>
      </c>
      <c r="J65" s="655">
        <v>0</v>
      </c>
      <c r="K65" s="604">
        <f t="shared" si="11"/>
        <v>0</v>
      </c>
      <c r="L65" s="589">
        <v>0</v>
      </c>
      <c r="M65" s="588" t="e">
        <f t="shared" si="12"/>
        <v>#DIV/0!</v>
      </c>
      <c r="N65" s="589">
        <f t="shared" si="15"/>
        <v>0</v>
      </c>
      <c r="O65" s="588">
        <f t="shared" si="13"/>
        <v>0</v>
      </c>
      <c r="P65" s="244"/>
      <c r="Q65" s="244"/>
    </row>
    <row r="66" spans="1:17" ht="15.75" customHeight="1" x14ac:dyDescent="0.25">
      <c r="A66" s="244"/>
      <c r="B66" s="331"/>
      <c r="C66" s="339" t="s">
        <v>286</v>
      </c>
      <c r="D66" s="587">
        <v>0</v>
      </c>
      <c r="E66" s="604">
        <f t="shared" si="8"/>
        <v>0</v>
      </c>
      <c r="F66" s="589"/>
      <c r="G66" s="588" t="e">
        <f>F66/F$30</f>
        <v>#DIV/0!</v>
      </c>
      <c r="H66" s="588"/>
      <c r="I66" s="654"/>
      <c r="J66" s="655">
        <v>0</v>
      </c>
      <c r="K66" s="604">
        <f t="shared" si="11"/>
        <v>0</v>
      </c>
      <c r="L66" s="589"/>
      <c r="M66" s="588" t="e">
        <f>L66/L$30</f>
        <v>#DIV/0!</v>
      </c>
      <c r="N66" s="588"/>
      <c r="O66" s="588"/>
      <c r="P66" s="244"/>
      <c r="Q66" s="244"/>
    </row>
    <row r="67" spans="1:17" ht="15.75" customHeight="1" x14ac:dyDescent="0.25">
      <c r="A67" s="244"/>
      <c r="B67" s="331"/>
      <c r="C67" s="339" t="s">
        <v>271</v>
      </c>
      <c r="D67" s="587">
        <v>38905</v>
      </c>
      <c r="E67" s="604">
        <f t="shared" si="8"/>
        <v>7.6205147037248483E-2</v>
      </c>
      <c r="F67" s="589"/>
      <c r="G67" s="604"/>
      <c r="H67" s="588"/>
      <c r="I67" s="703"/>
      <c r="J67" s="655">
        <v>25981</v>
      </c>
      <c r="K67" s="604">
        <f t="shared" si="11"/>
        <v>5.6423520622676256E-2</v>
      </c>
      <c r="L67" s="589"/>
      <c r="M67" s="604"/>
      <c r="N67" s="588"/>
      <c r="O67" s="604"/>
      <c r="P67" s="244"/>
      <c r="Q67" s="244"/>
    </row>
    <row r="68" spans="1:17" ht="15.75" customHeight="1" x14ac:dyDescent="0.25">
      <c r="A68" s="244"/>
      <c r="B68" s="346"/>
      <c r="C68" s="563"/>
      <c r="D68" s="154"/>
      <c r="E68" s="676"/>
      <c r="F68" s="71"/>
      <c r="G68" s="40"/>
      <c r="H68" s="40"/>
      <c r="I68" s="677"/>
      <c r="J68" s="44"/>
      <c r="K68" s="676"/>
      <c r="L68" s="71"/>
      <c r="M68" s="40"/>
      <c r="N68" s="40"/>
      <c r="O68" s="40"/>
      <c r="P68" s="244"/>
      <c r="Q68" s="244"/>
    </row>
    <row r="69" spans="1:17" ht="15.75" customHeight="1" x14ac:dyDescent="0.25">
      <c r="A69" s="244"/>
      <c r="B69" s="497"/>
      <c r="C69" s="498" t="s">
        <v>35</v>
      </c>
      <c r="D69" s="128">
        <f>SUM(D70:D73)</f>
        <v>39923.369999999995</v>
      </c>
      <c r="E69" s="104">
        <f>D69/D$29</f>
        <v>7.819987870639955E-2</v>
      </c>
      <c r="F69" s="634">
        <f>SUM(F70:F73)</f>
        <v>0</v>
      </c>
      <c r="G69" s="633" t="e">
        <f>F69/F$29</f>
        <v>#DIV/0!</v>
      </c>
      <c r="H69" s="634">
        <f>SUM(H70:H73)</f>
        <v>39923.369999999995</v>
      </c>
      <c r="I69" s="679"/>
      <c r="J69" s="130">
        <f>SUM(J70:J73)</f>
        <v>38464</v>
      </c>
      <c r="K69" s="704">
        <f>J69/J$29</f>
        <v>8.3533131797491222E-2</v>
      </c>
      <c r="L69" s="634">
        <f>SUM(L70:L73)</f>
        <v>0</v>
      </c>
      <c r="M69" s="633" t="e">
        <f>L69/L$29</f>
        <v>#DIV/0!</v>
      </c>
      <c r="N69" s="634">
        <f>SUM(N70:N73)</f>
        <v>38464</v>
      </c>
      <c r="O69" s="633"/>
      <c r="P69" s="246"/>
      <c r="Q69" s="246"/>
    </row>
    <row r="70" spans="1:17" ht="15.75" customHeight="1" x14ac:dyDescent="0.25">
      <c r="A70" s="244"/>
      <c r="B70" s="371"/>
      <c r="C70" s="393" t="s">
        <v>215</v>
      </c>
      <c r="D70" s="138">
        <v>0</v>
      </c>
      <c r="E70" s="656"/>
      <c r="F70" s="121"/>
      <c r="G70" s="30"/>
      <c r="H70" s="121">
        <f t="shared" ref="H70:H73" si="16">D70-F70</f>
        <v>0</v>
      </c>
      <c r="I70" s="657"/>
      <c r="J70" s="25">
        <v>0</v>
      </c>
      <c r="K70" s="656"/>
      <c r="L70" s="121"/>
      <c r="M70" s="30"/>
      <c r="N70" s="121">
        <f t="shared" ref="N70:N73" si="17">J70-L70</f>
        <v>0</v>
      </c>
      <c r="O70" s="30"/>
      <c r="P70" s="244"/>
      <c r="Q70" s="244"/>
    </row>
    <row r="71" spans="1:17" ht="15.75" customHeight="1" x14ac:dyDescent="0.25">
      <c r="A71" s="244"/>
      <c r="B71" s="331"/>
      <c r="C71" s="339" t="s">
        <v>216</v>
      </c>
      <c r="D71" s="119">
        <v>0</v>
      </c>
      <c r="E71" s="65"/>
      <c r="F71" s="66"/>
      <c r="G71" s="17"/>
      <c r="H71" s="66">
        <f t="shared" si="16"/>
        <v>0</v>
      </c>
      <c r="I71" s="687"/>
      <c r="J71" s="26">
        <v>0</v>
      </c>
      <c r="K71" s="65"/>
      <c r="L71" s="66"/>
      <c r="M71" s="17"/>
      <c r="N71" s="66">
        <f t="shared" si="17"/>
        <v>0</v>
      </c>
      <c r="O71" s="17"/>
      <c r="P71" s="244"/>
      <c r="Q71" s="244"/>
    </row>
    <row r="72" spans="1:17" ht="15.75" customHeight="1" x14ac:dyDescent="0.25">
      <c r="A72" s="244"/>
      <c r="B72" s="331"/>
      <c r="C72" s="339" t="s">
        <v>272</v>
      </c>
      <c r="D72" s="138">
        <v>33758.17</v>
      </c>
      <c r="E72" s="656">
        <f t="shared" ref="E72:E73" si="18">IFERROR((D72/D$29),"")</f>
        <v>6.6123796647177241E-2</v>
      </c>
      <c r="F72" s="121">
        <f>75%*(F$17+F$18)*17.8%</f>
        <v>0</v>
      </c>
      <c r="G72" s="30" t="str">
        <f t="shared" ref="G72:G73" si="19">IFERROR((F72/F$29),"")</f>
        <v/>
      </c>
      <c r="H72" s="121">
        <f t="shared" si="16"/>
        <v>33758.17</v>
      </c>
      <c r="I72" s="657"/>
      <c r="J72" s="416">
        <v>33274</v>
      </c>
      <c r="K72" s="656">
        <f t="shared" ref="K72:K73" si="20">IFERROR((J72/J$29),"")</f>
        <v>7.2261892352062262E-2</v>
      </c>
      <c r="L72" s="121">
        <f>75%*(L$17+L$18)*17.8%</f>
        <v>0</v>
      </c>
      <c r="M72" s="30" t="str">
        <f t="shared" ref="M72:M73" si="21">IFERROR((L72/L$29),"")</f>
        <v/>
      </c>
      <c r="N72" s="121">
        <f t="shared" si="17"/>
        <v>33274</v>
      </c>
      <c r="O72" s="30"/>
      <c r="P72" s="244"/>
      <c r="Q72" s="244"/>
    </row>
    <row r="73" spans="1:17" ht="15.75" customHeight="1" x14ac:dyDescent="0.25">
      <c r="A73" s="244"/>
      <c r="B73" s="331"/>
      <c r="C73" s="339" t="s">
        <v>308</v>
      </c>
      <c r="D73" s="138">
        <v>6165.2</v>
      </c>
      <c r="E73" s="656">
        <f t="shared" si="18"/>
        <v>1.2076082059222318E-2</v>
      </c>
      <c r="F73" s="121">
        <f>25%*(F$17+F$18)*14%</f>
        <v>0</v>
      </c>
      <c r="G73" s="30" t="str">
        <f t="shared" si="19"/>
        <v/>
      </c>
      <c r="H73" s="121">
        <f t="shared" si="16"/>
        <v>6165.2</v>
      </c>
      <c r="I73" s="657"/>
      <c r="J73" s="416">
        <v>5190</v>
      </c>
      <c r="K73" s="656">
        <f t="shared" si="20"/>
        <v>1.1271239445428958E-2</v>
      </c>
      <c r="L73" s="121">
        <f>25%*(L$17+L$18)*14%</f>
        <v>0</v>
      </c>
      <c r="M73" s="30" t="str">
        <f t="shared" si="21"/>
        <v/>
      </c>
      <c r="N73" s="121">
        <f t="shared" si="17"/>
        <v>5190</v>
      </c>
      <c r="O73" s="30"/>
      <c r="P73" s="244"/>
      <c r="Q73" s="244"/>
    </row>
    <row r="74" spans="1:17" ht="15.75" customHeight="1" x14ac:dyDescent="0.25">
      <c r="A74" s="244"/>
      <c r="B74" s="346"/>
      <c r="C74" s="404"/>
      <c r="D74" s="154"/>
      <c r="E74" s="676"/>
      <c r="F74" s="71"/>
      <c r="G74" s="40"/>
      <c r="H74" s="40"/>
      <c r="I74" s="677"/>
      <c r="J74" s="44"/>
      <c r="K74" s="676"/>
      <c r="L74" s="71"/>
      <c r="M74" s="40"/>
      <c r="N74" s="40"/>
      <c r="O74" s="40"/>
      <c r="P74" s="244"/>
      <c r="Q74" s="244"/>
    </row>
    <row r="75" spans="1:17" ht="15.75" customHeight="1" x14ac:dyDescent="0.25">
      <c r="A75" s="244"/>
      <c r="B75" s="497"/>
      <c r="C75" s="498" t="s">
        <v>219</v>
      </c>
      <c r="D75" s="128">
        <f>SUM(D76:D79)</f>
        <v>253151</v>
      </c>
      <c r="E75" s="104">
        <f>D75/D$29</f>
        <v>0.49585937996726615</v>
      </c>
      <c r="F75" s="634">
        <f>SUM(F76:F79)</f>
        <v>155723</v>
      </c>
      <c r="G75" s="633" t="e">
        <f>F75/F$29</f>
        <v>#DIV/0!</v>
      </c>
      <c r="H75" s="634">
        <f>SUM(H76:H79)</f>
        <v>229351</v>
      </c>
      <c r="I75" s="679"/>
      <c r="J75" s="130">
        <f>SUM(J76:J79)</f>
        <v>236678</v>
      </c>
      <c r="K75" s="704">
        <f>J75/J$29</f>
        <v>0.5139989228256715</v>
      </c>
      <c r="L75" s="634">
        <f>SUM(L76:L79)</f>
        <v>0</v>
      </c>
      <c r="M75" s="633" t="e">
        <f>L75/L$29</f>
        <v>#DIV/0!</v>
      </c>
      <c r="N75" s="634">
        <f>SUM(N76:N79)</f>
        <v>207478</v>
      </c>
      <c r="O75" s="633"/>
      <c r="P75" s="246"/>
      <c r="Q75" s="246"/>
    </row>
    <row r="76" spans="1:17" ht="15.75" customHeight="1" x14ac:dyDescent="0.25">
      <c r="A76" s="244"/>
      <c r="B76" s="371"/>
      <c r="C76" s="393" t="s">
        <v>220</v>
      </c>
      <c r="D76" s="119">
        <v>155723</v>
      </c>
      <c r="E76" s="119">
        <v>155723</v>
      </c>
      <c r="F76" s="119">
        <v>155723</v>
      </c>
      <c r="G76" s="119">
        <v>155723</v>
      </c>
      <c r="H76" s="119">
        <v>155723</v>
      </c>
      <c r="I76" s="705">
        <v>155723</v>
      </c>
      <c r="J76" s="25">
        <v>155723</v>
      </c>
      <c r="K76" s="65">
        <f t="shared" ref="K76:K78" si="22">IFERROR((J76/J$29),"")</f>
        <v>0.33818713297890823</v>
      </c>
      <c r="L76" s="66"/>
      <c r="M76" s="17" t="str">
        <f t="shared" ref="M76:M77" si="23">IFERROR((L76/L$29),"")</f>
        <v/>
      </c>
      <c r="N76" s="66">
        <f t="shared" ref="N76:N77" si="24">J76-L76</f>
        <v>155723</v>
      </c>
      <c r="O76" s="17"/>
      <c r="P76" s="244"/>
      <c r="Q76" s="244"/>
    </row>
    <row r="77" spans="1:17" ht="15.75" customHeight="1" x14ac:dyDescent="0.25">
      <c r="A77" s="244"/>
      <c r="B77" s="331"/>
      <c r="C77" s="339" t="s">
        <v>221</v>
      </c>
      <c r="D77" s="119">
        <v>73628</v>
      </c>
      <c r="E77" s="65">
        <f t="shared" ref="E77:E78" si="25">IFERROR((D77/D$29),"")</f>
        <v>0.14421880390845729</v>
      </c>
      <c r="F77" s="66"/>
      <c r="G77" s="17" t="str">
        <f>IFERROR((F77/F$29),"")</f>
        <v/>
      </c>
      <c r="H77" s="66">
        <f>D77-F77</f>
        <v>73628</v>
      </c>
      <c r="I77" s="687"/>
      <c r="J77" s="25">
        <v>51755</v>
      </c>
      <c r="K77" s="65">
        <f t="shared" si="22"/>
        <v>0.11239749470099726</v>
      </c>
      <c r="L77" s="66"/>
      <c r="M77" s="17" t="str">
        <f t="shared" si="23"/>
        <v/>
      </c>
      <c r="N77" s="66">
        <f t="shared" si="24"/>
        <v>51755</v>
      </c>
      <c r="O77" s="17"/>
      <c r="P77" s="244"/>
      <c r="Q77" s="244"/>
    </row>
    <row r="78" spans="1:17" ht="15.75" customHeight="1" x14ac:dyDescent="0.25">
      <c r="A78" s="244"/>
      <c r="B78" s="331"/>
      <c r="C78" s="339" t="s">
        <v>222</v>
      </c>
      <c r="D78" s="138">
        <v>23800</v>
      </c>
      <c r="E78" s="656">
        <f t="shared" si="25"/>
        <v>4.6618236717298901E-2</v>
      </c>
      <c r="F78" s="121"/>
      <c r="G78" s="30"/>
      <c r="H78" s="30"/>
      <c r="I78" s="657"/>
      <c r="J78" s="26">
        <v>28200</v>
      </c>
      <c r="K78" s="656">
        <f t="shared" si="22"/>
        <v>6.1242572709267175E-2</v>
      </c>
      <c r="L78" s="121"/>
      <c r="M78" s="30"/>
      <c r="N78" s="30"/>
      <c r="O78" s="30"/>
      <c r="P78" s="244"/>
      <c r="Q78" s="244"/>
    </row>
    <row r="79" spans="1:17" ht="15.75" customHeight="1" x14ac:dyDescent="0.25">
      <c r="A79" s="244"/>
      <c r="B79" s="331"/>
      <c r="C79" s="339" t="s">
        <v>223</v>
      </c>
      <c r="D79" s="138">
        <v>0</v>
      </c>
      <c r="E79" s="656"/>
      <c r="F79" s="121"/>
      <c r="G79" s="30"/>
      <c r="H79" s="30"/>
      <c r="I79" s="657"/>
      <c r="J79" s="26">
        <v>1000</v>
      </c>
      <c r="K79" s="656"/>
      <c r="L79" s="121"/>
      <c r="M79" s="30"/>
      <c r="N79" s="30"/>
      <c r="O79" s="30"/>
      <c r="P79" s="244"/>
      <c r="Q79" s="244"/>
    </row>
    <row r="80" spans="1:17" ht="15.75" customHeight="1" x14ac:dyDescent="0.25">
      <c r="A80" s="244"/>
      <c r="B80" s="346"/>
      <c r="C80" s="563"/>
      <c r="D80" s="154"/>
      <c r="E80" s="676"/>
      <c r="F80" s="71"/>
      <c r="G80" s="40"/>
      <c r="H80" s="40"/>
      <c r="I80" s="677"/>
      <c r="J80" s="44"/>
      <c r="K80" s="676"/>
      <c r="L80" s="71"/>
      <c r="M80" s="40"/>
      <c r="N80" s="40"/>
      <c r="O80" s="40"/>
      <c r="P80" s="244"/>
      <c r="Q80" s="244"/>
    </row>
    <row r="81" spans="1:17" ht="15.75" customHeight="1" x14ac:dyDescent="0.25">
      <c r="A81" s="244"/>
      <c r="B81" s="497"/>
      <c r="C81" s="498" t="s">
        <v>37</v>
      </c>
      <c r="D81" s="128">
        <f>SUM(D82:D90)</f>
        <v>1480962.86</v>
      </c>
      <c r="E81" s="104">
        <f>D81/D$29</f>
        <v>2.9008351755045378</v>
      </c>
      <c r="F81" s="108">
        <f>SUM(F82:F89)</f>
        <v>94400</v>
      </c>
      <c r="G81" s="109" t="e">
        <f>F81/F$29</f>
        <v>#DIV/0!</v>
      </c>
      <c r="H81" s="109">
        <f>SUM(H82:H89)</f>
        <v>94400</v>
      </c>
      <c r="I81" s="132"/>
      <c r="J81" s="706">
        <f>SUM(J82:J90)</f>
        <v>1547667.72</v>
      </c>
      <c r="K81" s="104">
        <f>J81/J$29</f>
        <v>3.3611047117689981</v>
      </c>
      <c r="L81" s="108">
        <f>SUM(L82:L89)</f>
        <v>0</v>
      </c>
      <c r="M81" s="109" t="e">
        <f>L81/L$29</f>
        <v>#DIV/0!</v>
      </c>
      <c r="N81" s="109">
        <f>SUM(N82:N89)</f>
        <v>0</v>
      </c>
      <c r="O81" s="109"/>
      <c r="P81" s="246"/>
      <c r="Q81" s="246"/>
    </row>
    <row r="82" spans="1:17" ht="15.75" customHeight="1" x14ac:dyDescent="0.25">
      <c r="A82" s="244"/>
      <c r="B82" s="371"/>
      <c r="C82" s="393" t="s">
        <v>224</v>
      </c>
      <c r="D82" s="119"/>
      <c r="E82" s="65"/>
      <c r="F82" s="66"/>
      <c r="G82" s="17"/>
      <c r="H82" s="17"/>
      <c r="I82" s="687"/>
      <c r="J82" s="26"/>
      <c r="K82" s="707"/>
      <c r="L82" s="66"/>
      <c r="M82" s="17"/>
      <c r="N82" s="17"/>
      <c r="O82" s="17"/>
      <c r="P82" s="244"/>
      <c r="Q82" s="244"/>
    </row>
    <row r="83" spans="1:17" ht="15.75" customHeight="1" x14ac:dyDescent="0.25">
      <c r="A83" s="244"/>
      <c r="B83" s="331"/>
      <c r="C83" s="339" t="s">
        <v>225</v>
      </c>
      <c r="D83" s="138">
        <v>920296</v>
      </c>
      <c r="E83" s="656"/>
      <c r="F83" s="121"/>
      <c r="G83" s="30"/>
      <c r="H83" s="30"/>
      <c r="I83" s="657"/>
      <c r="J83" s="416">
        <v>1000862</v>
      </c>
      <c r="K83" s="708"/>
      <c r="L83" s="121"/>
      <c r="M83" s="30"/>
      <c r="N83" s="30"/>
      <c r="O83" s="30"/>
      <c r="P83" s="244"/>
      <c r="Q83" s="244"/>
    </row>
    <row r="84" spans="1:17" ht="15.75" customHeight="1" x14ac:dyDescent="0.25">
      <c r="A84" s="244"/>
      <c r="B84" s="331"/>
      <c r="C84" s="339" t="s">
        <v>331</v>
      </c>
      <c r="D84" s="119">
        <v>371700</v>
      </c>
      <c r="E84" s="65"/>
      <c r="F84" s="66"/>
      <c r="G84" s="17"/>
      <c r="H84" s="17"/>
      <c r="I84" s="687"/>
      <c r="J84" s="416">
        <v>371700</v>
      </c>
      <c r="K84" s="707"/>
      <c r="L84" s="66"/>
      <c r="M84" s="17"/>
      <c r="N84" s="17"/>
      <c r="O84" s="17"/>
      <c r="P84" s="244"/>
      <c r="Q84" s="244"/>
    </row>
    <row r="85" spans="1:17" ht="15.75" customHeight="1" x14ac:dyDescent="0.25">
      <c r="A85" s="244"/>
      <c r="B85" s="331"/>
      <c r="C85" s="339" t="s">
        <v>226</v>
      </c>
      <c r="D85" s="119">
        <v>4267</v>
      </c>
      <c r="E85" s="65"/>
      <c r="F85" s="66"/>
      <c r="G85" s="17"/>
      <c r="H85" s="17"/>
      <c r="I85" s="687"/>
      <c r="J85" s="416">
        <v>3656</v>
      </c>
      <c r="K85" s="707"/>
      <c r="L85" s="66"/>
      <c r="M85" s="17"/>
      <c r="N85" s="17"/>
      <c r="O85" s="17"/>
      <c r="P85" s="244"/>
      <c r="Q85" s="244"/>
    </row>
    <row r="86" spans="1:17" ht="15.75" customHeight="1" x14ac:dyDescent="0.25">
      <c r="A86" s="244"/>
      <c r="B86" s="331"/>
      <c r="C86" s="339" t="s">
        <v>228</v>
      </c>
      <c r="D86" s="138">
        <v>71463.86</v>
      </c>
      <c r="E86" s="656"/>
      <c r="F86" s="121"/>
      <c r="G86" s="30"/>
      <c r="H86" s="30"/>
      <c r="I86" s="657"/>
      <c r="J86" s="709">
        <v>64359.72</v>
      </c>
      <c r="K86" s="708"/>
      <c r="L86" s="121"/>
      <c r="M86" s="30"/>
      <c r="N86" s="30"/>
      <c r="O86" s="30"/>
      <c r="P86" s="244"/>
      <c r="Q86" s="244"/>
    </row>
    <row r="87" spans="1:17" ht="15.75" customHeight="1" x14ac:dyDescent="0.25">
      <c r="A87" s="244"/>
      <c r="B87" s="331"/>
      <c r="C87" s="339" t="s">
        <v>229</v>
      </c>
      <c r="D87" s="138">
        <v>94400</v>
      </c>
      <c r="E87" s="138">
        <v>94400</v>
      </c>
      <c r="F87" s="138">
        <v>94400</v>
      </c>
      <c r="G87" s="138">
        <v>94400</v>
      </c>
      <c r="H87" s="138">
        <v>94400</v>
      </c>
      <c r="I87" s="710">
        <v>94400</v>
      </c>
      <c r="J87" s="26">
        <v>94400</v>
      </c>
      <c r="K87" s="708"/>
      <c r="L87" s="121"/>
      <c r="M87" s="30"/>
      <c r="N87" s="30"/>
      <c r="O87" s="30"/>
      <c r="P87" s="244"/>
      <c r="Q87" s="244"/>
    </row>
    <row r="88" spans="1:17" ht="15.75" customHeight="1" x14ac:dyDescent="0.25">
      <c r="A88" s="244"/>
      <c r="B88" s="331"/>
      <c r="C88" s="339" t="s">
        <v>230</v>
      </c>
      <c r="D88" s="138">
        <v>18836</v>
      </c>
      <c r="E88" s="656"/>
      <c r="F88" s="121"/>
      <c r="G88" s="30"/>
      <c r="H88" s="30"/>
      <c r="I88" s="657"/>
      <c r="J88" s="416">
        <f>11800+890</f>
        <v>12690</v>
      </c>
      <c r="K88" s="708"/>
      <c r="L88" s="121"/>
      <c r="M88" s="30"/>
      <c r="N88" s="30"/>
      <c r="O88" s="30"/>
      <c r="P88" s="244"/>
      <c r="Q88" s="244"/>
    </row>
    <row r="89" spans="1:17" ht="15.75" customHeight="1" x14ac:dyDescent="0.25">
      <c r="A89" s="244"/>
      <c r="B89" s="331"/>
      <c r="C89" s="339" t="s">
        <v>231</v>
      </c>
      <c r="D89" s="154">
        <v>0</v>
      </c>
      <c r="E89" s="676"/>
      <c r="F89" s="71"/>
      <c r="G89" s="40"/>
      <c r="H89" s="40"/>
      <c r="I89" s="677"/>
      <c r="J89" s="83">
        <v>0</v>
      </c>
      <c r="K89" s="676"/>
      <c r="L89" s="71"/>
      <c r="M89" s="40"/>
      <c r="N89" s="40"/>
      <c r="O89" s="40"/>
      <c r="P89" s="244"/>
      <c r="Q89" s="244"/>
    </row>
    <row r="90" spans="1:17" ht="15.75" customHeight="1" x14ac:dyDescent="0.25">
      <c r="A90" s="244"/>
      <c r="B90" s="331"/>
      <c r="C90" s="339" t="s">
        <v>232</v>
      </c>
      <c r="D90" s="138">
        <v>0</v>
      </c>
      <c r="E90" s="656"/>
      <c r="F90" s="121"/>
      <c r="G90" s="30"/>
      <c r="H90" s="30"/>
      <c r="I90" s="657"/>
      <c r="J90" s="26">
        <v>0</v>
      </c>
      <c r="K90" s="656"/>
      <c r="L90" s="121"/>
      <c r="M90" s="30"/>
      <c r="N90" s="30"/>
      <c r="O90" s="30"/>
      <c r="P90" s="244"/>
      <c r="Q90" s="244"/>
    </row>
    <row r="91" spans="1:17" ht="15.75" customHeight="1" x14ac:dyDescent="0.25">
      <c r="A91" s="244"/>
      <c r="B91" s="346"/>
      <c r="C91" s="563"/>
      <c r="D91" s="125"/>
      <c r="E91" s="711"/>
      <c r="F91" s="84"/>
      <c r="G91" s="87"/>
      <c r="H91" s="87"/>
      <c r="I91" s="712"/>
      <c r="J91" s="83"/>
      <c r="K91" s="711"/>
      <c r="L91" s="84"/>
      <c r="M91" s="87"/>
      <c r="N91" s="87"/>
      <c r="O91" s="87"/>
      <c r="P91" s="244"/>
      <c r="Q91" s="244"/>
    </row>
    <row r="92" spans="1:17" ht="15.75" customHeight="1" x14ac:dyDescent="0.25">
      <c r="A92" s="244"/>
      <c r="B92" s="497"/>
      <c r="C92" s="498" t="s">
        <v>38</v>
      </c>
      <c r="D92" s="128">
        <f>SUM(D93)</f>
        <v>5730.42</v>
      </c>
      <c r="E92" s="104">
        <f>D92/D$29</f>
        <v>1.1224456976871596E-2</v>
      </c>
      <c r="F92" s="108">
        <f>SUM(F93)</f>
        <v>0</v>
      </c>
      <c r="G92" s="109" t="e">
        <f>F92/F$29</f>
        <v>#DIV/0!</v>
      </c>
      <c r="H92" s="109">
        <f>SUM(H93)</f>
        <v>0</v>
      </c>
      <c r="I92" s="132"/>
      <c r="J92" s="111">
        <f>SUM(J93)</f>
        <v>5388</v>
      </c>
      <c r="K92" s="104">
        <f>J92/J$29</f>
        <v>1.1701240487855728E-2</v>
      </c>
      <c r="L92" s="108">
        <f>SUM(L93)</f>
        <v>0</v>
      </c>
      <c r="M92" s="109" t="e">
        <f>L92/L$29</f>
        <v>#DIV/0!</v>
      </c>
      <c r="N92" s="109">
        <f>SUM(N93)</f>
        <v>0</v>
      </c>
      <c r="O92" s="109"/>
      <c r="P92" s="246"/>
      <c r="Q92" s="246"/>
    </row>
    <row r="93" spans="1:17" ht="15.75" customHeight="1" x14ac:dyDescent="0.25">
      <c r="A93" s="244"/>
      <c r="B93" s="371"/>
      <c r="C93" s="393" t="s">
        <v>276</v>
      </c>
      <c r="D93" s="119">
        <v>5730.42</v>
      </c>
      <c r="E93" s="65"/>
      <c r="F93" s="66"/>
      <c r="G93" s="17"/>
      <c r="H93" s="17"/>
      <c r="I93" s="687"/>
      <c r="J93" s="25">
        <v>5388</v>
      </c>
      <c r="K93" s="65"/>
      <c r="L93" s="66"/>
      <c r="M93" s="17"/>
      <c r="N93" s="17"/>
      <c r="O93" s="17"/>
      <c r="P93" s="244"/>
      <c r="Q93" s="244"/>
    </row>
    <row r="94" spans="1:17" ht="15.75" customHeight="1" x14ac:dyDescent="0.25">
      <c r="A94" s="244"/>
      <c r="B94" s="346"/>
      <c r="C94" s="404"/>
      <c r="D94" s="154"/>
      <c r="E94" s="676"/>
      <c r="F94" s="71"/>
      <c r="G94" s="40"/>
      <c r="H94" s="40"/>
      <c r="I94" s="677"/>
      <c r="J94" s="44"/>
      <c r="K94" s="676"/>
      <c r="L94" s="71"/>
      <c r="M94" s="40"/>
      <c r="N94" s="40"/>
      <c r="O94" s="40"/>
      <c r="P94" s="244"/>
      <c r="Q94" s="244"/>
    </row>
    <row r="95" spans="1:17" ht="15.75" customHeight="1" x14ac:dyDescent="0.25">
      <c r="A95" s="244"/>
      <c r="B95" s="497"/>
      <c r="C95" s="374" t="s">
        <v>238</v>
      </c>
      <c r="D95" s="111">
        <f>SUM(D96:D97)</f>
        <v>36280.333333333336</v>
      </c>
      <c r="E95" s="104">
        <f>D95/D$29</f>
        <v>7.1064082668732917E-2</v>
      </c>
      <c r="F95" s="108">
        <f>SUM(F96:F97)</f>
        <v>0</v>
      </c>
      <c r="G95" s="109" t="e">
        <f>F95/F$29</f>
        <v>#DIV/0!</v>
      </c>
      <c r="H95" s="109">
        <f>SUM(H96:H97)</f>
        <v>0</v>
      </c>
      <c r="I95" s="132"/>
      <c r="J95" s="111">
        <f>SUM(J96:J97)</f>
        <v>36281</v>
      </c>
      <c r="K95" s="104">
        <f>J95/J$29</f>
        <v>7.8792261718614268E-2</v>
      </c>
      <c r="L95" s="108">
        <f>SUM(L96:L97)</f>
        <v>0</v>
      </c>
      <c r="M95" s="109" t="e">
        <f>L95/L$29</f>
        <v>#DIV/0!</v>
      </c>
      <c r="N95" s="109">
        <f>SUM(N96:N97)</f>
        <v>0</v>
      </c>
      <c r="O95" s="109"/>
      <c r="P95" s="246"/>
      <c r="Q95" s="246"/>
    </row>
    <row r="96" spans="1:17" ht="15.75" customHeight="1" x14ac:dyDescent="0.25">
      <c r="A96" s="244"/>
      <c r="B96" s="371"/>
      <c r="C96" s="393" t="s">
        <v>239</v>
      </c>
      <c r="D96" s="119"/>
      <c r="E96" s="65"/>
      <c r="F96" s="66"/>
      <c r="G96" s="17"/>
      <c r="H96" s="17"/>
      <c r="I96" s="687"/>
      <c r="J96" s="25"/>
      <c r="K96" s="65"/>
      <c r="L96" s="66"/>
      <c r="M96" s="17"/>
      <c r="N96" s="17"/>
      <c r="O96" s="17"/>
      <c r="P96" s="244"/>
      <c r="Q96" s="244"/>
    </row>
    <row r="97" spans="1:17" ht="15.75" customHeight="1" x14ac:dyDescent="0.25">
      <c r="A97" s="244"/>
      <c r="B97" s="371"/>
      <c r="C97" s="339" t="s">
        <v>301</v>
      </c>
      <c r="D97" s="138">
        <v>36280.333333333336</v>
      </c>
      <c r="E97" s="656"/>
      <c r="F97" s="121"/>
      <c r="G97" s="30"/>
      <c r="H97" s="30"/>
      <c r="I97" s="657"/>
      <c r="J97" s="26">
        <v>36281</v>
      </c>
      <c r="K97" s="656"/>
      <c r="L97" s="121"/>
      <c r="M97" s="30"/>
      <c r="N97" s="30"/>
      <c r="O97" s="30"/>
      <c r="P97" s="244"/>
      <c r="Q97" s="244"/>
    </row>
    <row r="98" spans="1:17" ht="15.75" customHeight="1" x14ac:dyDescent="0.25">
      <c r="A98" s="244"/>
      <c r="B98" s="346"/>
      <c r="C98" s="404"/>
      <c r="D98" s="154"/>
      <c r="E98" s="676"/>
      <c r="F98" s="71"/>
      <c r="G98" s="40"/>
      <c r="H98" s="40"/>
      <c r="I98" s="677"/>
      <c r="J98" s="44"/>
      <c r="K98" s="676"/>
      <c r="L98" s="71"/>
      <c r="M98" s="40"/>
      <c r="N98" s="40"/>
      <c r="O98" s="40"/>
      <c r="P98" s="244"/>
      <c r="Q98" s="244"/>
    </row>
    <row r="99" spans="1:17" ht="15.75" customHeight="1" x14ac:dyDescent="0.25">
      <c r="A99" s="244"/>
      <c r="B99" s="497"/>
      <c r="C99" s="498" t="s">
        <v>40</v>
      </c>
      <c r="D99" s="111">
        <f>SUM(D100:D114)</f>
        <v>60617.263333333336</v>
      </c>
      <c r="E99" s="713">
        <f>D99/D$29</f>
        <v>0.11873403072387297</v>
      </c>
      <c r="F99" s="634">
        <f>SUM(F100:F111)</f>
        <v>17163.333333333332</v>
      </c>
      <c r="G99" s="633" t="e">
        <f>F99/F$29</f>
        <v>#DIV/0!</v>
      </c>
      <c r="H99" s="634">
        <f>SUM(H100:H111)</f>
        <v>60617.263333333336</v>
      </c>
      <c r="I99" s="679"/>
      <c r="J99" s="111">
        <f>SUM(J100:J114)</f>
        <v>100840.33333333333</v>
      </c>
      <c r="K99" s="713">
        <f>J99/J$29</f>
        <v>0.21899721440402145</v>
      </c>
      <c r="L99" s="634">
        <f>SUM(L100:L111)</f>
        <v>0</v>
      </c>
      <c r="M99" s="633" t="e">
        <f>L99/L$29</f>
        <v>#DIV/0!</v>
      </c>
      <c r="N99" s="634">
        <f>SUM(N100:N111)</f>
        <v>80962</v>
      </c>
      <c r="O99" s="633"/>
      <c r="P99" s="246"/>
      <c r="Q99" s="246"/>
    </row>
    <row r="100" spans="1:17" ht="15.75" customHeight="1" x14ac:dyDescent="0.25">
      <c r="A100" s="244"/>
      <c r="B100" s="371"/>
      <c r="C100" s="393" t="s">
        <v>241</v>
      </c>
      <c r="D100" s="119">
        <v>0</v>
      </c>
      <c r="E100" s="65">
        <f t="shared" ref="E100:E102" si="26">IFERROR((D100/D$29),"")</f>
        <v>0</v>
      </c>
      <c r="F100" s="66"/>
      <c r="G100" s="17" t="str">
        <f t="shared" ref="G100:G102" si="27">IFERROR((F100/F$29),"")</f>
        <v/>
      </c>
      <c r="H100" s="66">
        <f t="shared" ref="H100:H102" si="28">D100-F100</f>
        <v>0</v>
      </c>
      <c r="I100" s="687"/>
      <c r="J100" s="83">
        <v>0</v>
      </c>
      <c r="K100" s="65">
        <f t="shared" ref="K100:K113" si="29">IFERROR((J100/J$29),"")</f>
        <v>0</v>
      </c>
      <c r="L100" s="66"/>
      <c r="M100" s="17" t="str">
        <f t="shared" ref="M100:M105" si="30">IFERROR((L100/L$29),"")</f>
        <v/>
      </c>
      <c r="N100" s="66">
        <f t="shared" ref="N100:N105" si="31">J100-L100</f>
        <v>0</v>
      </c>
      <c r="O100" s="17"/>
      <c r="P100" s="244"/>
      <c r="Q100" s="244"/>
    </row>
    <row r="101" spans="1:17" ht="15.75" customHeight="1" x14ac:dyDescent="0.25">
      <c r="A101" s="244"/>
      <c r="B101" s="331"/>
      <c r="C101" s="339" t="s">
        <v>242</v>
      </c>
      <c r="D101" s="297">
        <v>5753</v>
      </c>
      <c r="E101" s="676">
        <f t="shared" si="26"/>
        <v>1.1268685539269772E-2</v>
      </c>
      <c r="F101" s="71"/>
      <c r="G101" s="40" t="str">
        <f t="shared" si="27"/>
        <v/>
      </c>
      <c r="H101" s="71">
        <f t="shared" si="28"/>
        <v>5753</v>
      </c>
      <c r="I101" s="677"/>
      <c r="J101" s="26">
        <v>20520</v>
      </c>
      <c r="K101" s="714">
        <f t="shared" si="29"/>
        <v>4.4563744396956116E-2</v>
      </c>
      <c r="L101" s="71"/>
      <c r="M101" s="40" t="str">
        <f t="shared" si="30"/>
        <v/>
      </c>
      <c r="N101" s="71">
        <f t="shared" si="31"/>
        <v>20520</v>
      </c>
      <c r="O101" s="40"/>
      <c r="P101" s="244"/>
      <c r="Q101" s="244"/>
    </row>
    <row r="102" spans="1:17" ht="15.75" customHeight="1" x14ac:dyDescent="0.25">
      <c r="A102" s="244"/>
      <c r="B102" s="331"/>
      <c r="C102" s="339" t="s">
        <v>243</v>
      </c>
      <c r="D102" s="138">
        <v>0</v>
      </c>
      <c r="E102" s="656">
        <f t="shared" si="26"/>
        <v>0</v>
      </c>
      <c r="F102" s="121"/>
      <c r="G102" s="30" t="str">
        <f t="shared" si="27"/>
        <v/>
      </c>
      <c r="H102" s="121">
        <f t="shared" si="28"/>
        <v>0</v>
      </c>
      <c r="I102" s="657"/>
      <c r="J102" s="25">
        <v>0</v>
      </c>
      <c r="K102" s="656">
        <f t="shared" si="29"/>
        <v>0</v>
      </c>
      <c r="L102" s="121"/>
      <c r="M102" s="30" t="str">
        <f t="shared" si="30"/>
        <v/>
      </c>
      <c r="N102" s="121">
        <f t="shared" si="31"/>
        <v>0</v>
      </c>
      <c r="O102" s="30"/>
      <c r="P102" s="244"/>
      <c r="Q102" s="244"/>
    </row>
    <row r="103" spans="1:17" ht="15.75" customHeight="1" x14ac:dyDescent="0.25">
      <c r="A103" s="244"/>
      <c r="B103" s="331"/>
      <c r="C103" s="339" t="s">
        <v>244</v>
      </c>
      <c r="D103" s="119">
        <v>15000</v>
      </c>
      <c r="E103" s="119">
        <v>15000</v>
      </c>
      <c r="F103" s="119">
        <v>15000</v>
      </c>
      <c r="G103" s="119">
        <v>15000</v>
      </c>
      <c r="H103" s="119">
        <v>15000</v>
      </c>
      <c r="I103" s="705">
        <v>15000</v>
      </c>
      <c r="J103" s="25">
        <v>15000</v>
      </c>
      <c r="K103" s="65">
        <f t="shared" si="29"/>
        <v>3.2575836547482542E-2</v>
      </c>
      <c r="L103" s="66"/>
      <c r="M103" s="17" t="str">
        <f t="shared" si="30"/>
        <v/>
      </c>
      <c r="N103" s="66">
        <f t="shared" si="31"/>
        <v>15000</v>
      </c>
      <c r="O103" s="17"/>
      <c r="P103" s="244"/>
      <c r="Q103" s="244"/>
    </row>
    <row r="104" spans="1:17" ht="15.75" customHeight="1" x14ac:dyDescent="0.25">
      <c r="A104" s="244"/>
      <c r="B104" s="331"/>
      <c r="C104" s="339" t="s">
        <v>245</v>
      </c>
      <c r="D104" s="138">
        <v>17785</v>
      </c>
      <c r="E104" s="656">
        <f t="shared" ref="E104:E105" si="32">IFERROR((D104/D$29),"")</f>
        <v>3.4836358824250464E-2</v>
      </c>
      <c r="F104" s="121"/>
      <c r="G104" s="30" t="str">
        <f t="shared" ref="G104:G105" si="33">IFERROR((F104/F$29),"")</f>
        <v/>
      </c>
      <c r="H104" s="121">
        <f t="shared" ref="H104:H105" si="34">D104-F104</f>
        <v>17785</v>
      </c>
      <c r="I104" s="657"/>
      <c r="J104" s="26">
        <v>4500</v>
      </c>
      <c r="K104" s="656">
        <f t="shared" si="29"/>
        <v>9.7727509642447623E-3</v>
      </c>
      <c r="L104" s="121"/>
      <c r="M104" s="30" t="str">
        <f t="shared" si="30"/>
        <v/>
      </c>
      <c r="N104" s="121">
        <f t="shared" si="31"/>
        <v>4500</v>
      </c>
      <c r="O104" s="30"/>
      <c r="P104" s="244"/>
      <c r="Q104" s="244"/>
    </row>
    <row r="105" spans="1:17" ht="15.75" customHeight="1" x14ac:dyDescent="0.25">
      <c r="A105" s="244"/>
      <c r="B105" s="331"/>
      <c r="C105" s="339" t="s">
        <v>247</v>
      </c>
      <c r="D105" s="154">
        <v>16821.93</v>
      </c>
      <c r="E105" s="676">
        <f t="shared" si="32"/>
        <v>3.2949945999236639E-2</v>
      </c>
      <c r="F105" s="71"/>
      <c r="G105" s="40" t="str">
        <f t="shared" si="33"/>
        <v/>
      </c>
      <c r="H105" s="71">
        <f t="shared" si="34"/>
        <v>16821.93</v>
      </c>
      <c r="I105" s="677"/>
      <c r="J105" s="44">
        <v>36486</v>
      </c>
      <c r="K105" s="676">
        <f t="shared" si="29"/>
        <v>7.9237464818096529E-2</v>
      </c>
      <c r="L105" s="71"/>
      <c r="M105" s="40" t="str">
        <f t="shared" si="30"/>
        <v/>
      </c>
      <c r="N105" s="71">
        <f t="shared" si="31"/>
        <v>36486</v>
      </c>
      <c r="O105" s="40"/>
      <c r="P105" s="244"/>
      <c r="Q105" s="244"/>
    </row>
    <row r="106" spans="1:17" ht="15.75" customHeight="1" x14ac:dyDescent="0.25">
      <c r="A106" s="244"/>
      <c r="B106" s="331"/>
      <c r="C106" s="339" t="s">
        <v>246</v>
      </c>
      <c r="D106" s="138">
        <v>2163.3333333333335</v>
      </c>
      <c r="E106" s="138">
        <v>2163.3333333333335</v>
      </c>
      <c r="F106" s="138">
        <v>2163.3333333333335</v>
      </c>
      <c r="G106" s="138">
        <v>2163.3333333333335</v>
      </c>
      <c r="H106" s="138">
        <v>2163.3333333333335</v>
      </c>
      <c r="I106" s="710">
        <v>2163.3333333333335</v>
      </c>
      <c r="J106" s="26">
        <v>2163.3333333333335</v>
      </c>
      <c r="K106" s="676">
        <f t="shared" si="29"/>
        <v>4.6981595376258158E-3</v>
      </c>
      <c r="L106" s="121"/>
      <c r="M106" s="30"/>
      <c r="N106" s="30"/>
      <c r="O106" s="30"/>
      <c r="P106" s="244"/>
      <c r="Q106" s="244"/>
    </row>
    <row r="107" spans="1:17" ht="15.75" customHeight="1" x14ac:dyDescent="0.25">
      <c r="A107" s="244"/>
      <c r="B107" s="331"/>
      <c r="C107" s="339" t="s">
        <v>249</v>
      </c>
      <c r="D107" s="119">
        <v>0</v>
      </c>
      <c r="E107" s="65">
        <f t="shared" ref="E107:E113" si="35">IFERROR((D107/D$29),"")</f>
        <v>0</v>
      </c>
      <c r="F107" s="66"/>
      <c r="G107" s="17" t="str">
        <f t="shared" ref="G107:G112" si="36">IFERROR((F107/F$29),"")</f>
        <v/>
      </c>
      <c r="H107" s="66">
        <f t="shared" ref="H107:H113" si="37">D107-F107</f>
        <v>0</v>
      </c>
      <c r="I107" s="687"/>
      <c r="J107" s="25">
        <v>0</v>
      </c>
      <c r="K107" s="65">
        <f t="shared" si="29"/>
        <v>0</v>
      </c>
      <c r="L107" s="66"/>
      <c r="M107" s="17" t="str">
        <f t="shared" ref="M107:M112" si="38">IFERROR((L107/L$29),"")</f>
        <v/>
      </c>
      <c r="N107" s="66">
        <f t="shared" ref="N107:N113" si="39">J107-L107</f>
        <v>0</v>
      </c>
      <c r="O107" s="17"/>
      <c r="P107" s="244"/>
      <c r="Q107" s="244"/>
    </row>
    <row r="108" spans="1:17" ht="15.75" customHeight="1" x14ac:dyDescent="0.25">
      <c r="A108" s="244"/>
      <c r="B108" s="331"/>
      <c r="C108" s="339" t="s">
        <v>250</v>
      </c>
      <c r="D108" s="138">
        <v>0</v>
      </c>
      <c r="E108" s="656">
        <f t="shared" si="35"/>
        <v>0</v>
      </c>
      <c r="F108" s="121"/>
      <c r="G108" s="30" t="str">
        <f t="shared" si="36"/>
        <v/>
      </c>
      <c r="H108" s="121">
        <f t="shared" si="37"/>
        <v>0</v>
      </c>
      <c r="I108" s="657"/>
      <c r="J108" s="26">
        <v>0</v>
      </c>
      <c r="K108" s="656">
        <f t="shared" si="29"/>
        <v>0</v>
      </c>
      <c r="L108" s="121"/>
      <c r="M108" s="30" t="str">
        <f t="shared" si="38"/>
        <v/>
      </c>
      <c r="N108" s="121">
        <f t="shared" si="39"/>
        <v>0</v>
      </c>
      <c r="O108" s="30"/>
      <c r="P108" s="244"/>
      <c r="Q108" s="244"/>
    </row>
    <row r="109" spans="1:17" ht="15.75" customHeight="1" x14ac:dyDescent="0.25">
      <c r="A109" s="244"/>
      <c r="B109" s="331"/>
      <c r="C109" s="339" t="s">
        <v>251</v>
      </c>
      <c r="D109" s="138">
        <v>3094</v>
      </c>
      <c r="E109" s="656">
        <f t="shared" si="35"/>
        <v>6.0603707732488571E-3</v>
      </c>
      <c r="F109" s="121"/>
      <c r="G109" s="30" t="str">
        <f t="shared" si="36"/>
        <v/>
      </c>
      <c r="H109" s="121">
        <f t="shared" si="37"/>
        <v>3094</v>
      </c>
      <c r="I109" s="657"/>
      <c r="J109" s="26">
        <v>4456</v>
      </c>
      <c r="K109" s="656">
        <f t="shared" si="29"/>
        <v>9.6771951770388137E-3</v>
      </c>
      <c r="L109" s="121"/>
      <c r="M109" s="30" t="str">
        <f t="shared" si="38"/>
        <v/>
      </c>
      <c r="N109" s="121">
        <f t="shared" si="39"/>
        <v>4456</v>
      </c>
      <c r="O109" s="30"/>
      <c r="P109" s="244"/>
      <c r="Q109" s="244"/>
    </row>
    <row r="110" spans="1:17" ht="15.75" customHeight="1" x14ac:dyDescent="0.25">
      <c r="A110" s="244"/>
      <c r="B110" s="331"/>
      <c r="C110" s="339" t="s">
        <v>252</v>
      </c>
      <c r="D110" s="138">
        <v>0</v>
      </c>
      <c r="E110" s="656">
        <f t="shared" si="35"/>
        <v>0</v>
      </c>
      <c r="F110" s="121"/>
      <c r="G110" s="30" t="str">
        <f t="shared" si="36"/>
        <v/>
      </c>
      <c r="H110" s="121">
        <f t="shared" si="37"/>
        <v>0</v>
      </c>
      <c r="I110" s="657"/>
      <c r="J110" s="26">
        <v>0</v>
      </c>
      <c r="K110" s="656">
        <f t="shared" si="29"/>
        <v>0</v>
      </c>
      <c r="L110" s="121"/>
      <c r="M110" s="30" t="str">
        <f t="shared" si="38"/>
        <v/>
      </c>
      <c r="N110" s="121">
        <f t="shared" si="39"/>
        <v>0</v>
      </c>
      <c r="O110" s="30"/>
      <c r="P110" s="244"/>
      <c r="Q110" s="244"/>
    </row>
    <row r="111" spans="1:17" ht="15.75" customHeight="1" x14ac:dyDescent="0.25">
      <c r="A111" s="244"/>
      <c r="B111" s="331"/>
      <c r="C111" s="339" t="s">
        <v>303</v>
      </c>
      <c r="D111" s="138">
        <v>0</v>
      </c>
      <c r="E111" s="656">
        <f t="shared" si="35"/>
        <v>0</v>
      </c>
      <c r="F111" s="121"/>
      <c r="G111" s="30" t="str">
        <f t="shared" si="36"/>
        <v/>
      </c>
      <c r="H111" s="121">
        <f t="shared" si="37"/>
        <v>0</v>
      </c>
      <c r="I111" s="657"/>
      <c r="J111" s="26">
        <v>0</v>
      </c>
      <c r="K111" s="656">
        <f t="shared" si="29"/>
        <v>0</v>
      </c>
      <c r="L111" s="121"/>
      <c r="M111" s="30" t="str">
        <f t="shared" si="38"/>
        <v/>
      </c>
      <c r="N111" s="121">
        <f t="shared" si="39"/>
        <v>0</v>
      </c>
      <c r="O111" s="30"/>
      <c r="P111" s="244"/>
      <c r="Q111" s="244"/>
    </row>
    <row r="112" spans="1:17" ht="15.75" customHeight="1" x14ac:dyDescent="0.25">
      <c r="A112" s="244"/>
      <c r="B112" s="331"/>
      <c r="C112" s="339" t="s">
        <v>332</v>
      </c>
      <c r="D112" s="138">
        <v>0</v>
      </c>
      <c r="E112" s="656">
        <f t="shared" si="35"/>
        <v>0</v>
      </c>
      <c r="F112" s="121"/>
      <c r="G112" s="30" t="str">
        <f t="shared" si="36"/>
        <v/>
      </c>
      <c r="H112" s="121">
        <f t="shared" si="37"/>
        <v>0</v>
      </c>
      <c r="I112" s="657"/>
      <c r="J112" s="26">
        <v>0</v>
      </c>
      <c r="K112" s="656">
        <f t="shared" si="29"/>
        <v>0</v>
      </c>
      <c r="L112" s="121"/>
      <c r="M112" s="30" t="str">
        <f t="shared" si="38"/>
        <v/>
      </c>
      <c r="N112" s="121">
        <f t="shared" si="39"/>
        <v>0</v>
      </c>
      <c r="O112" s="30"/>
      <c r="P112" s="244"/>
      <c r="Q112" s="244"/>
    </row>
    <row r="113" spans="1:17" ht="15.75" customHeight="1" x14ac:dyDescent="0.25">
      <c r="A113" s="244"/>
      <c r="B113" s="331"/>
      <c r="C113" s="339" t="s">
        <v>280</v>
      </c>
      <c r="D113" s="138">
        <v>0</v>
      </c>
      <c r="E113" s="656">
        <f t="shared" si="35"/>
        <v>0</v>
      </c>
      <c r="F113" s="121"/>
      <c r="G113" s="30"/>
      <c r="H113" s="121">
        <f t="shared" si="37"/>
        <v>0</v>
      </c>
      <c r="I113" s="657"/>
      <c r="J113" s="26">
        <v>17715</v>
      </c>
      <c r="K113" s="656">
        <f t="shared" si="29"/>
        <v>3.8472062962576881E-2</v>
      </c>
      <c r="L113" s="121"/>
      <c r="M113" s="30"/>
      <c r="N113" s="121">
        <f t="shared" si="39"/>
        <v>17715</v>
      </c>
      <c r="O113" s="30"/>
      <c r="P113" s="244"/>
      <c r="Q113" s="244"/>
    </row>
    <row r="114" spans="1:17" ht="15.75" customHeight="1" x14ac:dyDescent="0.25">
      <c r="A114" s="244"/>
      <c r="B114" s="346"/>
      <c r="C114" s="404"/>
      <c r="D114" s="154"/>
      <c r="E114" s="676"/>
      <c r="F114" s="71"/>
      <c r="G114" s="40"/>
      <c r="H114" s="40"/>
      <c r="I114" s="677"/>
      <c r="J114" s="44"/>
      <c r="K114" s="676"/>
      <c r="L114" s="71"/>
      <c r="M114" s="40"/>
      <c r="N114" s="40"/>
      <c r="O114" s="40"/>
      <c r="P114" s="244"/>
      <c r="Q114" s="244"/>
    </row>
    <row r="115" spans="1:17" ht="15.75" customHeight="1" x14ac:dyDescent="0.25">
      <c r="A115" s="244"/>
      <c r="B115" s="497"/>
      <c r="C115" s="498" t="s">
        <v>41</v>
      </c>
      <c r="D115" s="128">
        <f>SUM(D116:D117)</f>
        <v>0</v>
      </c>
      <c r="E115" s="713"/>
      <c r="F115" s="634">
        <f>SUM(F116:F117)</f>
        <v>0</v>
      </c>
      <c r="G115" s="633"/>
      <c r="H115" s="634">
        <f>SUM(H116:H117)</f>
        <v>0</v>
      </c>
      <c r="I115" s="679"/>
      <c r="J115" s="111">
        <f>SUM(J116:J117)</f>
        <v>0</v>
      </c>
      <c r="K115" s="713"/>
      <c r="L115" s="634">
        <f>SUM(L116:L117)</f>
        <v>0</v>
      </c>
      <c r="M115" s="633"/>
      <c r="N115" s="634">
        <f>SUM(N116:N117)</f>
        <v>0</v>
      </c>
      <c r="O115" s="633"/>
      <c r="P115" s="246"/>
      <c r="Q115" s="246"/>
    </row>
    <row r="116" spans="1:17" ht="15.75" customHeight="1" x14ac:dyDescent="0.25">
      <c r="A116" s="244"/>
      <c r="B116" s="371"/>
      <c r="C116" s="393" t="s">
        <v>253</v>
      </c>
      <c r="D116" s="119">
        <v>0</v>
      </c>
      <c r="E116" s="65">
        <f t="shared" ref="E116:E117" si="40">IFERROR((D116/D$29),"")</f>
        <v>0</v>
      </c>
      <c r="F116" s="66"/>
      <c r="G116" s="17"/>
      <c r="H116" s="66">
        <f t="shared" ref="H116:H117" si="41">D116-F116</f>
        <v>0</v>
      </c>
      <c r="I116" s="687"/>
      <c r="J116" s="25">
        <v>0</v>
      </c>
      <c r="K116" s="65">
        <f t="shared" ref="K116:K117" si="42">IFERROR((J116/J$29),"")</f>
        <v>0</v>
      </c>
      <c r="L116" s="66"/>
      <c r="M116" s="17"/>
      <c r="N116" s="66">
        <f t="shared" ref="N116:N117" si="43">J116-L116</f>
        <v>0</v>
      </c>
      <c r="O116" s="17"/>
      <c r="P116" s="244"/>
      <c r="Q116" s="244"/>
    </row>
    <row r="117" spans="1:17" ht="15.75" customHeight="1" x14ac:dyDescent="0.25">
      <c r="A117" s="244"/>
      <c r="B117" s="331"/>
      <c r="C117" s="339" t="s">
        <v>41</v>
      </c>
      <c r="D117" s="138">
        <v>0</v>
      </c>
      <c r="E117" s="656">
        <f t="shared" si="40"/>
        <v>0</v>
      </c>
      <c r="F117" s="121"/>
      <c r="G117" s="30"/>
      <c r="H117" s="121">
        <f t="shared" si="41"/>
        <v>0</v>
      </c>
      <c r="I117" s="657"/>
      <c r="J117" s="26">
        <v>0</v>
      </c>
      <c r="K117" s="656">
        <f t="shared" si="42"/>
        <v>0</v>
      </c>
      <c r="L117" s="121"/>
      <c r="M117" s="30"/>
      <c r="N117" s="121">
        <f t="shared" si="43"/>
        <v>0</v>
      </c>
      <c r="O117" s="30"/>
      <c r="P117" s="244"/>
      <c r="Q117" s="244"/>
    </row>
    <row r="118" spans="1:17" ht="15.75" customHeight="1" x14ac:dyDescent="0.25">
      <c r="A118" s="244"/>
      <c r="B118" s="346"/>
      <c r="C118" s="404"/>
      <c r="D118" s="154"/>
      <c r="E118" s="676"/>
      <c r="F118" s="71"/>
      <c r="G118" s="40"/>
      <c r="H118" s="40"/>
      <c r="I118" s="677"/>
      <c r="J118" s="44"/>
      <c r="K118" s="676"/>
      <c r="L118" s="71"/>
      <c r="M118" s="40"/>
      <c r="N118" s="40"/>
      <c r="O118" s="40"/>
      <c r="P118" s="244"/>
      <c r="Q118" s="244"/>
    </row>
    <row r="119" spans="1:17" ht="15.75" customHeight="1" x14ac:dyDescent="0.25">
      <c r="A119" s="244"/>
      <c r="B119" s="497"/>
      <c r="C119" s="498" t="s">
        <v>42</v>
      </c>
      <c r="D119" s="128">
        <f>SUM(D120:D121)</f>
        <v>-1983159</v>
      </c>
      <c r="E119" s="713"/>
      <c r="F119" s="634">
        <f>SUM(F120:F121)</f>
        <v>0</v>
      </c>
      <c r="G119" s="633"/>
      <c r="H119" s="634">
        <f>SUM(H120:H121)</f>
        <v>-1983159</v>
      </c>
      <c r="I119" s="679"/>
      <c r="J119" s="111">
        <f>SUM(J120:J121)</f>
        <v>-2033815</v>
      </c>
      <c r="K119" s="713"/>
      <c r="L119" s="634">
        <f>SUM(L120:L121)</f>
        <v>0</v>
      </c>
      <c r="M119" s="633"/>
      <c r="N119" s="634">
        <f>SUM(N120:N121)</f>
        <v>-2033815</v>
      </c>
      <c r="O119" s="633"/>
      <c r="P119" s="246"/>
      <c r="Q119" s="246"/>
    </row>
    <row r="120" spans="1:17" ht="15.75" customHeight="1" x14ac:dyDescent="0.25">
      <c r="A120" s="244"/>
      <c r="B120" s="371"/>
      <c r="C120" s="393" t="s">
        <v>333</v>
      </c>
      <c r="D120" s="119">
        <v>-1983159</v>
      </c>
      <c r="E120" s="65">
        <f t="shared" ref="E120:E121" si="44">IFERROR((D120/D$29),"")</f>
        <v>-3.8845115844555367</v>
      </c>
      <c r="F120" s="66"/>
      <c r="G120" s="17"/>
      <c r="H120" s="66">
        <f t="shared" ref="H120:H121" si="45">D120-F120</f>
        <v>-1983159</v>
      </c>
      <c r="I120" s="687"/>
      <c r="J120" s="25">
        <v>-2033815</v>
      </c>
      <c r="K120" s="65">
        <f t="shared" ref="K120:K121" si="46">IFERROR((J120/J$29),"")</f>
        <v>-4.4168816671878801</v>
      </c>
      <c r="L120" s="66"/>
      <c r="M120" s="17"/>
      <c r="N120" s="66">
        <f t="shared" ref="N120:N121" si="47">J120-L120</f>
        <v>-2033815</v>
      </c>
      <c r="O120" s="17"/>
      <c r="P120" s="244"/>
      <c r="Q120" s="244"/>
    </row>
    <row r="121" spans="1:17" ht="15.75" customHeight="1" x14ac:dyDescent="0.25">
      <c r="A121" s="244"/>
      <c r="B121" s="331"/>
      <c r="C121" s="339" t="s">
        <v>256</v>
      </c>
      <c r="D121" s="138">
        <v>0</v>
      </c>
      <c r="E121" s="656">
        <f t="shared" si="44"/>
        <v>0</v>
      </c>
      <c r="F121" s="121"/>
      <c r="G121" s="30"/>
      <c r="H121" s="121">
        <f t="shared" si="45"/>
        <v>0</v>
      </c>
      <c r="I121" s="657"/>
      <c r="J121" s="26">
        <v>0</v>
      </c>
      <c r="K121" s="656">
        <f t="shared" si="46"/>
        <v>0</v>
      </c>
      <c r="L121" s="121"/>
      <c r="M121" s="30"/>
      <c r="N121" s="121">
        <f t="shared" si="47"/>
        <v>0</v>
      </c>
      <c r="O121" s="30"/>
      <c r="P121" s="244"/>
      <c r="Q121" s="244"/>
    </row>
    <row r="122" spans="1:17" ht="15.75" customHeight="1" x14ac:dyDescent="0.25">
      <c r="A122" s="244"/>
      <c r="B122" s="346"/>
      <c r="C122" s="404"/>
      <c r="D122" s="125"/>
      <c r="E122" s="711"/>
      <c r="F122" s="84"/>
      <c r="G122" s="87"/>
      <c r="H122" s="87"/>
      <c r="I122" s="712"/>
      <c r="J122" s="83"/>
      <c r="K122" s="711"/>
      <c r="L122" s="84"/>
      <c r="M122" s="87"/>
      <c r="N122" s="87"/>
      <c r="O122" s="87"/>
      <c r="P122" s="244"/>
      <c r="Q122" s="244"/>
    </row>
    <row r="123" spans="1:17" ht="15.75" customHeight="1" x14ac:dyDescent="0.25">
      <c r="A123" s="244"/>
      <c r="B123" s="347"/>
      <c r="C123" s="320" t="s">
        <v>257</v>
      </c>
      <c r="D123" s="111">
        <f>D59+D61+D69+D75+D81+D92+D95+D99+D115+D119</f>
        <v>-0.1133333332836628</v>
      </c>
      <c r="E123" s="104">
        <f>IFERROR((D123/D$29),"")</f>
        <v>-2.2199160331841693E-7</v>
      </c>
      <c r="F123" s="108">
        <f>F59+F61+F69+F75+F81+F92+F95+F99+F115+F119</f>
        <v>267286.33333333331</v>
      </c>
      <c r="G123" s="109"/>
      <c r="H123" s="109"/>
      <c r="I123" s="132"/>
      <c r="J123" s="111">
        <f>J59+J61+J69+J75+J81+J92+J95+J99+J115+J119</f>
        <v>5.3333333227783442E-2</v>
      </c>
      <c r="K123" s="104">
        <f>IFERROR((J123/J$29),"")</f>
        <v>1.1582519638404618E-7</v>
      </c>
      <c r="L123" s="108">
        <f>L59+L61+L69+L75+L81+L92+L95+L99+L115+L119</f>
        <v>0</v>
      </c>
      <c r="M123" s="109"/>
      <c r="N123" s="109"/>
      <c r="O123" s="109"/>
      <c r="P123" s="244"/>
      <c r="Q123" s="244"/>
    </row>
    <row r="124" spans="1:17" ht="15.75" customHeight="1" x14ac:dyDescent="0.25">
      <c r="A124" s="244"/>
      <c r="B124" s="354"/>
      <c r="C124" s="425"/>
      <c r="D124" s="125"/>
      <c r="E124" s="711"/>
      <c r="F124" s="84"/>
      <c r="G124" s="87"/>
      <c r="H124" s="87"/>
      <c r="I124" s="712"/>
      <c r="J124" s="83"/>
      <c r="K124" s="711"/>
      <c r="L124" s="84"/>
      <c r="M124" s="87"/>
      <c r="N124" s="87"/>
      <c r="O124" s="87"/>
      <c r="P124" s="244"/>
      <c r="Q124" s="244"/>
    </row>
    <row r="125" spans="1:17" ht="15.75" customHeight="1" x14ac:dyDescent="0.25">
      <c r="A125" s="244"/>
      <c r="B125" s="347"/>
      <c r="C125" s="410" t="s">
        <v>258</v>
      </c>
      <c r="D125" s="128">
        <f>D50-D123</f>
        <v>-403003.91456139862</v>
      </c>
      <c r="E125" s="104">
        <f>IFERROR((D125/D$29),"")</f>
        <v>-0.78938369273199083</v>
      </c>
      <c r="F125" s="108">
        <f>F50-F123</f>
        <v>-267286.33333333331</v>
      </c>
      <c r="G125" s="109"/>
      <c r="H125" s="109"/>
      <c r="I125" s="132"/>
      <c r="J125" s="111">
        <f>J50-J123</f>
        <v>-526562.18952252716</v>
      </c>
      <c r="K125" s="104">
        <f>IFERROR((J125/J$29),"")</f>
        <v>-1.1435469211980245</v>
      </c>
      <c r="L125" s="108">
        <f>L50-L123</f>
        <v>0</v>
      </c>
      <c r="M125" s="109"/>
      <c r="N125" s="109"/>
      <c r="O125" s="109"/>
      <c r="P125" s="244"/>
      <c r="Q125" s="244"/>
    </row>
    <row r="126" spans="1:17" ht="15.75" customHeight="1" x14ac:dyDescent="0.25">
      <c r="A126" s="244"/>
      <c r="B126" s="244"/>
      <c r="C126" s="244"/>
      <c r="D126" s="715"/>
      <c r="E126" s="640"/>
      <c r="F126" s="244"/>
      <c r="G126" s="244"/>
      <c r="H126" s="244"/>
      <c r="I126" s="244"/>
      <c r="J126" s="715"/>
      <c r="K126" s="640"/>
      <c r="L126" s="244"/>
      <c r="M126" s="244"/>
      <c r="N126" s="244"/>
      <c r="O126" s="244"/>
      <c r="P126" s="244"/>
      <c r="Q126" s="244"/>
    </row>
    <row r="127" spans="1:17" ht="15.75" customHeight="1" x14ac:dyDescent="0.25">
      <c r="A127" s="244"/>
      <c r="B127" s="244"/>
      <c r="C127" s="244"/>
      <c r="D127" s="715"/>
      <c r="E127" s="640"/>
      <c r="F127" s="244"/>
      <c r="G127" s="244"/>
      <c r="H127" s="244"/>
      <c r="I127" s="244"/>
      <c r="J127" s="715"/>
      <c r="K127" s="640"/>
      <c r="L127" s="244"/>
      <c r="M127" s="244"/>
      <c r="N127" s="244"/>
      <c r="O127" s="244"/>
      <c r="P127" s="244"/>
      <c r="Q127" s="244"/>
    </row>
    <row r="128" spans="1:17" ht="15.75" customHeight="1" x14ac:dyDescent="0.25">
      <c r="A128" s="244"/>
      <c r="B128" s="244"/>
      <c r="C128" s="244"/>
      <c r="D128" s="715"/>
      <c r="E128" s="640"/>
      <c r="F128" s="244"/>
      <c r="G128" s="244"/>
      <c r="H128" s="244"/>
      <c r="I128" s="244"/>
      <c r="J128" s="715"/>
      <c r="K128" s="640"/>
      <c r="L128" s="244"/>
      <c r="M128" s="244"/>
      <c r="N128" s="244"/>
      <c r="O128" s="244"/>
      <c r="P128" s="244"/>
      <c r="Q128" s="244"/>
    </row>
    <row r="129" spans="1:17" ht="15.75" customHeight="1" x14ac:dyDescent="0.25">
      <c r="A129" s="244"/>
      <c r="B129" s="244"/>
      <c r="C129" s="244"/>
      <c r="D129" s="715"/>
      <c r="E129" s="640"/>
      <c r="F129" s="244"/>
      <c r="G129" s="244"/>
      <c r="H129" s="244"/>
      <c r="I129" s="244"/>
      <c r="J129" s="715"/>
      <c r="K129" s="640"/>
      <c r="L129" s="244"/>
      <c r="M129" s="244"/>
      <c r="N129" s="244"/>
      <c r="O129" s="244"/>
      <c r="P129" s="244"/>
      <c r="Q129" s="244"/>
    </row>
    <row r="130" spans="1:17" ht="15.75" customHeight="1" x14ac:dyDescent="0.25">
      <c r="A130" s="244"/>
      <c r="B130" s="244"/>
      <c r="C130" s="244"/>
      <c r="D130" s="715"/>
      <c r="E130" s="640"/>
      <c r="F130" s="244"/>
      <c r="G130" s="244"/>
      <c r="H130" s="244"/>
      <c r="I130" s="244"/>
      <c r="J130" s="715"/>
      <c r="K130" s="640"/>
      <c r="L130" s="244"/>
      <c r="M130" s="244"/>
      <c r="N130" s="244"/>
      <c r="O130" s="244"/>
      <c r="P130" s="244"/>
      <c r="Q130" s="244"/>
    </row>
    <row r="131" spans="1:17" ht="15.75" customHeight="1" x14ac:dyDescent="0.25">
      <c r="A131" s="244"/>
      <c r="B131" s="244"/>
      <c r="C131" s="244"/>
      <c r="D131" s="244"/>
      <c r="E131" s="640"/>
      <c r="F131" s="244"/>
      <c r="G131" s="244"/>
      <c r="H131" s="244"/>
      <c r="I131" s="244"/>
      <c r="J131" s="244"/>
      <c r="K131" s="640"/>
      <c r="L131" s="244"/>
      <c r="M131" s="244"/>
      <c r="N131" s="244"/>
      <c r="O131" s="244"/>
      <c r="P131" s="244"/>
      <c r="Q131" s="244"/>
    </row>
    <row r="132" spans="1:17" ht="15.75" customHeight="1" x14ac:dyDescent="0.25">
      <c r="A132" s="244"/>
      <c r="B132" s="244"/>
      <c r="C132" s="244"/>
      <c r="D132" s="244"/>
      <c r="E132" s="640"/>
      <c r="F132" s="244"/>
      <c r="G132" s="244"/>
      <c r="H132" s="244"/>
      <c r="I132" s="244"/>
      <c r="J132" s="244"/>
      <c r="K132" s="640"/>
      <c r="L132" s="244"/>
      <c r="M132" s="244"/>
      <c r="N132" s="244"/>
      <c r="O132" s="244"/>
      <c r="P132" s="244"/>
      <c r="Q132" s="244"/>
    </row>
    <row r="133" spans="1:17" ht="15.75" customHeight="1" x14ac:dyDescent="0.25">
      <c r="A133" s="244"/>
      <c r="B133" s="244"/>
      <c r="C133" s="244"/>
      <c r="D133" s="244"/>
      <c r="E133" s="640"/>
      <c r="F133" s="244"/>
      <c r="G133" s="244"/>
      <c r="H133" s="244"/>
      <c r="I133" s="244"/>
      <c r="J133" s="244"/>
      <c r="K133" s="640"/>
      <c r="L133" s="244"/>
      <c r="M133" s="244"/>
      <c r="N133" s="244"/>
      <c r="O133" s="244"/>
      <c r="P133" s="244"/>
      <c r="Q133" s="244"/>
    </row>
    <row r="134" spans="1:17" ht="15.75" customHeight="1" x14ac:dyDescent="0.25">
      <c r="A134" s="244"/>
      <c r="B134" s="244"/>
      <c r="C134" s="244"/>
      <c r="D134" s="244"/>
      <c r="E134" s="640"/>
      <c r="F134" s="244"/>
      <c r="G134" s="244"/>
      <c r="H134" s="244"/>
      <c r="I134" s="244"/>
      <c r="J134" s="244"/>
      <c r="K134" s="640"/>
      <c r="L134" s="244"/>
      <c r="M134" s="244"/>
      <c r="N134" s="244"/>
      <c r="O134" s="244"/>
      <c r="P134" s="244"/>
      <c r="Q134" s="244"/>
    </row>
    <row r="135" spans="1:17" ht="15.75" customHeight="1" x14ac:dyDescent="0.25">
      <c r="A135" s="244"/>
      <c r="B135" s="244"/>
      <c r="C135" s="244"/>
      <c r="D135" s="244"/>
      <c r="E135" s="640"/>
      <c r="F135" s="244"/>
      <c r="G135" s="244"/>
      <c r="H135" s="244"/>
      <c r="I135" s="244"/>
      <c r="J135" s="244"/>
      <c r="K135" s="640"/>
      <c r="L135" s="244"/>
      <c r="M135" s="244"/>
      <c r="N135" s="244"/>
      <c r="O135" s="244"/>
      <c r="P135" s="244"/>
      <c r="Q135" s="244"/>
    </row>
    <row r="136" spans="1:17" ht="15.75" customHeight="1" x14ac:dyDescent="0.25">
      <c r="A136" s="244"/>
      <c r="B136" s="244"/>
      <c r="C136" s="244"/>
      <c r="D136" s="244"/>
      <c r="E136" s="640"/>
      <c r="F136" s="244"/>
      <c r="G136" s="244"/>
      <c r="H136" s="244"/>
      <c r="I136" s="244"/>
      <c r="J136" s="244"/>
      <c r="K136" s="640"/>
      <c r="L136" s="244"/>
      <c r="M136" s="244"/>
      <c r="N136" s="244"/>
      <c r="O136" s="244"/>
      <c r="P136" s="244"/>
      <c r="Q136" s="244"/>
    </row>
    <row r="137" spans="1:17" ht="15.75" customHeight="1" x14ac:dyDescent="0.25">
      <c r="A137" s="244"/>
      <c r="B137" s="244"/>
      <c r="C137" s="244"/>
      <c r="D137" s="244"/>
      <c r="E137" s="640"/>
      <c r="F137" s="244"/>
      <c r="G137" s="244"/>
      <c r="H137" s="244"/>
      <c r="I137" s="244"/>
      <c r="J137" s="244"/>
      <c r="K137" s="640"/>
      <c r="L137" s="244"/>
      <c r="M137" s="244"/>
      <c r="N137" s="244"/>
      <c r="O137" s="244"/>
      <c r="P137" s="244"/>
      <c r="Q137" s="244"/>
    </row>
    <row r="138" spans="1:17" ht="15.75" customHeight="1" x14ac:dyDescent="0.25">
      <c r="A138" s="244"/>
      <c r="B138" s="244"/>
      <c r="C138" s="244"/>
      <c r="D138" s="244"/>
      <c r="E138" s="640"/>
      <c r="F138" s="244"/>
      <c r="G138" s="244"/>
      <c r="H138" s="244"/>
      <c r="I138" s="244"/>
      <c r="J138" s="244"/>
      <c r="K138" s="640"/>
      <c r="L138" s="244"/>
      <c r="M138" s="244"/>
      <c r="N138" s="244"/>
      <c r="O138" s="244"/>
      <c r="P138" s="244"/>
      <c r="Q138" s="244"/>
    </row>
    <row r="139" spans="1:17" ht="15.75" customHeight="1" x14ac:dyDescent="0.25">
      <c r="A139" s="244"/>
      <c r="B139" s="244"/>
      <c r="C139" s="244"/>
      <c r="D139" s="244"/>
      <c r="E139" s="640"/>
      <c r="F139" s="244"/>
      <c r="G139" s="244"/>
      <c r="H139" s="244"/>
      <c r="I139" s="244"/>
      <c r="J139" s="244"/>
      <c r="K139" s="640"/>
      <c r="L139" s="244"/>
      <c r="M139" s="244"/>
      <c r="N139" s="244"/>
      <c r="O139" s="244"/>
      <c r="P139" s="244"/>
      <c r="Q139" s="244"/>
    </row>
    <row r="140" spans="1:17" ht="15.75" customHeight="1" x14ac:dyDescent="0.25">
      <c r="A140" s="244"/>
      <c r="B140" s="244"/>
      <c r="C140" s="244"/>
      <c r="D140" s="244"/>
      <c r="E140" s="640"/>
      <c r="F140" s="244"/>
      <c r="G140" s="244"/>
      <c r="H140" s="244"/>
      <c r="I140" s="244"/>
      <c r="J140" s="244"/>
      <c r="K140" s="640"/>
      <c r="L140" s="244"/>
      <c r="M140" s="244"/>
      <c r="N140" s="244"/>
      <c r="O140" s="244"/>
      <c r="P140" s="244"/>
      <c r="Q140" s="244"/>
    </row>
    <row r="141" spans="1:17" ht="15.75" customHeight="1" x14ac:dyDescent="0.25">
      <c r="A141" s="244"/>
      <c r="B141" s="244"/>
      <c r="C141" s="246"/>
      <c r="D141" s="244"/>
      <c r="E141" s="640"/>
      <c r="F141" s="244"/>
      <c r="G141" s="244"/>
      <c r="H141" s="244"/>
      <c r="I141" s="244"/>
      <c r="J141" s="244"/>
      <c r="K141" s="640"/>
      <c r="L141" s="244"/>
      <c r="M141" s="244"/>
      <c r="N141" s="244"/>
      <c r="O141" s="244"/>
      <c r="P141" s="244"/>
      <c r="Q141" s="244"/>
    </row>
    <row r="142" spans="1:17" ht="15.75" customHeight="1" x14ac:dyDescent="0.25">
      <c r="A142" s="244"/>
      <c r="B142" s="244"/>
      <c r="C142" s="246"/>
      <c r="D142" s="244"/>
      <c r="E142" s="640"/>
      <c r="F142" s="244"/>
      <c r="G142" s="244"/>
      <c r="H142" s="244"/>
      <c r="I142" s="244"/>
      <c r="J142" s="244"/>
      <c r="K142" s="640"/>
      <c r="L142" s="244"/>
      <c r="M142" s="244"/>
      <c r="N142" s="244"/>
      <c r="O142" s="244"/>
      <c r="P142" s="244"/>
      <c r="Q142" s="244"/>
    </row>
    <row r="143" spans="1:17" ht="15.75" customHeight="1" x14ac:dyDescent="0.25">
      <c r="A143" s="244"/>
      <c r="B143" s="244"/>
      <c r="C143" s="246"/>
      <c r="D143" s="244"/>
      <c r="E143" s="640"/>
      <c r="F143" s="244"/>
      <c r="G143" s="244"/>
      <c r="H143" s="244"/>
      <c r="I143" s="244"/>
      <c r="J143" s="244"/>
      <c r="K143" s="640"/>
      <c r="L143" s="244"/>
      <c r="M143" s="244"/>
      <c r="N143" s="244"/>
      <c r="O143" s="244"/>
      <c r="P143" s="244"/>
      <c r="Q143" s="244"/>
    </row>
    <row r="144" spans="1:17" ht="15.75" customHeight="1" x14ac:dyDescent="0.25">
      <c r="A144" s="244"/>
      <c r="B144" s="244"/>
      <c r="C144" s="246"/>
      <c r="D144" s="244"/>
      <c r="E144" s="640"/>
      <c r="F144" s="244"/>
      <c r="G144" s="244"/>
      <c r="H144" s="244"/>
      <c r="I144" s="244"/>
      <c r="J144" s="244"/>
      <c r="K144" s="640"/>
      <c r="L144" s="244"/>
      <c r="M144" s="244"/>
      <c r="N144" s="244"/>
      <c r="O144" s="244"/>
      <c r="P144" s="244"/>
      <c r="Q144" s="244"/>
    </row>
    <row r="145" spans="1:17" ht="15.75" customHeight="1" x14ac:dyDescent="0.25">
      <c r="A145" s="244"/>
      <c r="B145" s="244"/>
      <c r="C145" s="244"/>
      <c r="D145" s="244"/>
      <c r="E145" s="640"/>
      <c r="F145" s="244"/>
      <c r="G145" s="244"/>
      <c r="H145" s="244"/>
      <c r="I145" s="244"/>
      <c r="J145" s="244"/>
      <c r="K145" s="640"/>
      <c r="L145" s="244"/>
      <c r="M145" s="244"/>
      <c r="N145" s="244"/>
      <c r="O145" s="244"/>
      <c r="P145" s="244"/>
      <c r="Q145" s="244"/>
    </row>
    <row r="146" spans="1:17" ht="15.75" customHeight="1" x14ac:dyDescent="0.25">
      <c r="A146" s="244"/>
      <c r="B146" s="244"/>
      <c r="C146" s="246"/>
      <c r="D146" s="244"/>
      <c r="E146" s="640"/>
      <c r="F146" s="244"/>
      <c r="G146" s="244"/>
      <c r="H146" s="244"/>
      <c r="I146" s="244"/>
      <c r="J146" s="244"/>
      <c r="K146" s="640"/>
      <c r="L146" s="244"/>
      <c r="M146" s="244"/>
      <c r="N146" s="244"/>
      <c r="O146" s="244"/>
      <c r="P146" s="244"/>
      <c r="Q146" s="244"/>
    </row>
    <row r="147" spans="1:17" ht="15.75" customHeight="1" x14ac:dyDescent="0.25">
      <c r="A147" s="244"/>
      <c r="B147" s="244"/>
      <c r="C147" s="244"/>
      <c r="D147" s="244"/>
      <c r="E147" s="640"/>
      <c r="F147" s="244"/>
      <c r="G147" s="244"/>
      <c r="H147" s="244"/>
      <c r="I147" s="244"/>
      <c r="J147" s="244"/>
      <c r="K147" s="640"/>
      <c r="L147" s="244"/>
      <c r="M147" s="244"/>
      <c r="N147" s="244"/>
      <c r="O147" s="244"/>
      <c r="P147" s="244"/>
      <c r="Q147" s="244"/>
    </row>
    <row r="148" spans="1:17" ht="15.75" customHeight="1" x14ac:dyDescent="0.25">
      <c r="A148" s="244"/>
      <c r="B148" s="244"/>
      <c r="C148" s="244"/>
      <c r="D148" s="244"/>
      <c r="E148" s="640"/>
      <c r="F148" s="244"/>
      <c r="G148" s="244"/>
      <c r="H148" s="244"/>
      <c r="I148" s="244"/>
      <c r="J148" s="244"/>
      <c r="K148" s="640"/>
      <c r="L148" s="244"/>
      <c r="M148" s="244"/>
      <c r="N148" s="244"/>
      <c r="O148" s="244"/>
      <c r="P148" s="244"/>
      <c r="Q148" s="244"/>
    </row>
    <row r="149" spans="1:17" ht="15.75" customHeight="1" x14ac:dyDescent="0.25">
      <c r="A149" s="244"/>
      <c r="B149" s="244"/>
      <c r="C149" s="244"/>
      <c r="D149" s="244"/>
      <c r="E149" s="640"/>
      <c r="F149" s="244"/>
      <c r="G149" s="244"/>
      <c r="H149" s="244"/>
      <c r="I149" s="244"/>
      <c r="J149" s="244"/>
      <c r="K149" s="640"/>
      <c r="L149" s="244"/>
      <c r="M149" s="244"/>
      <c r="N149" s="244"/>
      <c r="O149" s="244"/>
      <c r="P149" s="244"/>
      <c r="Q149" s="244"/>
    </row>
    <row r="150" spans="1:17" ht="15.75" customHeight="1" x14ac:dyDescent="0.25">
      <c r="A150" s="244"/>
      <c r="B150" s="244"/>
      <c r="C150" s="244"/>
      <c r="D150" s="244"/>
      <c r="E150" s="640"/>
      <c r="F150" s="244"/>
      <c r="G150" s="244"/>
      <c r="H150" s="244"/>
      <c r="I150" s="244"/>
      <c r="J150" s="244"/>
      <c r="K150" s="640"/>
      <c r="L150" s="244"/>
      <c r="M150" s="244"/>
      <c r="N150" s="244"/>
      <c r="O150" s="244"/>
      <c r="P150" s="244"/>
      <c r="Q150" s="244"/>
    </row>
    <row r="151" spans="1:17" ht="15.75" customHeight="1" x14ac:dyDescent="0.25">
      <c r="A151" s="244"/>
      <c r="B151" s="244"/>
      <c r="C151" s="244"/>
      <c r="D151" s="244"/>
      <c r="E151" s="640"/>
      <c r="F151" s="244"/>
      <c r="G151" s="244"/>
      <c r="H151" s="244"/>
      <c r="I151" s="244"/>
      <c r="J151" s="244"/>
      <c r="K151" s="640"/>
      <c r="L151" s="244"/>
      <c r="M151" s="244"/>
      <c r="N151" s="244"/>
      <c r="O151" s="244"/>
      <c r="P151" s="244"/>
      <c r="Q151" s="244"/>
    </row>
    <row r="152" spans="1:17" ht="15.75" customHeight="1" x14ac:dyDescent="0.25">
      <c r="A152" s="244"/>
      <c r="B152" s="244"/>
      <c r="C152" s="244"/>
      <c r="D152" s="244"/>
      <c r="E152" s="640"/>
      <c r="F152" s="244"/>
      <c r="G152" s="244"/>
      <c r="H152" s="244"/>
      <c r="I152" s="244"/>
      <c r="J152" s="244"/>
      <c r="K152" s="640"/>
      <c r="L152" s="244"/>
      <c r="M152" s="244"/>
      <c r="N152" s="244"/>
      <c r="O152" s="244"/>
      <c r="P152" s="244"/>
      <c r="Q152" s="244"/>
    </row>
    <row r="153" spans="1:17" ht="15.75" customHeight="1" x14ac:dyDescent="0.25">
      <c r="A153" s="244"/>
      <c r="B153" s="244"/>
      <c r="C153" s="244"/>
      <c r="D153" s="244"/>
      <c r="E153" s="640"/>
      <c r="F153" s="244"/>
      <c r="G153" s="244"/>
      <c r="H153" s="244"/>
      <c r="I153" s="244"/>
      <c r="J153" s="244"/>
      <c r="K153" s="640"/>
      <c r="L153" s="244"/>
      <c r="M153" s="244"/>
      <c r="N153" s="244"/>
      <c r="O153" s="244"/>
      <c r="P153" s="244"/>
      <c r="Q153" s="244"/>
    </row>
    <row r="154" spans="1:17" ht="15.75" customHeight="1" x14ac:dyDescent="0.25">
      <c r="A154" s="244"/>
      <c r="B154" s="244"/>
      <c r="C154" s="244"/>
      <c r="D154" s="244"/>
      <c r="E154" s="640"/>
      <c r="F154" s="244"/>
      <c r="G154" s="244"/>
      <c r="H154" s="244"/>
      <c r="I154" s="244"/>
      <c r="J154" s="244"/>
      <c r="K154" s="640"/>
      <c r="L154" s="244"/>
      <c r="M154" s="244"/>
      <c r="N154" s="244"/>
      <c r="O154" s="244"/>
      <c r="P154" s="244"/>
      <c r="Q154" s="244"/>
    </row>
    <row r="155" spans="1:17" ht="15.75" customHeight="1" x14ac:dyDescent="0.25">
      <c r="A155" s="244"/>
      <c r="B155" s="244"/>
      <c r="C155" s="244"/>
      <c r="D155" s="244"/>
      <c r="E155" s="640"/>
      <c r="F155" s="244"/>
      <c r="G155" s="244"/>
      <c r="H155" s="244"/>
      <c r="I155" s="244"/>
      <c r="J155" s="244"/>
      <c r="K155" s="640"/>
      <c r="L155" s="244"/>
      <c r="M155" s="244"/>
      <c r="N155" s="244"/>
      <c r="O155" s="244"/>
      <c r="P155" s="244"/>
      <c r="Q155" s="244"/>
    </row>
    <row r="156" spans="1:17" ht="15.75" customHeight="1" x14ac:dyDescent="0.25">
      <c r="A156" s="244"/>
      <c r="B156" s="244"/>
      <c r="C156" s="244"/>
      <c r="D156" s="244"/>
      <c r="E156" s="640"/>
      <c r="F156" s="244"/>
      <c r="G156" s="244"/>
      <c r="H156" s="244"/>
      <c r="I156" s="244"/>
      <c r="J156" s="244"/>
      <c r="K156" s="640"/>
      <c r="L156" s="244"/>
      <c r="M156" s="244"/>
      <c r="N156" s="244"/>
      <c r="O156" s="244"/>
      <c r="P156" s="244"/>
      <c r="Q156" s="244"/>
    </row>
    <row r="157" spans="1:17" ht="15.75" customHeight="1" x14ac:dyDescent="0.25">
      <c r="A157" s="244"/>
      <c r="B157" s="244"/>
      <c r="C157" s="244"/>
      <c r="D157" s="244"/>
      <c r="E157" s="640"/>
      <c r="F157" s="244"/>
      <c r="G157" s="244"/>
      <c r="H157" s="244"/>
      <c r="I157" s="244"/>
      <c r="J157" s="244"/>
      <c r="K157" s="640"/>
      <c r="L157" s="244"/>
      <c r="M157" s="244"/>
      <c r="N157" s="244"/>
      <c r="O157" s="244"/>
      <c r="P157" s="244"/>
      <c r="Q157" s="244"/>
    </row>
    <row r="158" spans="1:17" ht="15.75" customHeight="1" x14ac:dyDescent="0.25">
      <c r="A158" s="244"/>
      <c r="B158" s="244"/>
      <c r="C158" s="244"/>
      <c r="D158" s="244"/>
      <c r="E158" s="640"/>
      <c r="F158" s="244"/>
      <c r="G158" s="244"/>
      <c r="H158" s="244"/>
      <c r="I158" s="244"/>
      <c r="J158" s="244"/>
      <c r="K158" s="640"/>
      <c r="L158" s="244"/>
      <c r="M158" s="244"/>
      <c r="N158" s="244"/>
      <c r="O158" s="244"/>
      <c r="P158" s="244"/>
      <c r="Q158" s="244"/>
    </row>
    <row r="159" spans="1:17" ht="15.75" customHeight="1" x14ac:dyDescent="0.25">
      <c r="A159" s="244"/>
      <c r="B159" s="244"/>
      <c r="C159" s="244"/>
      <c r="D159" s="244"/>
      <c r="E159" s="640"/>
      <c r="F159" s="244"/>
      <c r="G159" s="244"/>
      <c r="H159" s="244"/>
      <c r="I159" s="244"/>
      <c r="J159" s="244"/>
      <c r="K159" s="640"/>
      <c r="L159" s="244"/>
      <c r="M159" s="244"/>
      <c r="N159" s="244"/>
      <c r="O159" s="244"/>
      <c r="P159" s="244"/>
      <c r="Q159" s="244"/>
    </row>
    <row r="160" spans="1:17" ht="15.75" customHeight="1" x14ac:dyDescent="0.25">
      <c r="A160" s="244"/>
      <c r="B160" s="244"/>
      <c r="C160" s="244"/>
      <c r="D160" s="244"/>
      <c r="E160" s="640"/>
      <c r="F160" s="244"/>
      <c r="G160" s="244"/>
      <c r="H160" s="244"/>
      <c r="I160" s="244"/>
      <c r="J160" s="244"/>
      <c r="K160" s="640"/>
      <c r="L160" s="244"/>
      <c r="M160" s="244"/>
      <c r="N160" s="244"/>
      <c r="O160" s="244"/>
      <c r="P160" s="244"/>
      <c r="Q160" s="244"/>
    </row>
    <row r="161" spans="1:17" ht="15.75" customHeight="1" x14ac:dyDescent="0.25">
      <c r="A161" s="244"/>
      <c r="B161" s="244"/>
      <c r="C161" s="244"/>
      <c r="D161" s="244"/>
      <c r="E161" s="640"/>
      <c r="F161" s="244"/>
      <c r="G161" s="244"/>
      <c r="H161" s="244"/>
      <c r="I161" s="244"/>
      <c r="J161" s="244"/>
      <c r="K161" s="640"/>
      <c r="L161" s="244"/>
      <c r="M161" s="244"/>
      <c r="N161" s="244"/>
      <c r="O161" s="244"/>
      <c r="P161" s="244"/>
      <c r="Q161" s="244"/>
    </row>
    <row r="162" spans="1:17" ht="15.75" customHeight="1" x14ac:dyDescent="0.25">
      <c r="A162" s="244"/>
      <c r="B162" s="244"/>
      <c r="C162" s="244"/>
      <c r="D162" s="244"/>
      <c r="E162" s="640"/>
      <c r="F162" s="244"/>
      <c r="G162" s="244"/>
      <c r="H162" s="244"/>
      <c r="I162" s="244"/>
      <c r="J162" s="244"/>
      <c r="K162" s="640"/>
      <c r="L162" s="244"/>
      <c r="M162" s="244"/>
      <c r="N162" s="244"/>
      <c r="O162" s="244"/>
      <c r="P162" s="244"/>
      <c r="Q162" s="244"/>
    </row>
    <row r="163" spans="1:17" ht="15.75" customHeight="1" x14ac:dyDescent="0.25">
      <c r="A163" s="244"/>
      <c r="B163" s="244"/>
      <c r="C163" s="244"/>
      <c r="D163" s="244"/>
      <c r="E163" s="640"/>
      <c r="F163" s="244"/>
      <c r="G163" s="244"/>
      <c r="H163" s="244"/>
      <c r="I163" s="244"/>
      <c r="J163" s="244"/>
      <c r="K163" s="640"/>
      <c r="L163" s="244"/>
      <c r="M163" s="244"/>
      <c r="N163" s="244"/>
      <c r="O163" s="244"/>
      <c r="P163" s="244"/>
      <c r="Q163" s="244"/>
    </row>
    <row r="164" spans="1:17" ht="15.75" customHeight="1" x14ac:dyDescent="0.25">
      <c r="A164" s="244"/>
      <c r="B164" s="244"/>
      <c r="C164" s="244"/>
      <c r="D164" s="244"/>
      <c r="E164" s="640"/>
      <c r="F164" s="244"/>
      <c r="G164" s="244"/>
      <c r="H164" s="244"/>
      <c r="I164" s="244"/>
      <c r="J164" s="244"/>
      <c r="K164" s="640"/>
      <c r="L164" s="244"/>
      <c r="M164" s="244"/>
      <c r="N164" s="244"/>
      <c r="O164" s="244"/>
      <c r="P164" s="244"/>
      <c r="Q164" s="244"/>
    </row>
    <row r="165" spans="1:17" ht="15.75" customHeight="1" x14ac:dyDescent="0.25">
      <c r="A165" s="244"/>
      <c r="B165" s="244"/>
      <c r="C165" s="244"/>
      <c r="D165" s="244"/>
      <c r="E165" s="640"/>
      <c r="F165" s="244"/>
      <c r="G165" s="244"/>
      <c r="H165" s="244"/>
      <c r="I165" s="244"/>
      <c r="J165" s="244"/>
      <c r="K165" s="640"/>
      <c r="L165" s="244"/>
      <c r="M165" s="244"/>
      <c r="N165" s="244"/>
      <c r="O165" s="244"/>
      <c r="P165" s="244"/>
      <c r="Q165" s="244"/>
    </row>
    <row r="166" spans="1:17" ht="15.75" customHeight="1" x14ac:dyDescent="0.25">
      <c r="A166" s="244"/>
      <c r="B166" s="244"/>
      <c r="C166" s="244"/>
      <c r="D166" s="244"/>
      <c r="E166" s="640"/>
      <c r="F166" s="244"/>
      <c r="G166" s="244"/>
      <c r="H166" s="244"/>
      <c r="I166" s="244"/>
      <c r="J166" s="244"/>
      <c r="K166" s="640"/>
      <c r="L166" s="244"/>
      <c r="M166" s="244"/>
      <c r="N166" s="244"/>
      <c r="O166" s="244"/>
      <c r="P166" s="244"/>
      <c r="Q166" s="244"/>
    </row>
    <row r="167" spans="1:17" ht="15.75" customHeight="1" x14ac:dyDescent="0.25">
      <c r="A167" s="244"/>
      <c r="B167" s="244"/>
      <c r="C167" s="244"/>
      <c r="D167" s="244"/>
      <c r="E167" s="640"/>
      <c r="F167" s="244"/>
      <c r="G167" s="244"/>
      <c r="H167" s="244"/>
      <c r="I167" s="244"/>
      <c r="J167" s="244"/>
      <c r="K167" s="640"/>
      <c r="L167" s="244"/>
      <c r="M167" s="244"/>
      <c r="N167" s="244"/>
      <c r="O167" s="244"/>
      <c r="P167" s="244"/>
      <c r="Q167" s="244"/>
    </row>
    <row r="168" spans="1:17" ht="15.75" customHeight="1" x14ac:dyDescent="0.25">
      <c r="A168" s="244"/>
      <c r="B168" s="244"/>
      <c r="C168" s="244"/>
      <c r="D168" s="244"/>
      <c r="E168" s="640"/>
      <c r="F168" s="244"/>
      <c r="G168" s="244"/>
      <c r="H168" s="244"/>
      <c r="I168" s="244"/>
      <c r="J168" s="244"/>
      <c r="K168" s="640"/>
      <c r="L168" s="244"/>
      <c r="M168" s="244"/>
      <c r="N168" s="244"/>
      <c r="O168" s="244"/>
      <c r="P168" s="244"/>
      <c r="Q168" s="244"/>
    </row>
    <row r="169" spans="1:17" ht="15.75" customHeight="1" x14ac:dyDescent="0.25">
      <c r="A169" s="244"/>
      <c r="B169" s="244"/>
      <c r="C169" s="244"/>
      <c r="D169" s="244"/>
      <c r="E169" s="640"/>
      <c r="F169" s="244"/>
      <c r="G169" s="244"/>
      <c r="H169" s="244"/>
      <c r="I169" s="244"/>
      <c r="J169" s="244"/>
      <c r="K169" s="640"/>
      <c r="L169" s="244"/>
      <c r="M169" s="244"/>
      <c r="N169" s="244"/>
      <c r="O169" s="244"/>
      <c r="P169" s="244"/>
      <c r="Q169" s="244"/>
    </row>
    <row r="170" spans="1:17" ht="15.75" customHeight="1" x14ac:dyDescent="0.25">
      <c r="A170" s="244"/>
      <c r="B170" s="244"/>
      <c r="C170" s="244"/>
      <c r="D170" s="244"/>
      <c r="E170" s="640"/>
      <c r="F170" s="244"/>
      <c r="G170" s="244"/>
      <c r="H170" s="244"/>
      <c r="I170" s="244"/>
      <c r="J170" s="244"/>
      <c r="K170" s="640"/>
      <c r="L170" s="244"/>
      <c r="M170" s="244"/>
      <c r="N170" s="244"/>
      <c r="O170" s="244"/>
      <c r="P170" s="244"/>
      <c r="Q170" s="244"/>
    </row>
    <row r="171" spans="1:17" ht="15.75" customHeight="1" x14ac:dyDescent="0.25">
      <c r="A171" s="244"/>
      <c r="B171" s="244"/>
      <c r="C171" s="244"/>
      <c r="D171" s="244"/>
      <c r="E171" s="640"/>
      <c r="F171" s="244"/>
      <c r="G171" s="244"/>
      <c r="H171" s="244"/>
      <c r="I171" s="244"/>
      <c r="J171" s="244"/>
      <c r="K171" s="640"/>
      <c r="L171" s="244"/>
      <c r="M171" s="244"/>
      <c r="N171" s="244"/>
      <c r="O171" s="244"/>
      <c r="P171" s="244"/>
      <c r="Q171" s="244"/>
    </row>
    <row r="172" spans="1:17" ht="15.75" customHeight="1" x14ac:dyDescent="0.25">
      <c r="A172" s="244"/>
      <c r="B172" s="244"/>
      <c r="C172" s="244"/>
      <c r="D172" s="244"/>
      <c r="E172" s="640"/>
      <c r="F172" s="244"/>
      <c r="G172" s="244"/>
      <c r="H172" s="244"/>
      <c r="I172" s="244"/>
      <c r="J172" s="244"/>
      <c r="K172" s="640"/>
      <c r="L172" s="244"/>
      <c r="M172" s="244"/>
      <c r="N172" s="244"/>
      <c r="O172" s="244"/>
      <c r="P172" s="244"/>
      <c r="Q172" s="244"/>
    </row>
    <row r="173" spans="1:17" ht="15.75" customHeight="1" x14ac:dyDescent="0.25">
      <c r="A173" s="244"/>
      <c r="B173" s="244"/>
      <c r="C173" s="244"/>
      <c r="D173" s="244"/>
      <c r="E173" s="640"/>
      <c r="F173" s="244"/>
      <c r="G173" s="244"/>
      <c r="H173" s="244"/>
      <c r="I173" s="244"/>
      <c r="J173" s="244"/>
      <c r="K173" s="640"/>
      <c r="L173" s="244"/>
      <c r="M173" s="244"/>
      <c r="N173" s="244"/>
      <c r="O173" s="244"/>
      <c r="P173" s="244"/>
      <c r="Q173" s="244"/>
    </row>
    <row r="174" spans="1:17" ht="15.75" customHeight="1" x14ac:dyDescent="0.25">
      <c r="A174" s="244"/>
      <c r="B174" s="244"/>
      <c r="C174" s="244"/>
      <c r="D174" s="244"/>
      <c r="E174" s="640"/>
      <c r="F174" s="244"/>
      <c r="G174" s="244"/>
      <c r="H174" s="244"/>
      <c r="I174" s="244"/>
      <c r="J174" s="244"/>
      <c r="K174" s="640"/>
      <c r="L174" s="244"/>
      <c r="M174" s="244"/>
      <c r="N174" s="244"/>
      <c r="O174" s="244"/>
      <c r="P174" s="244"/>
      <c r="Q174" s="244"/>
    </row>
    <row r="175" spans="1:17" ht="15.75" customHeight="1" x14ac:dyDescent="0.25">
      <c r="A175" s="244"/>
      <c r="B175" s="244"/>
      <c r="C175" s="244"/>
      <c r="D175" s="244"/>
      <c r="E175" s="640"/>
      <c r="F175" s="244"/>
      <c r="G175" s="244"/>
      <c r="H175" s="244"/>
      <c r="I175" s="244"/>
      <c r="J175" s="244"/>
      <c r="K175" s="640"/>
      <c r="L175" s="244"/>
      <c r="M175" s="244"/>
      <c r="N175" s="244"/>
      <c r="O175" s="244"/>
      <c r="P175" s="244"/>
      <c r="Q175" s="244"/>
    </row>
    <row r="176" spans="1:17" ht="15.75" customHeight="1" x14ac:dyDescent="0.25">
      <c r="A176" s="244"/>
      <c r="B176" s="244"/>
      <c r="C176" s="244"/>
      <c r="D176" s="244"/>
      <c r="E176" s="640"/>
      <c r="F176" s="244"/>
      <c r="G176" s="244"/>
      <c r="H176" s="244"/>
      <c r="I176" s="244"/>
      <c r="J176" s="244"/>
      <c r="K176" s="640"/>
      <c r="L176" s="244"/>
      <c r="M176" s="244"/>
      <c r="N176" s="244"/>
      <c r="O176" s="244"/>
      <c r="P176" s="244"/>
      <c r="Q176" s="244"/>
    </row>
    <row r="177" spans="1:17" ht="15.75" customHeight="1" x14ac:dyDescent="0.25">
      <c r="A177" s="244"/>
      <c r="B177" s="244"/>
      <c r="C177" s="244"/>
      <c r="D177" s="244"/>
      <c r="E177" s="640"/>
      <c r="F177" s="244"/>
      <c r="G177" s="244"/>
      <c r="H177" s="244"/>
      <c r="I177" s="244"/>
      <c r="J177" s="244"/>
      <c r="K177" s="640"/>
      <c r="L177" s="244"/>
      <c r="M177" s="244"/>
      <c r="N177" s="244"/>
      <c r="O177" s="244"/>
      <c r="P177" s="244"/>
      <c r="Q177" s="244"/>
    </row>
    <row r="178" spans="1:17" ht="15.75" customHeight="1" x14ac:dyDescent="0.25">
      <c r="A178" s="244"/>
      <c r="B178" s="244"/>
      <c r="C178" s="244"/>
      <c r="D178" s="244"/>
      <c r="E178" s="640"/>
      <c r="F178" s="244"/>
      <c r="G178" s="244"/>
      <c r="H178" s="244"/>
      <c r="I178" s="244"/>
      <c r="J178" s="244"/>
      <c r="K178" s="640"/>
      <c r="L178" s="244"/>
      <c r="M178" s="244"/>
      <c r="N178" s="244"/>
      <c r="O178" s="244"/>
      <c r="P178" s="244"/>
      <c r="Q178" s="244"/>
    </row>
    <row r="179" spans="1:17" ht="15.75" customHeight="1" x14ac:dyDescent="0.25">
      <c r="A179" s="244"/>
      <c r="B179" s="244"/>
      <c r="C179" s="244"/>
      <c r="D179" s="244"/>
      <c r="E179" s="640"/>
      <c r="F179" s="244"/>
      <c r="G179" s="244"/>
      <c r="H179" s="244"/>
      <c r="I179" s="244"/>
      <c r="J179" s="244"/>
      <c r="K179" s="640"/>
      <c r="L179" s="244"/>
      <c r="M179" s="244"/>
      <c r="N179" s="244"/>
      <c r="O179" s="244"/>
      <c r="P179" s="244"/>
      <c r="Q179" s="244"/>
    </row>
    <row r="180" spans="1:17" ht="15.75" customHeight="1" x14ac:dyDescent="0.25">
      <c r="A180" s="244"/>
      <c r="B180" s="244"/>
      <c r="C180" s="244"/>
      <c r="D180" s="244"/>
      <c r="E180" s="640"/>
      <c r="F180" s="244"/>
      <c r="G180" s="244"/>
      <c r="H180" s="244"/>
      <c r="I180" s="244"/>
      <c r="J180" s="244"/>
      <c r="K180" s="640"/>
      <c r="L180" s="244"/>
      <c r="M180" s="244"/>
      <c r="N180" s="244"/>
      <c r="O180" s="244"/>
      <c r="P180" s="244"/>
      <c r="Q180" s="244"/>
    </row>
    <row r="181" spans="1:17" ht="15.75" customHeight="1" x14ac:dyDescent="0.25">
      <c r="A181" s="244"/>
      <c r="B181" s="244"/>
      <c r="C181" s="244"/>
      <c r="D181" s="244"/>
      <c r="E181" s="640"/>
      <c r="F181" s="244"/>
      <c r="G181" s="244"/>
      <c r="H181" s="244"/>
      <c r="I181" s="244"/>
      <c r="J181" s="244"/>
      <c r="K181" s="640"/>
      <c r="L181" s="244"/>
      <c r="M181" s="244"/>
      <c r="N181" s="244"/>
      <c r="O181" s="244"/>
      <c r="P181" s="244"/>
      <c r="Q181" s="244"/>
    </row>
    <row r="182" spans="1:17" ht="15.75" customHeight="1" x14ac:dyDescent="0.25">
      <c r="A182" s="244"/>
      <c r="B182" s="244"/>
      <c r="C182" s="244"/>
      <c r="D182" s="244"/>
      <c r="E182" s="640"/>
      <c r="F182" s="244"/>
      <c r="G182" s="244"/>
      <c r="H182" s="244"/>
      <c r="I182" s="244"/>
      <c r="J182" s="244"/>
      <c r="K182" s="640"/>
      <c r="L182" s="244"/>
      <c r="M182" s="244"/>
      <c r="N182" s="244"/>
      <c r="O182" s="244"/>
      <c r="P182" s="244"/>
      <c r="Q182" s="244"/>
    </row>
    <row r="183" spans="1:17" ht="15.75" customHeight="1" x14ac:dyDescent="0.25">
      <c r="A183" s="244"/>
      <c r="B183" s="244"/>
      <c r="C183" s="244"/>
      <c r="D183" s="244"/>
      <c r="E183" s="640"/>
      <c r="F183" s="244"/>
      <c r="G183" s="244"/>
      <c r="H183" s="244"/>
      <c r="I183" s="244"/>
      <c r="J183" s="244"/>
      <c r="K183" s="640"/>
      <c r="L183" s="244"/>
      <c r="M183" s="244"/>
      <c r="N183" s="244"/>
      <c r="O183" s="244"/>
      <c r="P183" s="244"/>
      <c r="Q183" s="244"/>
    </row>
    <row r="184" spans="1:17" ht="15.75" customHeight="1" x14ac:dyDescent="0.25">
      <c r="A184" s="244"/>
      <c r="B184" s="244"/>
      <c r="C184" s="244"/>
      <c r="D184" s="244"/>
      <c r="E184" s="640"/>
      <c r="F184" s="244"/>
      <c r="G184" s="244"/>
      <c r="H184" s="244"/>
      <c r="I184" s="244"/>
      <c r="J184" s="244"/>
      <c r="K184" s="640"/>
      <c r="L184" s="244"/>
      <c r="M184" s="244"/>
      <c r="N184" s="244"/>
      <c r="O184" s="244"/>
      <c r="P184" s="244"/>
      <c r="Q184" s="244"/>
    </row>
    <row r="185" spans="1:17" ht="15.75" customHeight="1" x14ac:dyDescent="0.25">
      <c r="A185" s="244"/>
      <c r="B185" s="244"/>
      <c r="C185" s="244"/>
      <c r="D185" s="244"/>
      <c r="E185" s="640"/>
      <c r="F185" s="244"/>
      <c r="G185" s="244"/>
      <c r="H185" s="244"/>
      <c r="I185" s="244"/>
      <c r="J185" s="244"/>
      <c r="K185" s="640"/>
      <c r="L185" s="244"/>
      <c r="M185" s="244"/>
      <c r="N185" s="244"/>
      <c r="O185" s="244"/>
      <c r="P185" s="244"/>
      <c r="Q185" s="244"/>
    </row>
    <row r="186" spans="1:17" ht="15.75" customHeight="1" x14ac:dyDescent="0.25">
      <c r="A186" s="244"/>
      <c r="B186" s="244"/>
      <c r="C186" s="244"/>
      <c r="D186" s="244"/>
      <c r="E186" s="640"/>
      <c r="F186" s="244"/>
      <c r="G186" s="244"/>
      <c r="H186" s="244"/>
      <c r="I186" s="244"/>
      <c r="J186" s="244"/>
      <c r="K186" s="640"/>
      <c r="L186" s="244"/>
      <c r="M186" s="244"/>
      <c r="N186" s="244"/>
      <c r="O186" s="244"/>
      <c r="P186" s="244"/>
      <c r="Q186" s="244"/>
    </row>
    <row r="187" spans="1:17" ht="15.75" customHeight="1" x14ac:dyDescent="0.25">
      <c r="A187" s="244"/>
      <c r="B187" s="244"/>
      <c r="C187" s="244"/>
      <c r="D187" s="244"/>
      <c r="E187" s="640"/>
      <c r="F187" s="244"/>
      <c r="G187" s="244"/>
      <c r="H187" s="244"/>
      <c r="I187" s="244"/>
      <c r="J187" s="244"/>
      <c r="K187" s="640"/>
      <c r="L187" s="244"/>
      <c r="M187" s="244"/>
      <c r="N187" s="244"/>
      <c r="O187" s="244"/>
      <c r="P187" s="244"/>
      <c r="Q187" s="244"/>
    </row>
    <row r="188" spans="1:17" ht="15.75" customHeight="1" x14ac:dyDescent="0.25">
      <c r="A188" s="244"/>
      <c r="B188" s="244"/>
      <c r="C188" s="244"/>
      <c r="D188" s="244"/>
      <c r="E188" s="640"/>
      <c r="F188" s="244"/>
      <c r="G188" s="244"/>
      <c r="H188" s="244"/>
      <c r="I188" s="244"/>
      <c r="J188" s="244"/>
      <c r="K188" s="640"/>
      <c r="L188" s="244"/>
      <c r="M188" s="244"/>
      <c r="N188" s="244"/>
      <c r="O188" s="244"/>
      <c r="P188" s="244"/>
      <c r="Q188" s="244"/>
    </row>
    <row r="189" spans="1:17" ht="15.75" customHeight="1" x14ac:dyDescent="0.25">
      <c r="A189" s="244"/>
      <c r="B189" s="244"/>
      <c r="C189" s="244"/>
      <c r="D189" s="244"/>
      <c r="E189" s="640"/>
      <c r="F189" s="244"/>
      <c r="G189" s="244"/>
      <c r="H189" s="244"/>
      <c r="I189" s="244"/>
      <c r="J189" s="244"/>
      <c r="K189" s="640"/>
      <c r="L189" s="244"/>
      <c r="M189" s="244"/>
      <c r="N189" s="244"/>
      <c r="O189" s="244"/>
      <c r="P189" s="244"/>
      <c r="Q189" s="244"/>
    </row>
    <row r="190" spans="1:17" ht="15.75" customHeight="1" x14ac:dyDescent="0.25">
      <c r="A190" s="244"/>
      <c r="B190" s="244"/>
      <c r="C190" s="244"/>
      <c r="D190" s="244"/>
      <c r="E190" s="640"/>
      <c r="F190" s="244"/>
      <c r="G190" s="244"/>
      <c r="H190" s="244"/>
      <c r="I190" s="244"/>
      <c r="J190" s="244"/>
      <c r="K190" s="640"/>
      <c r="L190" s="244"/>
      <c r="M190" s="244"/>
      <c r="N190" s="244"/>
      <c r="O190" s="244"/>
      <c r="P190" s="244"/>
      <c r="Q190" s="244"/>
    </row>
    <row r="191" spans="1:17" ht="15.75" customHeight="1" x14ac:dyDescent="0.25">
      <c r="A191" s="244"/>
      <c r="B191" s="244"/>
      <c r="C191" s="244"/>
      <c r="D191" s="244"/>
      <c r="E191" s="640"/>
      <c r="F191" s="244"/>
      <c r="G191" s="244"/>
      <c r="H191" s="244"/>
      <c r="I191" s="244"/>
      <c r="J191" s="244"/>
      <c r="K191" s="640"/>
      <c r="L191" s="244"/>
      <c r="M191" s="244"/>
      <c r="N191" s="244"/>
      <c r="O191" s="244"/>
      <c r="P191" s="244"/>
      <c r="Q191" s="244"/>
    </row>
    <row r="192" spans="1:17" ht="15.75" customHeight="1" x14ac:dyDescent="0.25">
      <c r="A192" s="244"/>
      <c r="B192" s="244"/>
      <c r="C192" s="244"/>
      <c r="D192" s="244"/>
      <c r="E192" s="640"/>
      <c r="F192" s="244"/>
      <c r="G192" s="244"/>
      <c r="H192" s="244"/>
      <c r="I192" s="244"/>
      <c r="J192" s="244"/>
      <c r="K192" s="640"/>
      <c r="L192" s="244"/>
      <c r="M192" s="244"/>
      <c r="N192" s="244"/>
      <c r="O192" s="244"/>
      <c r="P192" s="244"/>
      <c r="Q192" s="244"/>
    </row>
    <row r="193" spans="1:17" ht="15.75" customHeight="1" x14ac:dyDescent="0.25">
      <c r="A193" s="244"/>
      <c r="B193" s="244"/>
      <c r="C193" s="244"/>
      <c r="D193" s="244"/>
      <c r="E193" s="640"/>
      <c r="F193" s="244"/>
      <c r="G193" s="244"/>
      <c r="H193" s="244"/>
      <c r="I193" s="244"/>
      <c r="J193" s="244"/>
      <c r="K193" s="640"/>
      <c r="L193" s="244"/>
      <c r="M193" s="244"/>
      <c r="N193" s="244"/>
      <c r="O193" s="244"/>
      <c r="P193" s="244"/>
      <c r="Q193" s="244"/>
    </row>
    <row r="194" spans="1:17" ht="15.75" customHeight="1" x14ac:dyDescent="0.25">
      <c r="A194" s="244"/>
      <c r="B194" s="244"/>
      <c r="C194" s="244"/>
      <c r="D194" s="244"/>
      <c r="E194" s="640"/>
      <c r="F194" s="244"/>
      <c r="G194" s="244"/>
      <c r="H194" s="244"/>
      <c r="I194" s="244"/>
      <c r="J194" s="244"/>
      <c r="K194" s="640"/>
      <c r="L194" s="244"/>
      <c r="M194" s="244"/>
      <c r="N194" s="244"/>
      <c r="O194" s="244"/>
      <c r="P194" s="244"/>
      <c r="Q194" s="244"/>
    </row>
    <row r="195" spans="1:17" ht="15.75" customHeight="1" x14ac:dyDescent="0.25">
      <c r="A195" s="244"/>
      <c r="B195" s="244"/>
      <c r="C195" s="244"/>
      <c r="D195" s="244"/>
      <c r="E195" s="640"/>
      <c r="F195" s="244"/>
      <c r="G195" s="244"/>
      <c r="H195" s="244"/>
      <c r="I195" s="244"/>
      <c r="J195" s="244"/>
      <c r="K195" s="640"/>
      <c r="L195" s="244"/>
      <c r="M195" s="244"/>
      <c r="N195" s="244"/>
      <c r="O195" s="244"/>
      <c r="P195" s="244"/>
      <c r="Q195" s="244"/>
    </row>
    <row r="196" spans="1:17" ht="15.75" customHeight="1" x14ac:dyDescent="0.25">
      <c r="A196" s="244"/>
      <c r="B196" s="244"/>
      <c r="C196" s="244"/>
      <c r="D196" s="244"/>
      <c r="E196" s="640"/>
      <c r="F196" s="244"/>
      <c r="G196" s="244"/>
      <c r="H196" s="244"/>
      <c r="I196" s="244"/>
      <c r="J196" s="244"/>
      <c r="K196" s="640"/>
      <c r="L196" s="244"/>
      <c r="M196" s="244"/>
      <c r="N196" s="244"/>
      <c r="O196" s="244"/>
      <c r="P196" s="244"/>
      <c r="Q196" s="244"/>
    </row>
    <row r="197" spans="1:17" ht="15.75" customHeight="1" x14ac:dyDescent="0.25">
      <c r="A197" s="244"/>
      <c r="B197" s="244"/>
      <c r="C197" s="244"/>
      <c r="D197" s="244"/>
      <c r="E197" s="640"/>
      <c r="F197" s="244"/>
      <c r="G197" s="244"/>
      <c r="H197" s="244"/>
      <c r="I197" s="244"/>
      <c r="J197" s="244"/>
      <c r="K197" s="640"/>
      <c r="L197" s="244"/>
      <c r="M197" s="244"/>
      <c r="N197" s="244"/>
      <c r="O197" s="244"/>
      <c r="P197" s="244"/>
      <c r="Q197" s="244"/>
    </row>
    <row r="198" spans="1:17" ht="15.75" customHeight="1" x14ac:dyDescent="0.25">
      <c r="A198" s="244"/>
      <c r="B198" s="244"/>
      <c r="C198" s="244"/>
      <c r="D198" s="244"/>
      <c r="E198" s="640"/>
      <c r="F198" s="244"/>
      <c r="G198" s="244"/>
      <c r="H198" s="244"/>
      <c r="I198" s="244"/>
      <c r="J198" s="244"/>
      <c r="K198" s="640"/>
      <c r="L198" s="244"/>
      <c r="M198" s="244"/>
      <c r="N198" s="244"/>
      <c r="O198" s="244"/>
      <c r="P198" s="244"/>
      <c r="Q198" s="244"/>
    </row>
    <row r="199" spans="1:17" ht="15.75" customHeight="1" x14ac:dyDescent="0.25">
      <c r="A199" s="244"/>
      <c r="B199" s="244"/>
      <c r="C199" s="244"/>
      <c r="D199" s="244"/>
      <c r="E199" s="640"/>
      <c r="F199" s="244"/>
      <c r="G199" s="244"/>
      <c r="H199" s="244"/>
      <c r="I199" s="244"/>
      <c r="J199" s="244"/>
      <c r="K199" s="640"/>
      <c r="L199" s="244"/>
      <c r="M199" s="244"/>
      <c r="N199" s="244"/>
      <c r="O199" s="244"/>
      <c r="P199" s="244"/>
      <c r="Q199" s="244"/>
    </row>
    <row r="200" spans="1:17" ht="15.75" customHeight="1" x14ac:dyDescent="0.25">
      <c r="A200" s="244"/>
      <c r="B200" s="244"/>
      <c r="C200" s="244"/>
      <c r="D200" s="244"/>
      <c r="E200" s="640"/>
      <c r="F200" s="244"/>
      <c r="G200" s="244"/>
      <c r="H200" s="244"/>
      <c r="I200" s="244"/>
      <c r="J200" s="244"/>
      <c r="K200" s="640"/>
      <c r="L200" s="244"/>
      <c r="M200" s="244"/>
      <c r="N200" s="244"/>
      <c r="O200" s="244"/>
      <c r="P200" s="244"/>
      <c r="Q200" s="244"/>
    </row>
    <row r="201" spans="1:17" ht="15.75" customHeight="1" x14ac:dyDescent="0.25">
      <c r="A201" s="244"/>
      <c r="B201" s="244"/>
      <c r="C201" s="244"/>
      <c r="D201" s="244"/>
      <c r="E201" s="640"/>
      <c r="F201" s="244"/>
      <c r="G201" s="244"/>
      <c r="H201" s="244"/>
      <c r="I201" s="244"/>
      <c r="J201" s="244"/>
      <c r="K201" s="640"/>
      <c r="L201" s="244"/>
      <c r="M201" s="244"/>
      <c r="N201" s="244"/>
      <c r="O201" s="244"/>
      <c r="P201" s="244"/>
      <c r="Q201" s="244"/>
    </row>
    <row r="202" spans="1:17" ht="15.75" customHeight="1" x14ac:dyDescent="0.25">
      <c r="A202" s="244"/>
      <c r="B202" s="244"/>
      <c r="C202" s="244"/>
      <c r="D202" s="244"/>
      <c r="E202" s="640"/>
      <c r="F202" s="244"/>
      <c r="G202" s="244"/>
      <c r="H202" s="244"/>
      <c r="I202" s="244"/>
      <c r="J202" s="244"/>
      <c r="K202" s="640"/>
      <c r="L202" s="244"/>
      <c r="M202" s="244"/>
      <c r="N202" s="244"/>
      <c r="O202" s="244"/>
      <c r="P202" s="244"/>
      <c r="Q202" s="244"/>
    </row>
    <row r="203" spans="1:17" ht="15.75" customHeight="1" x14ac:dyDescent="0.25">
      <c r="A203" s="244"/>
      <c r="B203" s="244"/>
      <c r="C203" s="244"/>
      <c r="D203" s="244"/>
      <c r="E203" s="640"/>
      <c r="F203" s="244"/>
      <c r="G203" s="244"/>
      <c r="H203" s="244"/>
      <c r="I203" s="244"/>
      <c r="J203" s="244"/>
      <c r="K203" s="640"/>
      <c r="L203" s="244"/>
      <c r="M203" s="244"/>
      <c r="N203" s="244"/>
      <c r="O203" s="244"/>
      <c r="P203" s="244"/>
      <c r="Q203" s="244"/>
    </row>
    <row r="204" spans="1:17" ht="15.75" customHeight="1" x14ac:dyDescent="0.25">
      <c r="A204" s="244"/>
      <c r="B204" s="244"/>
      <c r="C204" s="244"/>
      <c r="D204" s="244"/>
      <c r="E204" s="640"/>
      <c r="F204" s="244"/>
      <c r="G204" s="244"/>
      <c r="H204" s="244"/>
      <c r="I204" s="244"/>
      <c r="J204" s="244"/>
      <c r="K204" s="640"/>
      <c r="L204" s="244"/>
      <c r="M204" s="244"/>
      <c r="N204" s="244"/>
      <c r="O204" s="244"/>
      <c r="P204" s="244"/>
      <c r="Q204" s="244"/>
    </row>
    <row r="205" spans="1:17" ht="15.75" customHeight="1" x14ac:dyDescent="0.25">
      <c r="A205" s="244"/>
      <c r="B205" s="244"/>
      <c r="C205" s="244"/>
      <c r="D205" s="244"/>
      <c r="E205" s="640"/>
      <c r="F205" s="244"/>
      <c r="G205" s="244"/>
      <c r="H205" s="244"/>
      <c r="I205" s="244"/>
      <c r="J205" s="244"/>
      <c r="K205" s="640"/>
      <c r="L205" s="244"/>
      <c r="M205" s="244"/>
      <c r="N205" s="244"/>
      <c r="O205" s="244"/>
      <c r="P205" s="244"/>
      <c r="Q205" s="244"/>
    </row>
    <row r="206" spans="1:17" ht="15.75" customHeight="1" x14ac:dyDescent="0.25">
      <c r="A206" s="244"/>
      <c r="B206" s="244"/>
      <c r="C206" s="244"/>
      <c r="D206" s="244"/>
      <c r="E206" s="640"/>
      <c r="F206" s="244"/>
      <c r="G206" s="244"/>
      <c r="H206" s="244"/>
      <c r="I206" s="244"/>
      <c r="J206" s="244"/>
      <c r="K206" s="640"/>
      <c r="L206" s="244"/>
      <c r="M206" s="244"/>
      <c r="N206" s="244"/>
      <c r="O206" s="244"/>
      <c r="P206" s="244"/>
      <c r="Q206" s="244"/>
    </row>
    <row r="207" spans="1:17" ht="15.75" customHeight="1" x14ac:dyDescent="0.25">
      <c r="A207" s="244"/>
      <c r="B207" s="244"/>
      <c r="C207" s="244"/>
      <c r="D207" s="244"/>
      <c r="E207" s="640"/>
      <c r="F207" s="244"/>
      <c r="G207" s="244"/>
      <c r="H207" s="244"/>
      <c r="I207" s="244"/>
      <c r="J207" s="244"/>
      <c r="K207" s="640"/>
      <c r="L207" s="244"/>
      <c r="M207" s="244"/>
      <c r="N207" s="244"/>
      <c r="O207" s="244"/>
      <c r="P207" s="244"/>
      <c r="Q207" s="244"/>
    </row>
    <row r="208" spans="1:17" ht="15.75" customHeight="1" x14ac:dyDescent="0.25">
      <c r="A208" s="244"/>
      <c r="B208" s="244"/>
      <c r="C208" s="244"/>
      <c r="D208" s="244"/>
      <c r="E208" s="640"/>
      <c r="F208" s="244"/>
      <c r="G208" s="244"/>
      <c r="H208" s="244"/>
      <c r="I208" s="244"/>
      <c r="J208" s="244"/>
      <c r="K208" s="640"/>
      <c r="L208" s="244"/>
      <c r="M208" s="244"/>
      <c r="N208" s="244"/>
      <c r="O208" s="244"/>
      <c r="P208" s="244"/>
      <c r="Q208" s="244"/>
    </row>
    <row r="209" spans="1:17" ht="15.75" customHeight="1" x14ac:dyDescent="0.25">
      <c r="A209" s="244"/>
      <c r="B209" s="244"/>
      <c r="C209" s="244"/>
      <c r="D209" s="244"/>
      <c r="E209" s="640"/>
      <c r="F209" s="244"/>
      <c r="G209" s="244"/>
      <c r="H209" s="244"/>
      <c r="I209" s="244"/>
      <c r="J209" s="244"/>
      <c r="K209" s="640"/>
      <c r="L209" s="244"/>
      <c r="M209" s="244"/>
      <c r="N209" s="244"/>
      <c r="O209" s="244"/>
      <c r="P209" s="244"/>
      <c r="Q209" s="244"/>
    </row>
    <row r="210" spans="1:17" ht="15.75" customHeight="1" x14ac:dyDescent="0.25">
      <c r="A210" s="244"/>
      <c r="B210" s="244"/>
      <c r="C210" s="244"/>
      <c r="D210" s="244"/>
      <c r="E210" s="640"/>
      <c r="F210" s="244"/>
      <c r="G210" s="244"/>
      <c r="H210" s="244"/>
      <c r="I210" s="244"/>
      <c r="J210" s="244"/>
      <c r="K210" s="640"/>
      <c r="L210" s="244"/>
      <c r="M210" s="244"/>
      <c r="N210" s="244"/>
      <c r="O210" s="244"/>
      <c r="P210" s="244"/>
      <c r="Q210" s="244"/>
    </row>
    <row r="211" spans="1:17" ht="15.75" customHeight="1" x14ac:dyDescent="0.25">
      <c r="A211" s="244"/>
      <c r="B211" s="244"/>
      <c r="C211" s="244"/>
      <c r="D211" s="244"/>
      <c r="E211" s="640"/>
      <c r="F211" s="244"/>
      <c r="G211" s="244"/>
      <c r="H211" s="244"/>
      <c r="I211" s="244"/>
      <c r="J211" s="244"/>
      <c r="K211" s="640"/>
      <c r="L211" s="244"/>
      <c r="M211" s="244"/>
      <c r="N211" s="244"/>
      <c r="O211" s="244"/>
      <c r="P211" s="244"/>
      <c r="Q211" s="244"/>
    </row>
    <row r="212" spans="1:17" ht="15.75" customHeight="1" x14ac:dyDescent="0.25">
      <c r="A212" s="244"/>
      <c r="B212" s="244"/>
      <c r="C212" s="244"/>
      <c r="D212" s="244"/>
      <c r="E212" s="640"/>
      <c r="F212" s="244"/>
      <c r="G212" s="244"/>
      <c r="H212" s="244"/>
      <c r="I212" s="244"/>
      <c r="J212" s="244"/>
      <c r="K212" s="640"/>
      <c r="L212" s="244"/>
      <c r="M212" s="244"/>
      <c r="N212" s="244"/>
      <c r="O212" s="244"/>
      <c r="P212" s="244"/>
      <c r="Q212" s="244"/>
    </row>
    <row r="213" spans="1:17" ht="15.75" customHeight="1" x14ac:dyDescent="0.25">
      <c r="A213" s="244"/>
      <c r="B213" s="244"/>
      <c r="C213" s="244"/>
      <c r="D213" s="244"/>
      <c r="E213" s="640"/>
      <c r="F213" s="244"/>
      <c r="G213" s="244"/>
      <c r="H213" s="244"/>
      <c r="I213" s="244"/>
      <c r="J213" s="244"/>
      <c r="K213" s="640"/>
      <c r="L213" s="244"/>
      <c r="M213" s="244"/>
      <c r="N213" s="244"/>
      <c r="O213" s="244"/>
      <c r="P213" s="244"/>
      <c r="Q213" s="244"/>
    </row>
    <row r="214" spans="1:17" ht="15.75" customHeight="1" x14ac:dyDescent="0.25">
      <c r="A214" s="244"/>
      <c r="B214" s="244"/>
      <c r="C214" s="244"/>
      <c r="D214" s="244"/>
      <c r="E214" s="640"/>
      <c r="F214" s="244"/>
      <c r="G214" s="244"/>
      <c r="H214" s="244"/>
      <c r="I214" s="244"/>
      <c r="J214" s="244"/>
      <c r="K214" s="640"/>
      <c r="L214" s="244"/>
      <c r="M214" s="244"/>
      <c r="N214" s="244"/>
      <c r="O214" s="244"/>
      <c r="P214" s="244"/>
      <c r="Q214" s="244"/>
    </row>
    <row r="215" spans="1:17" ht="15.75" customHeight="1" x14ac:dyDescent="0.25">
      <c r="A215" s="244"/>
      <c r="B215" s="244"/>
      <c r="C215" s="244"/>
      <c r="D215" s="244"/>
      <c r="E215" s="640"/>
      <c r="F215" s="244"/>
      <c r="G215" s="244"/>
      <c r="H215" s="244"/>
      <c r="I215" s="244"/>
      <c r="J215" s="244"/>
      <c r="K215" s="640"/>
      <c r="L215" s="244"/>
      <c r="M215" s="244"/>
      <c r="N215" s="244"/>
      <c r="O215" s="244"/>
      <c r="P215" s="244"/>
      <c r="Q215" s="244"/>
    </row>
    <row r="216" spans="1:17" ht="15.75" customHeight="1" x14ac:dyDescent="0.25">
      <c r="A216" s="244"/>
      <c r="B216" s="244"/>
      <c r="C216" s="244"/>
      <c r="D216" s="244"/>
      <c r="E216" s="640"/>
      <c r="F216" s="244"/>
      <c r="G216" s="244"/>
      <c r="H216" s="244"/>
      <c r="I216" s="244"/>
      <c r="J216" s="244"/>
      <c r="K216" s="640"/>
      <c r="L216" s="244"/>
      <c r="M216" s="244"/>
      <c r="N216" s="244"/>
      <c r="O216" s="244"/>
      <c r="P216" s="244"/>
      <c r="Q216" s="244"/>
    </row>
    <row r="217" spans="1:17" ht="15.75" customHeight="1" x14ac:dyDescent="0.25">
      <c r="A217" s="244"/>
      <c r="B217" s="244"/>
      <c r="C217" s="244"/>
      <c r="D217" s="244"/>
      <c r="E217" s="640"/>
      <c r="F217" s="244"/>
      <c r="G217" s="244"/>
      <c r="H217" s="244"/>
      <c r="I217" s="244"/>
      <c r="J217" s="244"/>
      <c r="K217" s="640"/>
      <c r="L217" s="244"/>
      <c r="M217" s="244"/>
      <c r="N217" s="244"/>
      <c r="O217" s="244"/>
      <c r="P217" s="244"/>
      <c r="Q217" s="244"/>
    </row>
    <row r="218" spans="1:17" ht="15.75" customHeight="1" x14ac:dyDescent="0.25">
      <c r="A218" s="244"/>
      <c r="B218" s="244"/>
      <c r="C218" s="244"/>
      <c r="D218" s="244"/>
      <c r="E218" s="640"/>
      <c r="F218" s="244"/>
      <c r="G218" s="244"/>
      <c r="H218" s="244"/>
      <c r="I218" s="244"/>
      <c r="J218" s="244"/>
      <c r="K218" s="640"/>
      <c r="L218" s="244"/>
      <c r="M218" s="244"/>
      <c r="N218" s="244"/>
      <c r="O218" s="244"/>
      <c r="P218" s="244"/>
      <c r="Q218" s="244"/>
    </row>
    <row r="219" spans="1:17" ht="15.75" customHeight="1" x14ac:dyDescent="0.25">
      <c r="A219" s="244"/>
      <c r="B219" s="244"/>
      <c r="C219" s="244"/>
      <c r="D219" s="244"/>
      <c r="E219" s="640"/>
      <c r="F219" s="244"/>
      <c r="G219" s="244"/>
      <c r="H219" s="244"/>
      <c r="I219" s="244"/>
      <c r="J219" s="244"/>
      <c r="K219" s="640"/>
      <c r="L219" s="244"/>
      <c r="M219" s="244"/>
      <c r="N219" s="244"/>
      <c r="O219" s="244"/>
      <c r="P219" s="244"/>
      <c r="Q219" s="244"/>
    </row>
    <row r="220" spans="1:17" ht="15.75" customHeight="1" x14ac:dyDescent="0.25">
      <c r="A220" s="244"/>
      <c r="B220" s="244"/>
      <c r="C220" s="244"/>
      <c r="D220" s="244"/>
      <c r="E220" s="640"/>
      <c r="F220" s="244"/>
      <c r="G220" s="244"/>
      <c r="H220" s="244"/>
      <c r="I220" s="244"/>
      <c r="J220" s="244"/>
      <c r="K220" s="640"/>
      <c r="L220" s="244"/>
      <c r="M220" s="244"/>
      <c r="N220" s="244"/>
      <c r="O220" s="244"/>
      <c r="P220" s="244"/>
      <c r="Q220" s="244"/>
    </row>
    <row r="221" spans="1:17" ht="15.75" customHeight="1" x14ac:dyDescent="0.25">
      <c r="A221" s="244"/>
      <c r="B221" s="244"/>
      <c r="C221" s="244"/>
      <c r="D221" s="244"/>
      <c r="E221" s="640"/>
      <c r="F221" s="244"/>
      <c r="G221" s="244"/>
      <c r="H221" s="244"/>
      <c r="I221" s="244"/>
      <c r="J221" s="244"/>
      <c r="K221" s="640"/>
      <c r="L221" s="244"/>
      <c r="M221" s="244"/>
      <c r="N221" s="244"/>
      <c r="O221" s="244"/>
      <c r="P221" s="244"/>
      <c r="Q221" s="244"/>
    </row>
    <row r="222" spans="1:17" ht="15.75" customHeight="1" x14ac:dyDescent="0.25">
      <c r="A222" s="244"/>
      <c r="B222" s="244"/>
      <c r="C222" s="244"/>
      <c r="D222" s="244"/>
      <c r="E222" s="640"/>
      <c r="F222" s="244"/>
      <c r="G222" s="244"/>
      <c r="H222" s="244"/>
      <c r="I222" s="244"/>
      <c r="J222" s="244"/>
      <c r="K222" s="640"/>
      <c r="L222" s="244"/>
      <c r="M222" s="244"/>
      <c r="N222" s="244"/>
      <c r="O222" s="244"/>
      <c r="P222" s="244"/>
      <c r="Q222" s="244"/>
    </row>
    <row r="223" spans="1:17" ht="15.75" customHeight="1" x14ac:dyDescent="0.25">
      <c r="A223" s="244"/>
      <c r="B223" s="244"/>
      <c r="C223" s="244"/>
      <c r="D223" s="244"/>
      <c r="E223" s="640"/>
      <c r="F223" s="244"/>
      <c r="G223" s="244"/>
      <c r="H223" s="244"/>
      <c r="I223" s="244"/>
      <c r="J223" s="244"/>
      <c r="K223" s="640"/>
      <c r="L223" s="244"/>
      <c r="M223" s="244"/>
      <c r="N223" s="244"/>
      <c r="O223" s="244"/>
      <c r="P223" s="244"/>
      <c r="Q223" s="244"/>
    </row>
    <row r="224" spans="1:17" ht="15.75" customHeight="1" x14ac:dyDescent="0.25">
      <c r="A224" s="244"/>
      <c r="B224" s="244"/>
      <c r="C224" s="244"/>
      <c r="D224" s="244"/>
      <c r="E224" s="640"/>
      <c r="F224" s="244"/>
      <c r="G224" s="244"/>
      <c r="H224" s="244"/>
      <c r="I224" s="244"/>
      <c r="J224" s="244"/>
      <c r="K224" s="640"/>
      <c r="L224" s="244"/>
      <c r="M224" s="244"/>
      <c r="N224" s="244"/>
      <c r="O224" s="244"/>
      <c r="P224" s="244"/>
      <c r="Q224" s="244"/>
    </row>
    <row r="225" spans="1:17" ht="15.75" customHeight="1" x14ac:dyDescent="0.25">
      <c r="A225" s="244"/>
      <c r="B225" s="244"/>
      <c r="C225" s="244"/>
      <c r="D225" s="244"/>
      <c r="E225" s="640"/>
      <c r="F225" s="244"/>
      <c r="G225" s="244"/>
      <c r="H225" s="244"/>
      <c r="I225" s="244"/>
      <c r="J225" s="244"/>
      <c r="K225" s="640"/>
      <c r="L225" s="244"/>
      <c r="M225" s="244"/>
      <c r="N225" s="244"/>
      <c r="O225" s="244"/>
      <c r="P225" s="244"/>
      <c r="Q225" s="244"/>
    </row>
    <row r="226" spans="1:17" ht="15.75" customHeight="1" x14ac:dyDescent="0.25">
      <c r="A226" s="244"/>
      <c r="B226" s="244"/>
      <c r="C226" s="244"/>
      <c r="D226" s="244"/>
      <c r="E226" s="640"/>
      <c r="F226" s="244"/>
      <c r="G226" s="244"/>
      <c r="H226" s="244"/>
      <c r="I226" s="244"/>
      <c r="J226" s="244"/>
      <c r="K226" s="640"/>
      <c r="L226" s="244"/>
      <c r="M226" s="244"/>
      <c r="N226" s="244"/>
      <c r="O226" s="244"/>
      <c r="P226" s="244"/>
      <c r="Q226" s="244"/>
    </row>
    <row r="227" spans="1:17" ht="15.75" customHeight="1" x14ac:dyDescent="0.25">
      <c r="A227" s="244"/>
      <c r="B227" s="244"/>
      <c r="C227" s="244"/>
      <c r="D227" s="244"/>
      <c r="E227" s="640"/>
      <c r="F227" s="244"/>
      <c r="G227" s="244"/>
      <c r="H227" s="244"/>
      <c r="I227" s="244"/>
      <c r="J227" s="244"/>
      <c r="K227" s="640"/>
      <c r="L227" s="244"/>
      <c r="M227" s="244"/>
      <c r="N227" s="244"/>
      <c r="O227" s="244"/>
      <c r="P227" s="244"/>
      <c r="Q227" s="244"/>
    </row>
    <row r="228" spans="1:17" ht="15.75" customHeight="1" x14ac:dyDescent="0.25">
      <c r="A228" s="244"/>
      <c r="B228" s="244"/>
      <c r="C228" s="244"/>
      <c r="D228" s="244"/>
      <c r="E228" s="640"/>
      <c r="F228" s="244"/>
      <c r="G228" s="244"/>
      <c r="H228" s="244"/>
      <c r="I228" s="244"/>
      <c r="J228" s="244"/>
      <c r="K228" s="640"/>
      <c r="L228" s="244"/>
      <c r="M228" s="244"/>
      <c r="N228" s="244"/>
      <c r="O228" s="244"/>
      <c r="P228" s="244"/>
      <c r="Q228" s="244"/>
    </row>
    <row r="229" spans="1:17" ht="15.75" customHeight="1" x14ac:dyDescent="0.25">
      <c r="A229" s="244"/>
      <c r="B229" s="244"/>
      <c r="C229" s="244"/>
      <c r="D229" s="244"/>
      <c r="E229" s="640"/>
      <c r="F229" s="244"/>
      <c r="G229" s="244"/>
      <c r="H229" s="244"/>
      <c r="I229" s="244"/>
      <c r="J229" s="244"/>
      <c r="K229" s="640"/>
      <c r="L229" s="244"/>
      <c r="M229" s="244"/>
      <c r="N229" s="244"/>
      <c r="O229" s="244"/>
      <c r="P229" s="244"/>
      <c r="Q229" s="244"/>
    </row>
    <row r="230" spans="1:17" ht="15.75" customHeight="1" x14ac:dyDescent="0.25">
      <c r="A230" s="244"/>
      <c r="B230" s="244"/>
      <c r="C230" s="244"/>
      <c r="D230" s="244"/>
      <c r="E230" s="640"/>
      <c r="F230" s="244"/>
      <c r="G230" s="244"/>
      <c r="H230" s="244"/>
      <c r="I230" s="244"/>
      <c r="J230" s="244"/>
      <c r="K230" s="640"/>
      <c r="L230" s="244"/>
      <c r="M230" s="244"/>
      <c r="N230" s="244"/>
      <c r="O230" s="244"/>
      <c r="P230" s="244"/>
      <c r="Q230" s="244"/>
    </row>
    <row r="231" spans="1:17" ht="15.75" customHeight="1" x14ac:dyDescent="0.25">
      <c r="A231" s="244"/>
      <c r="B231" s="244"/>
      <c r="C231" s="244"/>
      <c r="D231" s="244"/>
      <c r="E231" s="640"/>
      <c r="F231" s="244"/>
      <c r="G231" s="244"/>
      <c r="H231" s="244"/>
      <c r="I231" s="244"/>
      <c r="J231" s="244"/>
      <c r="K231" s="640"/>
      <c r="L231" s="244"/>
      <c r="M231" s="244"/>
      <c r="N231" s="244"/>
      <c r="O231" s="244"/>
      <c r="P231" s="244"/>
      <c r="Q231" s="244"/>
    </row>
    <row r="232" spans="1:17" ht="15.75" customHeight="1" x14ac:dyDescent="0.25">
      <c r="A232" s="244"/>
      <c r="B232" s="244"/>
      <c r="C232" s="244"/>
      <c r="D232" s="244"/>
      <c r="E232" s="640"/>
      <c r="F232" s="244"/>
      <c r="G232" s="244"/>
      <c r="H232" s="244"/>
      <c r="I232" s="244"/>
      <c r="J232" s="244"/>
      <c r="K232" s="640"/>
      <c r="L232" s="244"/>
      <c r="M232" s="244"/>
      <c r="N232" s="244"/>
      <c r="O232" s="244"/>
      <c r="P232" s="244"/>
      <c r="Q232" s="244"/>
    </row>
    <row r="233" spans="1:17" ht="15.75" customHeight="1" x14ac:dyDescent="0.25">
      <c r="A233" s="244"/>
      <c r="B233" s="244"/>
      <c r="C233" s="244"/>
      <c r="D233" s="244"/>
      <c r="E233" s="640"/>
      <c r="F233" s="244"/>
      <c r="G233" s="244"/>
      <c r="H233" s="244"/>
      <c r="I233" s="244"/>
      <c r="J233" s="244"/>
      <c r="K233" s="640"/>
      <c r="L233" s="244"/>
      <c r="M233" s="244"/>
      <c r="N233" s="244"/>
      <c r="O233" s="244"/>
      <c r="P233" s="244"/>
      <c r="Q233" s="244"/>
    </row>
    <row r="234" spans="1:17" ht="15.75" customHeight="1" x14ac:dyDescent="0.25">
      <c r="A234" s="244"/>
      <c r="B234" s="244"/>
      <c r="C234" s="244"/>
      <c r="D234" s="244"/>
      <c r="E234" s="640"/>
      <c r="F234" s="244"/>
      <c r="G234" s="244"/>
      <c r="H234" s="244"/>
      <c r="I234" s="244"/>
      <c r="J234" s="244"/>
      <c r="K234" s="640"/>
      <c r="L234" s="244"/>
      <c r="M234" s="244"/>
      <c r="N234" s="244"/>
      <c r="O234" s="244"/>
      <c r="P234" s="244"/>
      <c r="Q234" s="244"/>
    </row>
    <row r="235" spans="1:17" ht="15.75" customHeight="1" x14ac:dyDescent="0.25">
      <c r="A235" s="244"/>
      <c r="B235" s="244"/>
      <c r="C235" s="244"/>
      <c r="D235" s="244"/>
      <c r="E235" s="640"/>
      <c r="F235" s="244"/>
      <c r="G235" s="244"/>
      <c r="H235" s="244"/>
      <c r="I235" s="244"/>
      <c r="J235" s="244"/>
      <c r="K235" s="640"/>
      <c r="L235" s="244"/>
      <c r="M235" s="244"/>
      <c r="N235" s="244"/>
      <c r="O235" s="244"/>
      <c r="P235" s="244"/>
      <c r="Q235" s="244"/>
    </row>
    <row r="236" spans="1:17" ht="15.75" customHeight="1" x14ac:dyDescent="0.25">
      <c r="A236" s="244"/>
      <c r="B236" s="244"/>
      <c r="C236" s="244"/>
      <c r="D236" s="244"/>
      <c r="E236" s="640"/>
      <c r="F236" s="244"/>
      <c r="G236" s="244"/>
      <c r="H236" s="244"/>
      <c r="I236" s="244"/>
      <c r="J236" s="244"/>
      <c r="K236" s="640"/>
      <c r="L236" s="244"/>
      <c r="M236" s="244"/>
      <c r="N236" s="244"/>
      <c r="O236" s="244"/>
      <c r="P236" s="244"/>
      <c r="Q236" s="244"/>
    </row>
    <row r="237" spans="1:17" ht="15.75" customHeight="1" x14ac:dyDescent="0.25">
      <c r="A237" s="244"/>
      <c r="B237" s="244"/>
      <c r="C237" s="244"/>
      <c r="D237" s="244"/>
      <c r="E237" s="640"/>
      <c r="F237" s="244"/>
      <c r="G237" s="244"/>
      <c r="H237" s="244"/>
      <c r="I237" s="244"/>
      <c r="J237" s="244"/>
      <c r="K237" s="640"/>
      <c r="L237" s="244"/>
      <c r="M237" s="244"/>
      <c r="N237" s="244"/>
      <c r="O237" s="244"/>
      <c r="P237" s="244"/>
      <c r="Q237" s="244"/>
    </row>
    <row r="238" spans="1:17" ht="15.75" customHeight="1" x14ac:dyDescent="0.25">
      <c r="A238" s="244"/>
      <c r="B238" s="244"/>
      <c r="C238" s="244"/>
      <c r="D238" s="244"/>
      <c r="E238" s="640"/>
      <c r="F238" s="244"/>
      <c r="G238" s="244"/>
      <c r="H238" s="244"/>
      <c r="I238" s="244"/>
      <c r="J238" s="244"/>
      <c r="K238" s="640"/>
      <c r="L238" s="244"/>
      <c r="M238" s="244"/>
      <c r="N238" s="244"/>
      <c r="O238" s="244"/>
      <c r="P238" s="244"/>
      <c r="Q238" s="244"/>
    </row>
    <row r="239" spans="1:17" ht="15.75" customHeight="1" x14ac:dyDescent="0.25">
      <c r="A239" s="244"/>
      <c r="B239" s="244"/>
      <c r="C239" s="244"/>
      <c r="D239" s="244"/>
      <c r="E239" s="640"/>
      <c r="F239" s="244"/>
      <c r="G239" s="244"/>
      <c r="H239" s="244"/>
      <c r="I239" s="244"/>
      <c r="J239" s="244"/>
      <c r="K239" s="640"/>
      <c r="L239" s="244"/>
      <c r="M239" s="244"/>
      <c r="N239" s="244"/>
      <c r="O239" s="244"/>
      <c r="P239" s="244"/>
      <c r="Q239" s="244"/>
    </row>
    <row r="240" spans="1:17" ht="15.75" customHeight="1" x14ac:dyDescent="0.25">
      <c r="A240" s="244"/>
      <c r="B240" s="244"/>
      <c r="C240" s="244"/>
      <c r="D240" s="244"/>
      <c r="E240" s="640"/>
      <c r="F240" s="244"/>
      <c r="G240" s="244"/>
      <c r="H240" s="244"/>
      <c r="I240" s="244"/>
      <c r="J240" s="244"/>
      <c r="K240" s="640"/>
      <c r="L240" s="244"/>
      <c r="M240" s="244"/>
      <c r="N240" s="244"/>
      <c r="O240" s="244"/>
      <c r="P240" s="244"/>
      <c r="Q240" s="244"/>
    </row>
    <row r="241" spans="1:17" ht="15.75" customHeight="1" x14ac:dyDescent="0.25">
      <c r="A241" s="244"/>
      <c r="B241" s="244"/>
      <c r="C241" s="244"/>
      <c r="D241" s="244"/>
      <c r="E241" s="640"/>
      <c r="F241" s="244"/>
      <c r="G241" s="244"/>
      <c r="H241" s="244"/>
      <c r="I241" s="244"/>
      <c r="J241" s="244"/>
      <c r="K241" s="640"/>
      <c r="L241" s="244"/>
      <c r="M241" s="244"/>
      <c r="N241" s="244"/>
      <c r="O241" s="244"/>
      <c r="P241" s="244"/>
      <c r="Q241" s="244"/>
    </row>
    <row r="242" spans="1:17" ht="15.75" customHeight="1" x14ac:dyDescent="0.25">
      <c r="A242" s="244"/>
      <c r="B242" s="244"/>
      <c r="C242" s="244"/>
      <c r="D242" s="244"/>
      <c r="E242" s="640"/>
      <c r="F242" s="244"/>
      <c r="G242" s="244"/>
      <c r="H242" s="244"/>
      <c r="I242" s="244"/>
      <c r="J242" s="244"/>
      <c r="K242" s="640"/>
      <c r="L242" s="244"/>
      <c r="M242" s="244"/>
      <c r="N242" s="244"/>
      <c r="O242" s="244"/>
      <c r="P242" s="244"/>
      <c r="Q242" s="244"/>
    </row>
    <row r="243" spans="1:17" ht="15.75" customHeight="1" x14ac:dyDescent="0.25">
      <c r="A243" s="244"/>
      <c r="B243" s="244"/>
      <c r="C243" s="244"/>
      <c r="D243" s="244"/>
      <c r="E243" s="640"/>
      <c r="F243" s="244"/>
      <c r="G243" s="244"/>
      <c r="H243" s="244"/>
      <c r="I243" s="244"/>
      <c r="J243" s="244"/>
      <c r="K243" s="640"/>
      <c r="L243" s="244"/>
      <c r="M243" s="244"/>
      <c r="N243" s="244"/>
      <c r="O243" s="244"/>
      <c r="P243" s="244"/>
      <c r="Q243" s="244"/>
    </row>
    <row r="244" spans="1:17" ht="15.75" customHeight="1" x14ac:dyDescent="0.25">
      <c r="A244" s="244"/>
      <c r="B244" s="244"/>
      <c r="C244" s="244"/>
      <c r="D244" s="244"/>
      <c r="E244" s="640"/>
      <c r="F244" s="244"/>
      <c r="G244" s="244"/>
      <c r="H244" s="244"/>
      <c r="I244" s="244"/>
      <c r="J244" s="244"/>
      <c r="K244" s="640"/>
      <c r="L244" s="244"/>
      <c r="M244" s="244"/>
      <c r="N244" s="244"/>
      <c r="O244" s="244"/>
      <c r="P244" s="244"/>
      <c r="Q244" s="244"/>
    </row>
    <row r="245" spans="1:17" ht="15.75" customHeight="1" x14ac:dyDescent="0.25">
      <c r="A245" s="244"/>
      <c r="B245" s="244"/>
      <c r="C245" s="244"/>
      <c r="D245" s="244"/>
      <c r="E245" s="640"/>
      <c r="F245" s="244"/>
      <c r="G245" s="244"/>
      <c r="H245" s="244"/>
      <c r="I245" s="244"/>
      <c r="J245" s="244"/>
      <c r="K245" s="640"/>
      <c r="L245" s="244"/>
      <c r="M245" s="244"/>
      <c r="N245" s="244"/>
      <c r="O245" s="244"/>
      <c r="P245" s="244"/>
      <c r="Q245" s="244"/>
    </row>
    <row r="246" spans="1:17" ht="15.75" customHeight="1" x14ac:dyDescent="0.25">
      <c r="A246" s="244"/>
      <c r="B246" s="244"/>
      <c r="C246" s="244"/>
      <c r="D246" s="244"/>
      <c r="E246" s="640"/>
      <c r="F246" s="244"/>
      <c r="G246" s="244"/>
      <c r="H246" s="244"/>
      <c r="I246" s="244"/>
      <c r="J246" s="244"/>
      <c r="K246" s="640"/>
      <c r="L246" s="244"/>
      <c r="M246" s="244"/>
      <c r="N246" s="244"/>
      <c r="O246" s="244"/>
      <c r="P246" s="244"/>
      <c r="Q246" s="244"/>
    </row>
    <row r="247" spans="1:17" ht="15.75" customHeight="1" x14ac:dyDescent="0.25">
      <c r="A247" s="244"/>
      <c r="B247" s="244"/>
      <c r="C247" s="244"/>
      <c r="D247" s="244"/>
      <c r="E247" s="640"/>
      <c r="F247" s="244"/>
      <c r="G247" s="244"/>
      <c r="H247" s="244"/>
      <c r="I247" s="244"/>
      <c r="J247" s="244"/>
      <c r="K247" s="640"/>
      <c r="L247" s="244"/>
      <c r="M247" s="244"/>
      <c r="N247" s="244"/>
      <c r="O247" s="244"/>
      <c r="P247" s="244"/>
      <c r="Q247" s="244"/>
    </row>
    <row r="248" spans="1:17" ht="15.75" customHeight="1" x14ac:dyDescent="0.25">
      <c r="A248" s="244"/>
      <c r="B248" s="244"/>
      <c r="C248" s="244"/>
      <c r="D248" s="244"/>
      <c r="E248" s="640"/>
      <c r="F248" s="244"/>
      <c r="G248" s="244"/>
      <c r="H248" s="244"/>
      <c r="I248" s="244"/>
      <c r="J248" s="244"/>
      <c r="K248" s="640"/>
      <c r="L248" s="244"/>
      <c r="M248" s="244"/>
      <c r="N248" s="244"/>
      <c r="O248" s="244"/>
      <c r="P248" s="244"/>
      <c r="Q248" s="244"/>
    </row>
    <row r="249" spans="1:17" ht="15.75" customHeight="1" x14ac:dyDescent="0.25">
      <c r="A249" s="244"/>
      <c r="B249" s="244"/>
      <c r="C249" s="244"/>
      <c r="D249" s="244"/>
      <c r="E249" s="640"/>
      <c r="F249" s="244"/>
      <c r="G249" s="244"/>
      <c r="H249" s="244"/>
      <c r="I249" s="244"/>
      <c r="J249" s="244"/>
      <c r="K249" s="640"/>
      <c r="L249" s="244"/>
      <c r="M249" s="244"/>
      <c r="N249" s="244"/>
      <c r="O249" s="244"/>
      <c r="P249" s="244"/>
      <c r="Q249" s="244"/>
    </row>
    <row r="250" spans="1:17" ht="15.75" customHeight="1" x14ac:dyDescent="0.25">
      <c r="A250" s="244"/>
      <c r="B250" s="244"/>
      <c r="C250" s="244"/>
      <c r="D250" s="244"/>
      <c r="E250" s="640"/>
      <c r="F250" s="244"/>
      <c r="G250" s="244"/>
      <c r="H250" s="244"/>
      <c r="I250" s="244"/>
      <c r="J250" s="244"/>
      <c r="K250" s="640"/>
      <c r="L250" s="244"/>
      <c r="M250" s="244"/>
      <c r="N250" s="244"/>
      <c r="O250" s="244"/>
      <c r="P250" s="244"/>
      <c r="Q250" s="244"/>
    </row>
    <row r="251" spans="1:17" ht="15.75" customHeight="1" x14ac:dyDescent="0.25">
      <c r="A251" s="244"/>
      <c r="B251" s="244"/>
      <c r="C251" s="244"/>
      <c r="D251" s="244"/>
      <c r="E251" s="640"/>
      <c r="F251" s="244"/>
      <c r="G251" s="244"/>
      <c r="H251" s="244"/>
      <c r="I251" s="244"/>
      <c r="J251" s="244"/>
      <c r="K251" s="640"/>
      <c r="L251" s="244"/>
      <c r="M251" s="244"/>
      <c r="N251" s="244"/>
      <c r="O251" s="244"/>
      <c r="P251" s="244"/>
      <c r="Q251" s="244"/>
    </row>
    <row r="252" spans="1:17" ht="15.75" customHeight="1" x14ac:dyDescent="0.25">
      <c r="A252" s="244"/>
      <c r="B252" s="244"/>
      <c r="C252" s="244"/>
      <c r="D252" s="244"/>
      <c r="E252" s="640"/>
      <c r="F252" s="244"/>
      <c r="G252" s="244"/>
      <c r="H252" s="244"/>
      <c r="I252" s="244"/>
      <c r="J252" s="244"/>
      <c r="K252" s="640"/>
      <c r="L252" s="244"/>
      <c r="M252" s="244"/>
      <c r="N252" s="244"/>
      <c r="O252" s="244"/>
      <c r="P252" s="244"/>
      <c r="Q252" s="244"/>
    </row>
    <row r="253" spans="1:17" ht="15.75" customHeight="1" x14ac:dyDescent="0.25">
      <c r="A253" s="244"/>
      <c r="B253" s="244"/>
      <c r="C253" s="244"/>
      <c r="D253" s="244"/>
      <c r="E253" s="640"/>
      <c r="F253" s="244"/>
      <c r="G253" s="244"/>
      <c r="H253" s="244"/>
      <c r="I253" s="244"/>
      <c r="J253" s="244"/>
      <c r="K253" s="640"/>
      <c r="L253" s="244"/>
      <c r="M253" s="244"/>
      <c r="N253" s="244"/>
      <c r="O253" s="244"/>
      <c r="P253" s="244"/>
      <c r="Q253" s="244"/>
    </row>
    <row r="254" spans="1:17" ht="15.75" customHeight="1" x14ac:dyDescent="0.25">
      <c r="A254" s="244"/>
      <c r="B254" s="244"/>
      <c r="C254" s="244"/>
      <c r="D254" s="244"/>
      <c r="E254" s="640"/>
      <c r="F254" s="244"/>
      <c r="G254" s="244"/>
      <c r="H254" s="244"/>
      <c r="I254" s="244"/>
      <c r="J254" s="244"/>
      <c r="K254" s="640"/>
      <c r="L254" s="244"/>
      <c r="M254" s="244"/>
      <c r="N254" s="244"/>
      <c r="O254" s="244"/>
      <c r="P254" s="244"/>
      <c r="Q254" s="244"/>
    </row>
    <row r="255" spans="1:17" ht="15.75" customHeight="1" x14ac:dyDescent="0.25">
      <c r="A255" s="244"/>
      <c r="B255" s="244"/>
      <c r="C255" s="244"/>
      <c r="D255" s="244"/>
      <c r="E255" s="640"/>
      <c r="F255" s="244"/>
      <c r="G255" s="244"/>
      <c r="H255" s="244"/>
      <c r="I255" s="244"/>
      <c r="J255" s="244"/>
      <c r="K255" s="640"/>
      <c r="L255" s="244"/>
      <c r="M255" s="244"/>
      <c r="N255" s="244"/>
      <c r="O255" s="244"/>
      <c r="P255" s="244"/>
      <c r="Q255" s="244"/>
    </row>
    <row r="256" spans="1:17" ht="15.75" customHeight="1" x14ac:dyDescent="0.25">
      <c r="A256" s="244"/>
      <c r="B256" s="244"/>
      <c r="C256" s="244"/>
      <c r="D256" s="244"/>
      <c r="E256" s="640"/>
      <c r="F256" s="244"/>
      <c r="G256" s="244"/>
      <c r="H256" s="244"/>
      <c r="I256" s="244"/>
      <c r="J256" s="244"/>
      <c r="K256" s="640"/>
      <c r="L256" s="244"/>
      <c r="M256" s="244"/>
      <c r="N256" s="244"/>
      <c r="O256" s="244"/>
      <c r="P256" s="244"/>
      <c r="Q256" s="244"/>
    </row>
    <row r="257" spans="1:17" ht="15.75" customHeight="1" x14ac:dyDescent="0.25">
      <c r="A257" s="244"/>
      <c r="B257" s="244"/>
      <c r="C257" s="244"/>
      <c r="D257" s="244"/>
      <c r="E257" s="640"/>
      <c r="F257" s="244"/>
      <c r="G257" s="244"/>
      <c r="H257" s="244"/>
      <c r="I257" s="244"/>
      <c r="J257" s="244"/>
      <c r="K257" s="640"/>
      <c r="L257" s="244"/>
      <c r="M257" s="244"/>
      <c r="N257" s="244"/>
      <c r="O257" s="244"/>
      <c r="P257" s="244"/>
      <c r="Q257" s="244"/>
    </row>
    <row r="258" spans="1:17" ht="15.75" customHeight="1" x14ac:dyDescent="0.25">
      <c r="A258" s="244"/>
      <c r="B258" s="244"/>
      <c r="C258" s="244"/>
      <c r="D258" s="244"/>
      <c r="E258" s="640"/>
      <c r="F258" s="244"/>
      <c r="G258" s="244"/>
      <c r="H258" s="244"/>
      <c r="I258" s="244"/>
      <c r="J258" s="244"/>
      <c r="K258" s="640"/>
      <c r="L258" s="244"/>
      <c r="M258" s="244"/>
      <c r="N258" s="244"/>
      <c r="O258" s="244"/>
      <c r="P258" s="244"/>
      <c r="Q258" s="244"/>
    </row>
    <row r="259" spans="1:17" ht="15.75" customHeight="1" x14ac:dyDescent="0.25">
      <c r="A259" s="244"/>
      <c r="B259" s="244"/>
      <c r="C259" s="244"/>
      <c r="D259" s="244"/>
      <c r="E259" s="640"/>
      <c r="F259" s="244"/>
      <c r="G259" s="244"/>
      <c r="H259" s="244"/>
      <c r="I259" s="244"/>
      <c r="J259" s="244"/>
      <c r="K259" s="640"/>
      <c r="L259" s="244"/>
      <c r="M259" s="244"/>
      <c r="N259" s="244"/>
      <c r="O259" s="244"/>
      <c r="P259" s="244"/>
      <c r="Q259" s="244"/>
    </row>
    <row r="260" spans="1:17" ht="15.75" customHeight="1" x14ac:dyDescent="0.25">
      <c r="A260" s="244"/>
      <c r="B260" s="244"/>
      <c r="C260" s="244"/>
      <c r="D260" s="244"/>
      <c r="E260" s="640"/>
      <c r="F260" s="244"/>
      <c r="G260" s="244"/>
      <c r="H260" s="244"/>
      <c r="I260" s="244"/>
      <c r="J260" s="244"/>
      <c r="K260" s="640"/>
      <c r="L260" s="244"/>
      <c r="M260" s="244"/>
      <c r="N260" s="244"/>
      <c r="O260" s="244"/>
      <c r="P260" s="244"/>
      <c r="Q260" s="244"/>
    </row>
    <row r="261" spans="1:17" ht="15.75" customHeight="1" x14ac:dyDescent="0.25">
      <c r="A261" s="244"/>
      <c r="B261" s="244"/>
      <c r="C261" s="244"/>
      <c r="D261" s="244"/>
      <c r="E261" s="640"/>
      <c r="F261" s="244"/>
      <c r="G261" s="244"/>
      <c r="H261" s="244"/>
      <c r="I261" s="244"/>
      <c r="J261" s="244"/>
      <c r="K261" s="640"/>
      <c r="L261" s="244"/>
      <c r="M261" s="244"/>
      <c r="N261" s="244"/>
      <c r="O261" s="244"/>
      <c r="P261" s="244"/>
      <c r="Q261" s="244"/>
    </row>
    <row r="262" spans="1:17" ht="15.75" customHeight="1" x14ac:dyDescent="0.25">
      <c r="A262" s="244"/>
      <c r="B262" s="244"/>
      <c r="C262" s="244"/>
      <c r="D262" s="244"/>
      <c r="E262" s="640"/>
      <c r="F262" s="244"/>
      <c r="G262" s="244"/>
      <c r="H262" s="244"/>
      <c r="I262" s="244"/>
      <c r="J262" s="244"/>
      <c r="K262" s="640"/>
      <c r="L262" s="244"/>
      <c r="M262" s="244"/>
      <c r="N262" s="244"/>
      <c r="O262" s="244"/>
      <c r="P262" s="244"/>
      <c r="Q262" s="244"/>
    </row>
    <row r="263" spans="1:17" ht="15.75" customHeight="1" x14ac:dyDescent="0.25">
      <c r="A263" s="244"/>
      <c r="B263" s="244"/>
      <c r="C263" s="244"/>
      <c r="D263" s="244"/>
      <c r="E263" s="640"/>
      <c r="F263" s="244"/>
      <c r="G263" s="244"/>
      <c r="H263" s="244"/>
      <c r="I263" s="244"/>
      <c r="J263" s="244"/>
      <c r="K263" s="640"/>
      <c r="L263" s="244"/>
      <c r="M263" s="244"/>
      <c r="N263" s="244"/>
      <c r="O263" s="244"/>
      <c r="P263" s="244"/>
      <c r="Q263" s="244"/>
    </row>
    <row r="264" spans="1:17" ht="15.75" customHeight="1" x14ac:dyDescent="0.25">
      <c r="A264" s="244"/>
      <c r="B264" s="244"/>
      <c r="C264" s="244"/>
      <c r="D264" s="244"/>
      <c r="E264" s="640"/>
      <c r="F264" s="244"/>
      <c r="G264" s="244"/>
      <c r="H264" s="244"/>
      <c r="I264" s="244"/>
      <c r="J264" s="244"/>
      <c r="K264" s="640"/>
      <c r="L264" s="244"/>
      <c r="M264" s="244"/>
      <c r="N264" s="244"/>
      <c r="O264" s="244"/>
      <c r="P264" s="244"/>
      <c r="Q264" s="244"/>
    </row>
    <row r="265" spans="1:17" ht="15.75" customHeight="1" x14ac:dyDescent="0.25">
      <c r="A265" s="244"/>
      <c r="B265" s="244"/>
      <c r="C265" s="244"/>
      <c r="D265" s="244"/>
      <c r="E265" s="640"/>
      <c r="F265" s="244"/>
      <c r="G265" s="244"/>
      <c r="H265" s="244"/>
      <c r="I265" s="244"/>
      <c r="J265" s="244"/>
      <c r="K265" s="640"/>
      <c r="L265" s="244"/>
      <c r="M265" s="244"/>
      <c r="N265" s="244"/>
      <c r="O265" s="244"/>
      <c r="P265" s="244"/>
      <c r="Q265" s="244"/>
    </row>
    <row r="266" spans="1:17" ht="15.75" customHeight="1" x14ac:dyDescent="0.25">
      <c r="A266" s="244"/>
      <c r="B266" s="244"/>
      <c r="C266" s="244"/>
      <c r="D266" s="244"/>
      <c r="E266" s="640"/>
      <c r="F266" s="244"/>
      <c r="G266" s="244"/>
      <c r="H266" s="244"/>
      <c r="I266" s="244"/>
      <c r="J266" s="244"/>
      <c r="K266" s="640"/>
      <c r="L266" s="244"/>
      <c r="M266" s="244"/>
      <c r="N266" s="244"/>
      <c r="O266" s="244"/>
      <c r="P266" s="244"/>
      <c r="Q266" s="244"/>
    </row>
    <row r="267" spans="1:17" ht="15.75" customHeight="1" x14ac:dyDescent="0.25">
      <c r="A267" s="244"/>
      <c r="B267" s="244"/>
      <c r="C267" s="244"/>
      <c r="D267" s="244"/>
      <c r="E267" s="640"/>
      <c r="F267" s="244"/>
      <c r="G267" s="244"/>
      <c r="H267" s="244"/>
      <c r="I267" s="244"/>
      <c r="J267" s="244"/>
      <c r="K267" s="640"/>
      <c r="L267" s="244"/>
      <c r="M267" s="244"/>
      <c r="N267" s="244"/>
      <c r="O267" s="244"/>
      <c r="P267" s="244"/>
      <c r="Q267" s="244"/>
    </row>
    <row r="268" spans="1:17" ht="15.75" customHeight="1" x14ac:dyDescent="0.25">
      <c r="A268" s="244"/>
      <c r="B268" s="244"/>
      <c r="C268" s="244"/>
      <c r="D268" s="244"/>
      <c r="E268" s="640"/>
      <c r="F268" s="244"/>
      <c r="G268" s="244"/>
      <c r="H268" s="244"/>
      <c r="I268" s="244"/>
      <c r="J268" s="244"/>
      <c r="K268" s="640"/>
      <c r="L268" s="244"/>
      <c r="M268" s="244"/>
      <c r="N268" s="244"/>
      <c r="O268" s="244"/>
      <c r="P268" s="244"/>
      <c r="Q268" s="244"/>
    </row>
    <row r="269" spans="1:17" ht="15.75" customHeight="1" x14ac:dyDescent="0.25">
      <c r="A269" s="244"/>
      <c r="B269" s="244"/>
      <c r="C269" s="244"/>
      <c r="D269" s="244"/>
      <c r="E269" s="640"/>
      <c r="F269" s="244"/>
      <c r="G269" s="244"/>
      <c r="H269" s="244"/>
      <c r="I269" s="244"/>
      <c r="J269" s="244"/>
      <c r="K269" s="640"/>
      <c r="L269" s="244"/>
      <c r="M269" s="244"/>
      <c r="N269" s="244"/>
      <c r="O269" s="244"/>
      <c r="P269" s="244"/>
      <c r="Q269" s="244"/>
    </row>
    <row r="270" spans="1:17" ht="15.75" customHeight="1" x14ac:dyDescent="0.25">
      <c r="A270" s="244"/>
      <c r="B270" s="244"/>
      <c r="C270" s="244"/>
      <c r="D270" s="244"/>
      <c r="E270" s="640"/>
      <c r="F270" s="244"/>
      <c r="G270" s="244"/>
      <c r="H270" s="244"/>
      <c r="I270" s="244"/>
      <c r="J270" s="244"/>
      <c r="K270" s="640"/>
      <c r="L270" s="244"/>
      <c r="M270" s="244"/>
      <c r="N270" s="244"/>
      <c r="O270" s="244"/>
      <c r="P270" s="244"/>
      <c r="Q270" s="244"/>
    </row>
    <row r="271" spans="1:17" ht="15.75" customHeight="1" x14ac:dyDescent="0.25">
      <c r="A271" s="244"/>
      <c r="B271" s="244"/>
      <c r="C271" s="244"/>
      <c r="D271" s="244"/>
      <c r="E271" s="640"/>
      <c r="F271" s="244"/>
      <c r="G271" s="244"/>
      <c r="H271" s="244"/>
      <c r="I271" s="244"/>
      <c r="J271" s="244"/>
      <c r="K271" s="640"/>
      <c r="L271" s="244"/>
      <c r="M271" s="244"/>
      <c r="N271" s="244"/>
      <c r="O271" s="244"/>
      <c r="P271" s="244"/>
      <c r="Q271" s="244"/>
    </row>
    <row r="272" spans="1:17" ht="15.75" customHeight="1" x14ac:dyDescent="0.25">
      <c r="A272" s="244"/>
      <c r="B272" s="244"/>
      <c r="C272" s="244"/>
      <c r="D272" s="244"/>
      <c r="E272" s="640"/>
      <c r="F272" s="244"/>
      <c r="G272" s="244"/>
      <c r="H272" s="244"/>
      <c r="I272" s="244"/>
      <c r="J272" s="244"/>
      <c r="K272" s="640"/>
      <c r="L272" s="244"/>
      <c r="M272" s="244"/>
      <c r="N272" s="244"/>
      <c r="O272" s="244"/>
      <c r="P272" s="244"/>
      <c r="Q272" s="244"/>
    </row>
    <row r="273" spans="1:17" ht="15.75" customHeight="1" x14ac:dyDescent="0.25">
      <c r="A273" s="244"/>
      <c r="B273" s="244"/>
      <c r="C273" s="244"/>
      <c r="D273" s="244"/>
      <c r="E273" s="640"/>
      <c r="F273" s="244"/>
      <c r="G273" s="244"/>
      <c r="H273" s="244"/>
      <c r="I273" s="244"/>
      <c r="J273" s="244"/>
      <c r="K273" s="640"/>
      <c r="L273" s="244"/>
      <c r="M273" s="244"/>
      <c r="N273" s="244"/>
      <c r="O273" s="244"/>
      <c r="P273" s="244"/>
      <c r="Q273" s="244"/>
    </row>
    <row r="274" spans="1:17" ht="15.75" customHeight="1" x14ac:dyDescent="0.25">
      <c r="A274" s="244"/>
      <c r="B274" s="244"/>
      <c r="C274" s="244"/>
      <c r="D274" s="244"/>
      <c r="E274" s="640"/>
      <c r="F274" s="244"/>
      <c r="G274" s="244"/>
      <c r="H274" s="244"/>
      <c r="I274" s="244"/>
      <c r="J274" s="244"/>
      <c r="K274" s="640"/>
      <c r="L274" s="244"/>
      <c r="M274" s="244"/>
      <c r="N274" s="244"/>
      <c r="O274" s="244"/>
      <c r="P274" s="244"/>
      <c r="Q274" s="244"/>
    </row>
    <row r="275" spans="1:17" ht="15.75" customHeight="1" x14ac:dyDescent="0.25">
      <c r="A275" s="244"/>
      <c r="B275" s="244"/>
      <c r="C275" s="244"/>
      <c r="D275" s="244"/>
      <c r="E275" s="640"/>
      <c r="F275" s="244"/>
      <c r="G275" s="244"/>
      <c r="H275" s="244"/>
      <c r="I275" s="244"/>
      <c r="J275" s="244"/>
      <c r="K275" s="640"/>
      <c r="L275" s="244"/>
      <c r="M275" s="244"/>
      <c r="N275" s="244"/>
      <c r="O275" s="244"/>
      <c r="P275" s="244"/>
      <c r="Q275" s="244"/>
    </row>
    <row r="276" spans="1:17" ht="15.75" customHeight="1" x14ac:dyDescent="0.25">
      <c r="A276" s="244"/>
      <c r="B276" s="244"/>
      <c r="C276" s="244"/>
      <c r="D276" s="244"/>
      <c r="E276" s="640"/>
      <c r="F276" s="244"/>
      <c r="G276" s="244"/>
      <c r="H276" s="244"/>
      <c r="I276" s="244"/>
      <c r="J276" s="244"/>
      <c r="K276" s="640"/>
      <c r="L276" s="244"/>
      <c r="M276" s="244"/>
      <c r="N276" s="244"/>
      <c r="O276" s="244"/>
      <c r="P276" s="244"/>
      <c r="Q276" s="244"/>
    </row>
    <row r="277" spans="1:17" ht="15.75" customHeight="1" x14ac:dyDescent="0.25">
      <c r="A277" s="244"/>
      <c r="B277" s="244"/>
      <c r="C277" s="244"/>
      <c r="D277" s="244"/>
      <c r="E277" s="640"/>
      <c r="F277" s="244"/>
      <c r="G277" s="244"/>
      <c r="H277" s="244"/>
      <c r="I277" s="244"/>
      <c r="J277" s="244"/>
      <c r="K277" s="640"/>
      <c r="L277" s="244"/>
      <c r="M277" s="244"/>
      <c r="N277" s="244"/>
      <c r="O277" s="244"/>
      <c r="P277" s="244"/>
      <c r="Q277" s="244"/>
    </row>
    <row r="278" spans="1:17" ht="15.75" customHeight="1" x14ac:dyDescent="0.25">
      <c r="A278" s="244"/>
      <c r="B278" s="244"/>
      <c r="C278" s="244"/>
      <c r="D278" s="244"/>
      <c r="E278" s="640"/>
      <c r="F278" s="244"/>
      <c r="G278" s="244"/>
      <c r="H278" s="244"/>
      <c r="I278" s="244"/>
      <c r="J278" s="244"/>
      <c r="K278" s="640"/>
      <c r="L278" s="244"/>
      <c r="M278" s="244"/>
      <c r="N278" s="244"/>
      <c r="O278" s="244"/>
      <c r="P278" s="244"/>
      <c r="Q278" s="244"/>
    </row>
    <row r="279" spans="1:17" ht="15.75" customHeight="1" x14ac:dyDescent="0.25">
      <c r="A279" s="244"/>
      <c r="B279" s="244"/>
      <c r="C279" s="244"/>
      <c r="D279" s="244"/>
      <c r="E279" s="640"/>
      <c r="F279" s="244"/>
      <c r="G279" s="244"/>
      <c r="H279" s="244"/>
      <c r="I279" s="244"/>
      <c r="J279" s="244"/>
      <c r="K279" s="640"/>
      <c r="L279" s="244"/>
      <c r="M279" s="244"/>
      <c r="N279" s="244"/>
      <c r="O279" s="244"/>
      <c r="P279" s="244"/>
      <c r="Q279" s="244"/>
    </row>
    <row r="280" spans="1:17" ht="15.75" customHeight="1" x14ac:dyDescent="0.25">
      <c r="A280" s="244"/>
      <c r="B280" s="244"/>
      <c r="C280" s="244"/>
      <c r="D280" s="244"/>
      <c r="E280" s="640"/>
      <c r="F280" s="244"/>
      <c r="G280" s="244"/>
      <c r="H280" s="244"/>
      <c r="I280" s="244"/>
      <c r="J280" s="244"/>
      <c r="K280" s="640"/>
      <c r="L280" s="244"/>
      <c r="M280" s="244"/>
      <c r="N280" s="244"/>
      <c r="O280" s="244"/>
      <c r="P280" s="244"/>
      <c r="Q280" s="244"/>
    </row>
    <row r="281" spans="1:17" ht="15.75" customHeight="1" x14ac:dyDescent="0.25">
      <c r="A281" s="244"/>
      <c r="B281" s="244"/>
      <c r="C281" s="244"/>
      <c r="D281" s="244"/>
      <c r="E281" s="640"/>
      <c r="F281" s="244"/>
      <c r="G281" s="244"/>
      <c r="H281" s="244"/>
      <c r="I281" s="244"/>
      <c r="J281" s="244"/>
      <c r="K281" s="640"/>
      <c r="L281" s="244"/>
      <c r="M281" s="244"/>
      <c r="N281" s="244"/>
      <c r="O281" s="244"/>
      <c r="P281" s="244"/>
      <c r="Q281" s="244"/>
    </row>
    <row r="282" spans="1:17" ht="15.75" customHeight="1" x14ac:dyDescent="0.25">
      <c r="A282" s="244"/>
      <c r="B282" s="244"/>
      <c r="C282" s="244"/>
      <c r="D282" s="244"/>
      <c r="E282" s="640"/>
      <c r="F282" s="244"/>
      <c r="G282" s="244"/>
      <c r="H282" s="244"/>
      <c r="I282" s="244"/>
      <c r="J282" s="244"/>
      <c r="K282" s="640"/>
      <c r="L282" s="244"/>
      <c r="M282" s="244"/>
      <c r="N282" s="244"/>
      <c r="O282" s="244"/>
      <c r="P282" s="244"/>
      <c r="Q282" s="244"/>
    </row>
    <row r="283" spans="1:17" ht="15.75" customHeight="1" x14ac:dyDescent="0.25">
      <c r="A283" s="244"/>
      <c r="B283" s="244"/>
      <c r="C283" s="244"/>
      <c r="D283" s="244"/>
      <c r="E283" s="640"/>
      <c r="F283" s="244"/>
      <c r="G283" s="244"/>
      <c r="H283" s="244"/>
      <c r="I283" s="244"/>
      <c r="J283" s="244"/>
      <c r="K283" s="640"/>
      <c r="L283" s="244"/>
      <c r="M283" s="244"/>
      <c r="N283" s="244"/>
      <c r="O283" s="244"/>
      <c r="P283" s="244"/>
      <c r="Q283" s="244"/>
    </row>
    <row r="284" spans="1:17" ht="15.75" customHeight="1" x14ac:dyDescent="0.25">
      <c r="A284" s="244"/>
      <c r="B284" s="244"/>
      <c r="C284" s="244"/>
      <c r="D284" s="244"/>
      <c r="E284" s="640"/>
      <c r="F284" s="244"/>
      <c r="G284" s="244"/>
      <c r="H284" s="244"/>
      <c r="I284" s="244"/>
      <c r="J284" s="244"/>
      <c r="K284" s="640"/>
      <c r="L284" s="244"/>
      <c r="M284" s="244"/>
      <c r="N284" s="244"/>
      <c r="O284" s="244"/>
      <c r="P284" s="244"/>
      <c r="Q284" s="244"/>
    </row>
    <row r="285" spans="1:17" ht="15.75" customHeight="1" x14ac:dyDescent="0.25">
      <c r="A285" s="244"/>
      <c r="B285" s="244"/>
      <c r="C285" s="244"/>
      <c r="D285" s="244"/>
      <c r="E285" s="640"/>
      <c r="F285" s="244"/>
      <c r="G285" s="244"/>
      <c r="H285" s="244"/>
      <c r="I285" s="244"/>
      <c r="J285" s="244"/>
      <c r="K285" s="640"/>
      <c r="L285" s="244"/>
      <c r="M285" s="244"/>
      <c r="N285" s="244"/>
      <c r="O285" s="244"/>
      <c r="P285" s="244"/>
      <c r="Q285" s="244"/>
    </row>
    <row r="286" spans="1:17" ht="15.75" customHeight="1" x14ac:dyDescent="0.25">
      <c r="A286" s="244"/>
      <c r="B286" s="244"/>
      <c r="C286" s="244"/>
      <c r="D286" s="244"/>
      <c r="E286" s="640"/>
      <c r="F286" s="244"/>
      <c r="G286" s="244"/>
      <c r="H286" s="244"/>
      <c r="I286" s="244"/>
      <c r="J286" s="244"/>
      <c r="K286" s="640"/>
      <c r="L286" s="244"/>
      <c r="M286" s="244"/>
      <c r="N286" s="244"/>
      <c r="O286" s="244"/>
      <c r="P286" s="244"/>
      <c r="Q286" s="244"/>
    </row>
    <row r="287" spans="1:17" ht="15.75" customHeight="1" x14ac:dyDescent="0.25">
      <c r="A287" s="244"/>
      <c r="B287" s="244"/>
      <c r="C287" s="244"/>
      <c r="D287" s="244"/>
      <c r="E287" s="640"/>
      <c r="F287" s="244"/>
      <c r="G287" s="244"/>
      <c r="H287" s="244"/>
      <c r="I287" s="244"/>
      <c r="J287" s="244"/>
      <c r="K287" s="640"/>
      <c r="L287" s="244"/>
      <c r="M287" s="244"/>
      <c r="N287" s="244"/>
      <c r="O287" s="244"/>
      <c r="P287" s="244"/>
      <c r="Q287" s="244"/>
    </row>
    <row r="288" spans="1:17" ht="15.75" customHeight="1" x14ac:dyDescent="0.25">
      <c r="A288" s="244"/>
      <c r="B288" s="244"/>
      <c r="C288" s="244"/>
      <c r="D288" s="244"/>
      <c r="E288" s="640"/>
      <c r="F288" s="244"/>
      <c r="G288" s="244"/>
      <c r="H288" s="244"/>
      <c r="I288" s="244"/>
      <c r="J288" s="244"/>
      <c r="K288" s="640"/>
      <c r="L288" s="244"/>
      <c r="M288" s="244"/>
      <c r="N288" s="244"/>
      <c r="O288" s="244"/>
      <c r="P288" s="244"/>
      <c r="Q288" s="244"/>
    </row>
    <row r="289" spans="1:17" ht="15.75" customHeight="1" x14ac:dyDescent="0.25">
      <c r="A289" s="244"/>
      <c r="B289" s="244"/>
      <c r="C289" s="244"/>
      <c r="D289" s="244"/>
      <c r="E289" s="640"/>
      <c r="F289" s="244"/>
      <c r="G289" s="244"/>
      <c r="H289" s="244"/>
      <c r="I289" s="244"/>
      <c r="J289" s="244"/>
      <c r="K289" s="640"/>
      <c r="L289" s="244"/>
      <c r="M289" s="244"/>
      <c r="N289" s="244"/>
      <c r="O289" s="244"/>
      <c r="P289" s="244"/>
      <c r="Q289" s="244"/>
    </row>
    <row r="290" spans="1:17" ht="15.75" customHeight="1" x14ac:dyDescent="0.25">
      <c r="A290" s="244"/>
      <c r="B290" s="244"/>
      <c r="C290" s="244"/>
      <c r="D290" s="244"/>
      <c r="E290" s="640"/>
      <c r="F290" s="244"/>
      <c r="G290" s="244"/>
      <c r="H290" s="244"/>
      <c r="I290" s="244"/>
      <c r="J290" s="244"/>
      <c r="K290" s="640"/>
      <c r="L290" s="244"/>
      <c r="M290" s="244"/>
      <c r="N290" s="244"/>
      <c r="O290" s="244"/>
      <c r="P290" s="244"/>
      <c r="Q290" s="244"/>
    </row>
    <row r="291" spans="1:17" ht="15.75" customHeight="1" x14ac:dyDescent="0.25">
      <c r="A291" s="244"/>
      <c r="B291" s="244"/>
      <c r="C291" s="244"/>
      <c r="D291" s="244"/>
      <c r="E291" s="640"/>
      <c r="F291" s="244"/>
      <c r="G291" s="244"/>
      <c r="H291" s="244"/>
      <c r="I291" s="244"/>
      <c r="J291" s="244"/>
      <c r="K291" s="640"/>
      <c r="L291" s="244"/>
      <c r="M291" s="244"/>
      <c r="N291" s="244"/>
      <c r="O291" s="244"/>
      <c r="P291" s="244"/>
      <c r="Q291" s="244"/>
    </row>
    <row r="292" spans="1:17" ht="15.75" customHeight="1" x14ac:dyDescent="0.25">
      <c r="A292" s="244"/>
      <c r="B292" s="244"/>
      <c r="C292" s="244"/>
      <c r="D292" s="244"/>
      <c r="E292" s="640"/>
      <c r="F292" s="244"/>
      <c r="G292" s="244"/>
      <c r="H292" s="244"/>
      <c r="I292" s="244"/>
      <c r="J292" s="244"/>
      <c r="K292" s="640"/>
      <c r="L292" s="244"/>
      <c r="M292" s="244"/>
      <c r="N292" s="244"/>
      <c r="O292" s="244"/>
      <c r="P292" s="244"/>
      <c r="Q292" s="244"/>
    </row>
    <row r="293" spans="1:17" ht="15.75" customHeight="1" x14ac:dyDescent="0.25">
      <c r="A293" s="244"/>
      <c r="B293" s="244"/>
      <c r="C293" s="244"/>
      <c r="D293" s="244"/>
      <c r="E293" s="640"/>
      <c r="F293" s="244"/>
      <c r="G293" s="244"/>
      <c r="H293" s="244"/>
      <c r="I293" s="244"/>
      <c r="J293" s="244"/>
      <c r="K293" s="640"/>
      <c r="L293" s="244"/>
      <c r="M293" s="244"/>
      <c r="N293" s="244"/>
      <c r="O293" s="244"/>
      <c r="P293" s="244"/>
      <c r="Q293" s="244"/>
    </row>
    <row r="294" spans="1:17" ht="15.75" customHeight="1" x14ac:dyDescent="0.25">
      <c r="A294" s="244"/>
      <c r="B294" s="244"/>
      <c r="C294" s="244"/>
      <c r="D294" s="244"/>
      <c r="E294" s="640"/>
      <c r="F294" s="244"/>
      <c r="G294" s="244"/>
      <c r="H294" s="244"/>
      <c r="I294" s="244"/>
      <c r="J294" s="244"/>
      <c r="K294" s="640"/>
      <c r="L294" s="244"/>
      <c r="M294" s="244"/>
      <c r="N294" s="244"/>
      <c r="O294" s="244"/>
      <c r="P294" s="244"/>
      <c r="Q294" s="244"/>
    </row>
    <row r="295" spans="1:17" ht="15.75" customHeight="1" x14ac:dyDescent="0.25">
      <c r="A295" s="244"/>
      <c r="B295" s="244"/>
      <c r="C295" s="244"/>
      <c r="D295" s="244"/>
      <c r="E295" s="640"/>
      <c r="F295" s="244"/>
      <c r="G295" s="244"/>
      <c r="H295" s="244"/>
      <c r="I295" s="244"/>
      <c r="J295" s="244"/>
      <c r="K295" s="640"/>
      <c r="L295" s="244"/>
      <c r="M295" s="244"/>
      <c r="N295" s="244"/>
      <c r="O295" s="244"/>
      <c r="P295" s="244"/>
      <c r="Q295" s="244"/>
    </row>
    <row r="296" spans="1:17" ht="15.75" customHeight="1" x14ac:dyDescent="0.25">
      <c r="A296" s="244"/>
      <c r="B296" s="244"/>
      <c r="C296" s="244"/>
      <c r="D296" s="244"/>
      <c r="E296" s="640"/>
      <c r="F296" s="244"/>
      <c r="G296" s="244"/>
      <c r="H296" s="244"/>
      <c r="I296" s="244"/>
      <c r="J296" s="244"/>
      <c r="K296" s="640"/>
      <c r="L296" s="244"/>
      <c r="M296" s="244"/>
      <c r="N296" s="244"/>
      <c r="O296" s="244"/>
      <c r="P296" s="244"/>
      <c r="Q296" s="244"/>
    </row>
    <row r="297" spans="1:17" ht="15.75" customHeight="1" x14ac:dyDescent="0.25">
      <c r="A297" s="244"/>
      <c r="B297" s="244"/>
      <c r="C297" s="244"/>
      <c r="D297" s="244"/>
      <c r="E297" s="640"/>
      <c r="F297" s="244"/>
      <c r="G297" s="244"/>
      <c r="H297" s="244"/>
      <c r="I297" s="244"/>
      <c r="J297" s="244"/>
      <c r="K297" s="640"/>
      <c r="L297" s="244"/>
      <c r="M297" s="244"/>
      <c r="N297" s="244"/>
      <c r="O297" s="244"/>
      <c r="P297" s="244"/>
      <c r="Q297" s="244"/>
    </row>
    <row r="298" spans="1:17" ht="15.75" customHeight="1" x14ac:dyDescent="0.25">
      <c r="A298" s="244"/>
      <c r="B298" s="244"/>
      <c r="C298" s="244"/>
      <c r="D298" s="244"/>
      <c r="E298" s="640"/>
      <c r="F298" s="244"/>
      <c r="G298" s="244"/>
      <c r="H298" s="244"/>
      <c r="I298" s="244"/>
      <c r="J298" s="244"/>
      <c r="K298" s="640"/>
      <c r="L298" s="244"/>
      <c r="M298" s="244"/>
      <c r="N298" s="244"/>
      <c r="O298" s="244"/>
      <c r="P298" s="244"/>
      <c r="Q298" s="244"/>
    </row>
    <row r="299" spans="1:17" ht="15.75" customHeight="1" x14ac:dyDescent="0.25">
      <c r="A299" s="244"/>
      <c r="B299" s="244"/>
      <c r="C299" s="244"/>
      <c r="D299" s="244"/>
      <c r="E299" s="640"/>
      <c r="F299" s="244"/>
      <c r="G299" s="244"/>
      <c r="H299" s="244"/>
      <c r="I299" s="244"/>
      <c r="J299" s="244"/>
      <c r="K299" s="640"/>
      <c r="L299" s="244"/>
      <c r="M299" s="244"/>
      <c r="N299" s="244"/>
      <c r="O299" s="244"/>
      <c r="P299" s="244"/>
      <c r="Q299" s="244"/>
    </row>
    <row r="300" spans="1:17" ht="15.75" customHeight="1" x14ac:dyDescent="0.25">
      <c r="A300" s="244"/>
      <c r="B300" s="244"/>
      <c r="C300" s="244"/>
      <c r="D300" s="244"/>
      <c r="E300" s="640"/>
      <c r="F300" s="244"/>
      <c r="G300" s="244"/>
      <c r="H300" s="244"/>
      <c r="I300" s="244"/>
      <c r="J300" s="244"/>
      <c r="K300" s="640"/>
      <c r="L300" s="244"/>
      <c r="M300" s="244"/>
      <c r="N300" s="244"/>
      <c r="O300" s="244"/>
      <c r="P300" s="244"/>
      <c r="Q300" s="244"/>
    </row>
    <row r="301" spans="1:17" ht="15.75" customHeight="1" x14ac:dyDescent="0.25">
      <c r="A301" s="244"/>
      <c r="B301" s="244"/>
      <c r="C301" s="244"/>
      <c r="D301" s="244"/>
      <c r="E301" s="640"/>
      <c r="F301" s="244"/>
      <c r="G301" s="244"/>
      <c r="H301" s="244"/>
      <c r="I301" s="244"/>
      <c r="J301" s="244"/>
      <c r="K301" s="640"/>
      <c r="L301" s="244"/>
      <c r="M301" s="244"/>
      <c r="N301" s="244"/>
      <c r="O301" s="244"/>
      <c r="P301" s="244"/>
      <c r="Q301" s="244"/>
    </row>
    <row r="302" spans="1:17" ht="15.75" customHeight="1" x14ac:dyDescent="0.25">
      <c r="A302" s="244"/>
      <c r="B302" s="244"/>
      <c r="C302" s="244"/>
      <c r="D302" s="244"/>
      <c r="E302" s="640"/>
      <c r="F302" s="244"/>
      <c r="G302" s="244"/>
      <c r="H302" s="244"/>
      <c r="I302" s="244"/>
      <c r="J302" s="244"/>
      <c r="K302" s="640"/>
      <c r="L302" s="244"/>
      <c r="M302" s="244"/>
      <c r="N302" s="244"/>
      <c r="O302" s="244"/>
      <c r="P302" s="244"/>
      <c r="Q302" s="244"/>
    </row>
    <row r="303" spans="1:17" ht="15.75" customHeight="1" x14ac:dyDescent="0.25">
      <c r="A303" s="244"/>
      <c r="B303" s="244"/>
      <c r="C303" s="244"/>
      <c r="D303" s="244"/>
      <c r="E303" s="640"/>
      <c r="F303" s="244"/>
      <c r="G303" s="244"/>
      <c r="H303" s="244"/>
      <c r="I303" s="244"/>
      <c r="J303" s="244"/>
      <c r="K303" s="640"/>
      <c r="L303" s="244"/>
      <c r="M303" s="244"/>
      <c r="N303" s="244"/>
      <c r="O303" s="244"/>
      <c r="P303" s="244"/>
      <c r="Q303" s="244"/>
    </row>
    <row r="304" spans="1:17" ht="15.75" customHeight="1" x14ac:dyDescent="0.25">
      <c r="A304" s="244"/>
      <c r="B304" s="244"/>
      <c r="C304" s="244"/>
      <c r="D304" s="244"/>
      <c r="E304" s="640"/>
      <c r="F304" s="244"/>
      <c r="G304" s="244"/>
      <c r="H304" s="244"/>
      <c r="I304" s="244"/>
      <c r="J304" s="244"/>
      <c r="K304" s="640"/>
      <c r="L304" s="244"/>
      <c r="M304" s="244"/>
      <c r="N304" s="244"/>
      <c r="O304" s="244"/>
      <c r="P304" s="244"/>
      <c r="Q304" s="244"/>
    </row>
    <row r="305" spans="1:17" ht="15.75" customHeight="1" x14ac:dyDescent="0.25">
      <c r="A305" s="244"/>
      <c r="B305" s="244"/>
      <c r="C305" s="244"/>
      <c r="D305" s="244"/>
      <c r="E305" s="640"/>
      <c r="F305" s="244"/>
      <c r="G305" s="244"/>
      <c r="H305" s="244"/>
      <c r="I305" s="244"/>
      <c r="J305" s="244"/>
      <c r="K305" s="640"/>
      <c r="L305" s="244"/>
      <c r="M305" s="244"/>
      <c r="N305" s="244"/>
      <c r="O305" s="244"/>
      <c r="P305" s="244"/>
      <c r="Q305" s="244"/>
    </row>
    <row r="306" spans="1:17" ht="15.75" customHeight="1" x14ac:dyDescent="0.25">
      <c r="A306" s="244"/>
      <c r="B306" s="244"/>
      <c r="C306" s="244"/>
      <c r="D306" s="244"/>
      <c r="E306" s="640"/>
      <c r="F306" s="244"/>
      <c r="G306" s="244"/>
      <c r="H306" s="244"/>
      <c r="I306" s="244"/>
      <c r="J306" s="244"/>
      <c r="K306" s="640"/>
      <c r="L306" s="244"/>
      <c r="M306" s="244"/>
      <c r="N306" s="244"/>
      <c r="O306" s="244"/>
      <c r="P306" s="244"/>
      <c r="Q306" s="244"/>
    </row>
    <row r="307" spans="1:17" ht="15.75" customHeight="1" x14ac:dyDescent="0.25">
      <c r="A307" s="244"/>
      <c r="B307" s="244"/>
      <c r="C307" s="244"/>
      <c r="D307" s="244"/>
      <c r="E307" s="640"/>
      <c r="F307" s="244"/>
      <c r="G307" s="244"/>
      <c r="H307" s="244"/>
      <c r="I307" s="244"/>
      <c r="J307" s="244"/>
      <c r="K307" s="640"/>
      <c r="L307" s="244"/>
      <c r="M307" s="244"/>
      <c r="N307" s="244"/>
      <c r="O307" s="244"/>
      <c r="P307" s="244"/>
      <c r="Q307" s="244"/>
    </row>
    <row r="308" spans="1:17" ht="15.75" customHeight="1" x14ac:dyDescent="0.25">
      <c r="A308" s="244"/>
      <c r="B308" s="244"/>
      <c r="C308" s="244"/>
      <c r="D308" s="244"/>
      <c r="E308" s="640"/>
      <c r="F308" s="244"/>
      <c r="G308" s="244"/>
      <c r="H308" s="244"/>
      <c r="I308" s="244"/>
      <c r="J308" s="244"/>
      <c r="K308" s="640"/>
      <c r="L308" s="244"/>
      <c r="M308" s="244"/>
      <c r="N308" s="244"/>
      <c r="O308" s="244"/>
      <c r="P308" s="244"/>
      <c r="Q308" s="244"/>
    </row>
    <row r="309" spans="1:17" ht="15.75" customHeight="1" x14ac:dyDescent="0.25">
      <c r="A309" s="244"/>
      <c r="B309" s="244"/>
      <c r="C309" s="244"/>
      <c r="D309" s="244"/>
      <c r="E309" s="640"/>
      <c r="F309" s="244"/>
      <c r="G309" s="244"/>
      <c r="H309" s="244"/>
      <c r="I309" s="244"/>
      <c r="J309" s="244"/>
      <c r="K309" s="640"/>
      <c r="L309" s="244"/>
      <c r="M309" s="244"/>
      <c r="N309" s="244"/>
      <c r="O309" s="244"/>
      <c r="P309" s="244"/>
      <c r="Q309" s="244"/>
    </row>
    <row r="310" spans="1:17" ht="15.75" customHeight="1" x14ac:dyDescent="0.25">
      <c r="A310" s="244"/>
      <c r="B310" s="244"/>
      <c r="C310" s="244"/>
      <c r="D310" s="244"/>
      <c r="E310" s="640"/>
      <c r="F310" s="244"/>
      <c r="G310" s="244"/>
      <c r="H310" s="244"/>
      <c r="I310" s="244"/>
      <c r="J310" s="244"/>
      <c r="K310" s="640"/>
      <c r="L310" s="244"/>
      <c r="M310" s="244"/>
      <c r="N310" s="244"/>
      <c r="O310" s="244"/>
      <c r="P310" s="244"/>
      <c r="Q310" s="244"/>
    </row>
    <row r="311" spans="1:17" ht="15.75" customHeight="1" x14ac:dyDescent="0.25">
      <c r="A311" s="244"/>
      <c r="B311" s="244"/>
      <c r="C311" s="244"/>
      <c r="D311" s="244"/>
      <c r="E311" s="640"/>
      <c r="F311" s="244"/>
      <c r="G311" s="244"/>
      <c r="H311" s="244"/>
      <c r="I311" s="244"/>
      <c r="J311" s="244"/>
      <c r="K311" s="640"/>
      <c r="L311" s="244"/>
      <c r="M311" s="244"/>
      <c r="N311" s="244"/>
      <c r="O311" s="244"/>
      <c r="P311" s="244"/>
      <c r="Q311" s="244"/>
    </row>
    <row r="312" spans="1:17" ht="15.75" customHeight="1" x14ac:dyDescent="0.25">
      <c r="A312" s="244"/>
      <c r="B312" s="244"/>
      <c r="C312" s="244"/>
      <c r="D312" s="244"/>
      <c r="E312" s="640"/>
      <c r="F312" s="244"/>
      <c r="G312" s="244"/>
      <c r="H312" s="244"/>
      <c r="I312" s="244"/>
      <c r="J312" s="244"/>
      <c r="K312" s="640"/>
      <c r="L312" s="244"/>
      <c r="M312" s="244"/>
      <c r="N312" s="244"/>
      <c r="O312" s="244"/>
      <c r="P312" s="244"/>
      <c r="Q312" s="244"/>
    </row>
    <row r="313" spans="1:17" ht="15.75" customHeight="1" x14ac:dyDescent="0.25">
      <c r="A313" s="244"/>
      <c r="B313" s="244"/>
      <c r="C313" s="244"/>
      <c r="D313" s="244"/>
      <c r="E313" s="640"/>
      <c r="F313" s="244"/>
      <c r="G313" s="244"/>
      <c r="H313" s="244"/>
      <c r="I313" s="244"/>
      <c r="J313" s="244"/>
      <c r="K313" s="640"/>
      <c r="L313" s="244"/>
      <c r="M313" s="244"/>
      <c r="N313" s="244"/>
      <c r="O313" s="244"/>
      <c r="P313" s="244"/>
      <c r="Q313" s="244"/>
    </row>
    <row r="314" spans="1:17" ht="15.75" customHeight="1" x14ac:dyDescent="0.25">
      <c r="A314" s="244"/>
      <c r="B314" s="244"/>
      <c r="C314" s="244"/>
      <c r="D314" s="244"/>
      <c r="E314" s="640"/>
      <c r="F314" s="244"/>
      <c r="G314" s="244"/>
      <c r="H314" s="244"/>
      <c r="I314" s="244"/>
      <c r="J314" s="244"/>
      <c r="K314" s="640"/>
      <c r="L314" s="244"/>
      <c r="M314" s="244"/>
      <c r="N314" s="244"/>
      <c r="O314" s="244"/>
      <c r="P314" s="244"/>
      <c r="Q314" s="244"/>
    </row>
    <row r="315" spans="1:17" ht="15.75" customHeight="1" x14ac:dyDescent="0.25">
      <c r="A315" s="244"/>
      <c r="B315" s="244"/>
      <c r="C315" s="244"/>
      <c r="D315" s="244"/>
      <c r="E315" s="640"/>
      <c r="F315" s="244"/>
      <c r="G315" s="244"/>
      <c r="H315" s="244"/>
      <c r="I315" s="244"/>
      <c r="J315" s="244"/>
      <c r="K315" s="640"/>
      <c r="L315" s="244"/>
      <c r="M315" s="244"/>
      <c r="N315" s="244"/>
      <c r="O315" s="244"/>
      <c r="P315" s="244"/>
      <c r="Q315" s="244"/>
    </row>
    <row r="316" spans="1:17" ht="15.75" customHeight="1" x14ac:dyDescent="0.25">
      <c r="A316" s="244"/>
      <c r="B316" s="244"/>
      <c r="C316" s="244"/>
      <c r="D316" s="244"/>
      <c r="E316" s="640"/>
      <c r="F316" s="244"/>
      <c r="G316" s="244"/>
      <c r="H316" s="244"/>
      <c r="I316" s="244"/>
      <c r="J316" s="244"/>
      <c r="K316" s="640"/>
      <c r="L316" s="244"/>
      <c r="M316" s="244"/>
      <c r="N316" s="244"/>
      <c r="O316" s="244"/>
      <c r="P316" s="244"/>
      <c r="Q316" s="244"/>
    </row>
    <row r="317" spans="1:17" ht="15.75" customHeight="1" x14ac:dyDescent="0.25">
      <c r="A317" s="244"/>
      <c r="B317" s="244"/>
      <c r="C317" s="244"/>
      <c r="D317" s="244"/>
      <c r="E317" s="640"/>
      <c r="F317" s="244"/>
      <c r="G317" s="244"/>
      <c r="H317" s="244"/>
      <c r="I317" s="244"/>
      <c r="J317" s="244"/>
      <c r="K317" s="640"/>
      <c r="L317" s="244"/>
      <c r="M317" s="244"/>
      <c r="N317" s="244"/>
      <c r="O317" s="244"/>
      <c r="P317" s="244"/>
      <c r="Q317" s="244"/>
    </row>
    <row r="318" spans="1:17" ht="15.75" customHeight="1" x14ac:dyDescent="0.25">
      <c r="A318" s="244"/>
      <c r="B318" s="244"/>
      <c r="C318" s="244"/>
      <c r="D318" s="244"/>
      <c r="E318" s="640"/>
      <c r="F318" s="244"/>
      <c r="G318" s="244"/>
      <c r="H318" s="244"/>
      <c r="I318" s="244"/>
      <c r="J318" s="244"/>
      <c r="K318" s="640"/>
      <c r="L318" s="244"/>
      <c r="M318" s="244"/>
      <c r="N318" s="244"/>
      <c r="O318" s="244"/>
      <c r="P318" s="244"/>
      <c r="Q318" s="244"/>
    </row>
    <row r="319" spans="1:17" ht="15.75" customHeight="1" x14ac:dyDescent="0.25">
      <c r="A319" s="244"/>
      <c r="B319" s="244"/>
      <c r="C319" s="244"/>
      <c r="D319" s="244"/>
      <c r="E319" s="640"/>
      <c r="F319" s="244"/>
      <c r="G319" s="244"/>
      <c r="H319" s="244"/>
      <c r="I319" s="244"/>
      <c r="J319" s="244"/>
      <c r="K319" s="640"/>
      <c r="L319" s="244"/>
      <c r="M319" s="244"/>
      <c r="N319" s="244"/>
      <c r="O319" s="244"/>
      <c r="P319" s="244"/>
      <c r="Q319" s="244"/>
    </row>
    <row r="320" spans="1:17" ht="15.75" customHeight="1" x14ac:dyDescent="0.25">
      <c r="A320" s="244"/>
      <c r="B320" s="244"/>
      <c r="C320" s="244"/>
      <c r="D320" s="244"/>
      <c r="E320" s="640"/>
      <c r="F320" s="244"/>
      <c r="G320" s="244"/>
      <c r="H320" s="244"/>
      <c r="I320" s="244"/>
      <c r="J320" s="244"/>
      <c r="K320" s="640"/>
      <c r="L320" s="244"/>
      <c r="M320" s="244"/>
      <c r="N320" s="244"/>
      <c r="O320" s="244"/>
      <c r="P320" s="244"/>
      <c r="Q320" s="244"/>
    </row>
    <row r="321" spans="1:17" ht="15.75" customHeight="1" x14ac:dyDescent="0.25">
      <c r="A321" s="244"/>
      <c r="B321" s="244"/>
      <c r="C321" s="244"/>
      <c r="D321" s="244"/>
      <c r="E321" s="640"/>
      <c r="F321" s="244"/>
      <c r="G321" s="244"/>
      <c r="H321" s="244"/>
      <c r="I321" s="244"/>
      <c r="J321" s="244"/>
      <c r="K321" s="640"/>
      <c r="L321" s="244"/>
      <c r="M321" s="244"/>
      <c r="N321" s="244"/>
      <c r="O321" s="244"/>
      <c r="P321" s="244"/>
      <c r="Q321" s="244"/>
    </row>
    <row r="322" spans="1:17" ht="15.75" customHeight="1" x14ac:dyDescent="0.25">
      <c r="A322" s="244"/>
      <c r="B322" s="244"/>
      <c r="C322" s="244"/>
      <c r="D322" s="244"/>
      <c r="E322" s="640"/>
      <c r="F322" s="244"/>
      <c r="G322" s="244"/>
      <c r="H322" s="244"/>
      <c r="I322" s="244"/>
      <c r="J322" s="244"/>
      <c r="K322" s="640"/>
      <c r="L322" s="244"/>
      <c r="M322" s="244"/>
      <c r="N322" s="244"/>
      <c r="O322" s="244"/>
      <c r="P322" s="244"/>
      <c r="Q322" s="244"/>
    </row>
    <row r="323" spans="1:17" ht="15.75" customHeight="1" x14ac:dyDescent="0.25">
      <c r="A323" s="244"/>
      <c r="B323" s="244"/>
      <c r="C323" s="244"/>
      <c r="D323" s="244"/>
      <c r="E323" s="640"/>
      <c r="F323" s="244"/>
      <c r="G323" s="244"/>
      <c r="H323" s="244"/>
      <c r="I323" s="244"/>
      <c r="J323" s="244"/>
      <c r="K323" s="640"/>
      <c r="L323" s="244"/>
      <c r="M323" s="244"/>
      <c r="N323" s="244"/>
      <c r="O323" s="244"/>
      <c r="P323" s="244"/>
      <c r="Q323" s="244"/>
    </row>
    <row r="324" spans="1:17" ht="15.75" customHeight="1" x14ac:dyDescent="0.25">
      <c r="A324" s="244"/>
      <c r="B324" s="244"/>
      <c r="C324" s="244"/>
      <c r="D324" s="244"/>
      <c r="E324" s="640"/>
      <c r="F324" s="244"/>
      <c r="G324" s="244"/>
      <c r="H324" s="244"/>
      <c r="I324" s="244"/>
      <c r="J324" s="244"/>
      <c r="K324" s="640"/>
      <c r="L324" s="244"/>
      <c r="M324" s="244"/>
      <c r="N324" s="244"/>
      <c r="O324" s="244"/>
      <c r="P324" s="244"/>
      <c r="Q324" s="244"/>
    </row>
    <row r="325" spans="1:17" ht="15.75" customHeight="1" x14ac:dyDescent="0.25">
      <c r="A325" s="244"/>
      <c r="B325" s="244"/>
      <c r="C325" s="244"/>
      <c r="D325" s="244"/>
      <c r="E325" s="640"/>
      <c r="F325" s="244"/>
      <c r="G325" s="244"/>
      <c r="H325" s="244"/>
      <c r="I325" s="244"/>
      <c r="J325" s="244"/>
      <c r="K325" s="640"/>
      <c r="L325" s="244"/>
      <c r="M325" s="244"/>
      <c r="N325" s="244"/>
      <c r="O325" s="244"/>
      <c r="P325" s="244"/>
      <c r="Q325" s="244"/>
    </row>
    <row r="326" spans="1:17" ht="15.75" customHeight="1" x14ac:dyDescent="0.2">
      <c r="E326" s="113"/>
      <c r="K326" s="113"/>
    </row>
    <row r="327" spans="1:17" ht="15.75" customHeight="1" x14ac:dyDescent="0.2">
      <c r="E327" s="113"/>
      <c r="K327" s="113"/>
    </row>
    <row r="328" spans="1:17" ht="15.75" customHeight="1" x14ac:dyDescent="0.2">
      <c r="E328" s="113"/>
      <c r="K328" s="113"/>
    </row>
    <row r="329" spans="1:17" ht="15.75" customHeight="1" x14ac:dyDescent="0.2">
      <c r="E329" s="113"/>
      <c r="K329" s="113"/>
    </row>
    <row r="330" spans="1:17" ht="15.75" customHeight="1" x14ac:dyDescent="0.2">
      <c r="E330" s="113"/>
      <c r="K330" s="113"/>
    </row>
    <row r="331" spans="1:17" ht="15.75" customHeight="1" x14ac:dyDescent="0.2">
      <c r="E331" s="113"/>
      <c r="K331" s="113"/>
    </row>
    <row r="332" spans="1:17" ht="15.75" customHeight="1" x14ac:dyDescent="0.2">
      <c r="E332" s="113"/>
      <c r="K332" s="113"/>
    </row>
    <row r="333" spans="1:17" ht="15.75" customHeight="1" x14ac:dyDescent="0.2">
      <c r="E333" s="113"/>
      <c r="K333" s="113"/>
    </row>
    <row r="334" spans="1:17" ht="15.75" customHeight="1" x14ac:dyDescent="0.2">
      <c r="E334" s="113"/>
      <c r="K334" s="113"/>
    </row>
    <row r="335" spans="1:17" ht="15.75" customHeight="1" x14ac:dyDescent="0.2">
      <c r="E335" s="113"/>
      <c r="K335" s="113"/>
    </row>
    <row r="336" spans="1:17" ht="15.75" customHeight="1" x14ac:dyDescent="0.2">
      <c r="E336" s="113"/>
      <c r="K336" s="113"/>
    </row>
    <row r="337" spans="5:11" ht="15.75" customHeight="1" x14ac:dyDescent="0.2">
      <c r="E337" s="113"/>
      <c r="K337" s="113"/>
    </row>
    <row r="338" spans="5:11" ht="15.75" customHeight="1" x14ac:dyDescent="0.2">
      <c r="E338" s="113"/>
      <c r="K338" s="113"/>
    </row>
    <row r="339" spans="5:11" ht="15.75" customHeight="1" x14ac:dyDescent="0.2">
      <c r="E339" s="113"/>
      <c r="K339" s="113"/>
    </row>
    <row r="340" spans="5:11" ht="15.75" customHeight="1" x14ac:dyDescent="0.2">
      <c r="E340" s="113"/>
      <c r="K340" s="113"/>
    </row>
    <row r="341" spans="5:11" ht="15.75" customHeight="1" x14ac:dyDescent="0.2">
      <c r="E341" s="113"/>
      <c r="K341" s="113"/>
    </row>
    <row r="342" spans="5:11" ht="15.75" customHeight="1" x14ac:dyDescent="0.2">
      <c r="E342" s="113"/>
      <c r="K342" s="113"/>
    </row>
    <row r="343" spans="5:11" ht="15.75" customHeight="1" x14ac:dyDescent="0.2">
      <c r="E343" s="113"/>
      <c r="K343" s="113"/>
    </row>
    <row r="344" spans="5:11" ht="15.75" customHeight="1" x14ac:dyDescent="0.2">
      <c r="E344" s="113"/>
      <c r="K344" s="113"/>
    </row>
    <row r="345" spans="5:11" ht="15.75" customHeight="1" x14ac:dyDescent="0.2">
      <c r="E345" s="113"/>
      <c r="K345" s="113"/>
    </row>
    <row r="346" spans="5:11" ht="15.75" customHeight="1" x14ac:dyDescent="0.2">
      <c r="E346" s="113"/>
      <c r="K346" s="113"/>
    </row>
    <row r="347" spans="5:11" ht="15.75" customHeight="1" x14ac:dyDescent="0.2">
      <c r="E347" s="113"/>
      <c r="K347" s="113"/>
    </row>
    <row r="348" spans="5:11" ht="15.75" customHeight="1" x14ac:dyDescent="0.2">
      <c r="E348" s="113"/>
      <c r="K348" s="113"/>
    </row>
    <row r="349" spans="5:11" ht="15.75" customHeight="1" x14ac:dyDescent="0.2">
      <c r="E349" s="113"/>
      <c r="K349" s="113"/>
    </row>
    <row r="350" spans="5:11" ht="15.75" customHeight="1" x14ac:dyDescent="0.2">
      <c r="E350" s="113"/>
      <c r="K350" s="113"/>
    </row>
    <row r="351" spans="5:11" ht="15.75" customHeight="1" x14ac:dyDescent="0.2">
      <c r="E351" s="113"/>
      <c r="K351" s="113"/>
    </row>
    <row r="352" spans="5:11" ht="15.75" customHeight="1" x14ac:dyDescent="0.2">
      <c r="E352" s="113"/>
      <c r="K352" s="113"/>
    </row>
    <row r="353" spans="5:11" ht="15.75" customHeight="1" x14ac:dyDescent="0.2">
      <c r="E353" s="113"/>
      <c r="K353" s="113"/>
    </row>
    <row r="354" spans="5:11" ht="15.75" customHeight="1" x14ac:dyDescent="0.2">
      <c r="E354" s="113"/>
      <c r="K354" s="113"/>
    </row>
    <row r="355" spans="5:11" ht="15.75" customHeight="1" x14ac:dyDescent="0.2">
      <c r="E355" s="113"/>
      <c r="K355" s="113"/>
    </row>
    <row r="356" spans="5:11" ht="15.75" customHeight="1" x14ac:dyDescent="0.2">
      <c r="E356" s="113"/>
      <c r="K356" s="113"/>
    </row>
    <row r="357" spans="5:11" ht="15.75" customHeight="1" x14ac:dyDescent="0.2">
      <c r="E357" s="113"/>
      <c r="K357" s="113"/>
    </row>
    <row r="358" spans="5:11" ht="15.75" customHeight="1" x14ac:dyDescent="0.2">
      <c r="E358" s="113"/>
      <c r="K358" s="113"/>
    </row>
    <row r="359" spans="5:11" ht="15.75" customHeight="1" x14ac:dyDescent="0.2">
      <c r="E359" s="113"/>
      <c r="K359" s="113"/>
    </row>
    <row r="360" spans="5:11" ht="15.75" customHeight="1" x14ac:dyDescent="0.2">
      <c r="E360" s="113"/>
      <c r="K360" s="113"/>
    </row>
    <row r="361" spans="5:11" ht="15.75" customHeight="1" x14ac:dyDescent="0.2">
      <c r="E361" s="113"/>
      <c r="K361" s="113"/>
    </row>
    <row r="362" spans="5:11" ht="15.75" customHeight="1" x14ac:dyDescent="0.2">
      <c r="E362" s="113"/>
      <c r="K362" s="113"/>
    </row>
    <row r="363" spans="5:11" ht="15.75" customHeight="1" x14ac:dyDescent="0.2">
      <c r="E363" s="113"/>
      <c r="K363" s="113"/>
    </row>
    <row r="364" spans="5:11" ht="15.75" customHeight="1" x14ac:dyDescent="0.2">
      <c r="E364" s="113"/>
      <c r="K364" s="113"/>
    </row>
    <row r="365" spans="5:11" ht="15.75" customHeight="1" x14ac:dyDescent="0.2">
      <c r="E365" s="113"/>
      <c r="K365" s="113"/>
    </row>
    <row r="366" spans="5:11" ht="15.75" customHeight="1" x14ac:dyDescent="0.2">
      <c r="E366" s="113"/>
      <c r="K366" s="113"/>
    </row>
    <row r="367" spans="5:11" ht="15.75" customHeight="1" x14ac:dyDescent="0.2">
      <c r="E367" s="113"/>
      <c r="K367" s="113"/>
    </row>
    <row r="368" spans="5:11" ht="15.75" customHeight="1" x14ac:dyDescent="0.2">
      <c r="E368" s="113"/>
      <c r="K368" s="113"/>
    </row>
    <row r="369" spans="5:11" ht="15.75" customHeight="1" x14ac:dyDescent="0.2">
      <c r="E369" s="113"/>
      <c r="K369" s="113"/>
    </row>
    <row r="370" spans="5:11" ht="15.75" customHeight="1" x14ac:dyDescent="0.2">
      <c r="E370" s="113"/>
      <c r="K370" s="113"/>
    </row>
    <row r="371" spans="5:11" ht="15.75" customHeight="1" x14ac:dyDescent="0.2">
      <c r="E371" s="113"/>
      <c r="K371" s="113"/>
    </row>
    <row r="372" spans="5:11" ht="15.75" customHeight="1" x14ac:dyDescent="0.2">
      <c r="E372" s="113"/>
      <c r="K372" s="113"/>
    </row>
    <row r="373" spans="5:11" ht="15.75" customHeight="1" x14ac:dyDescent="0.2">
      <c r="E373" s="113"/>
      <c r="K373" s="113"/>
    </row>
    <row r="374" spans="5:11" ht="15.75" customHeight="1" x14ac:dyDescent="0.2">
      <c r="E374" s="113"/>
      <c r="K374" s="113"/>
    </row>
    <row r="375" spans="5:11" ht="15.75" customHeight="1" x14ac:dyDescent="0.2">
      <c r="E375" s="113"/>
      <c r="K375" s="113"/>
    </row>
    <row r="376" spans="5:11" ht="15.75" customHeight="1" x14ac:dyDescent="0.2">
      <c r="E376" s="113"/>
      <c r="K376" s="113"/>
    </row>
    <row r="377" spans="5:11" ht="15.75" customHeight="1" x14ac:dyDescent="0.2">
      <c r="E377" s="113"/>
      <c r="K377" s="113"/>
    </row>
    <row r="378" spans="5:11" ht="15.75" customHeight="1" x14ac:dyDescent="0.2">
      <c r="E378" s="113"/>
      <c r="K378" s="113"/>
    </row>
    <row r="379" spans="5:11" ht="15.75" customHeight="1" x14ac:dyDescent="0.2">
      <c r="E379" s="113"/>
      <c r="K379" s="113"/>
    </row>
    <row r="380" spans="5:11" ht="15.75" customHeight="1" x14ac:dyDescent="0.2">
      <c r="E380" s="113"/>
      <c r="K380" s="113"/>
    </row>
    <row r="381" spans="5:11" ht="15.75" customHeight="1" x14ac:dyDescent="0.2">
      <c r="E381" s="113"/>
      <c r="K381" s="113"/>
    </row>
    <row r="382" spans="5:11" ht="15.75" customHeight="1" x14ac:dyDescent="0.2">
      <c r="E382" s="113"/>
      <c r="K382" s="113"/>
    </row>
    <row r="383" spans="5:11" ht="15.75" customHeight="1" x14ac:dyDescent="0.2">
      <c r="E383" s="113"/>
      <c r="K383" s="113"/>
    </row>
    <row r="384" spans="5:11" ht="15.75" customHeight="1" x14ac:dyDescent="0.2">
      <c r="E384" s="113"/>
      <c r="K384" s="113"/>
    </row>
    <row r="385" spans="5:11" ht="15.75" customHeight="1" x14ac:dyDescent="0.2">
      <c r="E385" s="113"/>
      <c r="K385" s="113"/>
    </row>
    <row r="386" spans="5:11" ht="15.75" customHeight="1" x14ac:dyDescent="0.2">
      <c r="E386" s="113"/>
      <c r="K386" s="113"/>
    </row>
    <row r="387" spans="5:11" ht="15.75" customHeight="1" x14ac:dyDescent="0.2">
      <c r="E387" s="113"/>
      <c r="K387" s="113"/>
    </row>
    <row r="388" spans="5:11" ht="15.75" customHeight="1" x14ac:dyDescent="0.2">
      <c r="E388" s="113"/>
      <c r="K388" s="113"/>
    </row>
    <row r="389" spans="5:11" ht="15.75" customHeight="1" x14ac:dyDescent="0.2">
      <c r="E389" s="113"/>
      <c r="K389" s="113"/>
    </row>
    <row r="390" spans="5:11" ht="15.75" customHeight="1" x14ac:dyDescent="0.2">
      <c r="E390" s="113"/>
      <c r="K390" s="113"/>
    </row>
    <row r="391" spans="5:11" ht="15.75" customHeight="1" x14ac:dyDescent="0.2">
      <c r="E391" s="113"/>
      <c r="K391" s="113"/>
    </row>
    <row r="392" spans="5:11" ht="15.75" customHeight="1" x14ac:dyDescent="0.2">
      <c r="E392" s="113"/>
      <c r="K392" s="113"/>
    </row>
    <row r="393" spans="5:11" ht="15.75" customHeight="1" x14ac:dyDescent="0.2">
      <c r="E393" s="113"/>
      <c r="K393" s="113"/>
    </row>
    <row r="394" spans="5:11" ht="15.75" customHeight="1" x14ac:dyDescent="0.2">
      <c r="E394" s="113"/>
      <c r="K394" s="113"/>
    </row>
    <row r="395" spans="5:11" ht="15.75" customHeight="1" x14ac:dyDescent="0.2">
      <c r="E395" s="113"/>
      <c r="K395" s="113"/>
    </row>
    <row r="396" spans="5:11" ht="15.75" customHeight="1" x14ac:dyDescent="0.2">
      <c r="E396" s="113"/>
      <c r="K396" s="113"/>
    </row>
    <row r="397" spans="5:11" ht="15.75" customHeight="1" x14ac:dyDescent="0.2">
      <c r="E397" s="113"/>
      <c r="K397" s="113"/>
    </row>
    <row r="398" spans="5:11" ht="15.75" customHeight="1" x14ac:dyDescent="0.2">
      <c r="E398" s="113"/>
      <c r="K398" s="113"/>
    </row>
    <row r="399" spans="5:11" ht="15.75" customHeight="1" x14ac:dyDescent="0.2">
      <c r="E399" s="113"/>
      <c r="K399" s="113"/>
    </row>
    <row r="400" spans="5:11" ht="15.75" customHeight="1" x14ac:dyDescent="0.2">
      <c r="E400" s="113"/>
      <c r="K400" s="113"/>
    </row>
    <row r="401" spans="5:11" ht="15.75" customHeight="1" x14ac:dyDescent="0.2">
      <c r="E401" s="113"/>
      <c r="K401" s="113"/>
    </row>
    <row r="402" spans="5:11" ht="15.75" customHeight="1" x14ac:dyDescent="0.2">
      <c r="E402" s="113"/>
      <c r="K402" s="113"/>
    </row>
    <row r="403" spans="5:11" ht="15.75" customHeight="1" x14ac:dyDescent="0.2">
      <c r="E403" s="113"/>
      <c r="K403" s="113"/>
    </row>
    <row r="404" spans="5:11" ht="15.75" customHeight="1" x14ac:dyDescent="0.2">
      <c r="E404" s="113"/>
      <c r="K404" s="113"/>
    </row>
    <row r="405" spans="5:11" ht="15.75" customHeight="1" x14ac:dyDescent="0.2">
      <c r="E405" s="113"/>
      <c r="K405" s="113"/>
    </row>
    <row r="406" spans="5:11" ht="15.75" customHeight="1" x14ac:dyDescent="0.2">
      <c r="E406" s="113"/>
      <c r="K406" s="113"/>
    </row>
    <row r="407" spans="5:11" ht="15.75" customHeight="1" x14ac:dyDescent="0.2">
      <c r="E407" s="113"/>
      <c r="K407" s="113"/>
    </row>
    <row r="408" spans="5:11" ht="15.75" customHeight="1" x14ac:dyDescent="0.2">
      <c r="E408" s="113"/>
      <c r="K408" s="113"/>
    </row>
    <row r="409" spans="5:11" ht="15.75" customHeight="1" x14ac:dyDescent="0.2">
      <c r="E409" s="113"/>
      <c r="K409" s="113"/>
    </row>
    <row r="410" spans="5:11" ht="15.75" customHeight="1" x14ac:dyDescent="0.2">
      <c r="E410" s="113"/>
      <c r="K410" s="113"/>
    </row>
    <row r="411" spans="5:11" ht="15.75" customHeight="1" x14ac:dyDescent="0.2">
      <c r="E411" s="113"/>
      <c r="K411" s="113"/>
    </row>
    <row r="412" spans="5:11" ht="15.75" customHeight="1" x14ac:dyDescent="0.2">
      <c r="E412" s="113"/>
      <c r="K412" s="113"/>
    </row>
    <row r="413" spans="5:11" ht="15.75" customHeight="1" x14ac:dyDescent="0.2">
      <c r="E413" s="113"/>
      <c r="K413" s="113"/>
    </row>
    <row r="414" spans="5:11" ht="15.75" customHeight="1" x14ac:dyDescent="0.2">
      <c r="E414" s="113"/>
      <c r="K414" s="113"/>
    </row>
    <row r="415" spans="5:11" ht="15.75" customHeight="1" x14ac:dyDescent="0.2">
      <c r="E415" s="113"/>
      <c r="K415" s="113"/>
    </row>
    <row r="416" spans="5:11" ht="15.75" customHeight="1" x14ac:dyDescent="0.2">
      <c r="E416" s="113"/>
      <c r="K416" s="113"/>
    </row>
    <row r="417" spans="5:11" ht="15.75" customHeight="1" x14ac:dyDescent="0.2">
      <c r="E417" s="113"/>
      <c r="K417" s="113"/>
    </row>
    <row r="418" spans="5:11" ht="15.75" customHeight="1" x14ac:dyDescent="0.2">
      <c r="E418" s="113"/>
      <c r="K418" s="113"/>
    </row>
    <row r="419" spans="5:11" ht="15.75" customHeight="1" x14ac:dyDescent="0.2">
      <c r="E419" s="113"/>
      <c r="K419" s="113"/>
    </row>
    <row r="420" spans="5:11" ht="15.75" customHeight="1" x14ac:dyDescent="0.2">
      <c r="E420" s="113"/>
      <c r="K420" s="113"/>
    </row>
    <row r="421" spans="5:11" ht="15.75" customHeight="1" x14ac:dyDescent="0.2">
      <c r="E421" s="113"/>
      <c r="K421" s="113"/>
    </row>
    <row r="422" spans="5:11" ht="15.75" customHeight="1" x14ac:dyDescent="0.2">
      <c r="E422" s="113"/>
      <c r="K422" s="113"/>
    </row>
    <row r="423" spans="5:11" ht="15.75" customHeight="1" x14ac:dyDescent="0.2">
      <c r="E423" s="113"/>
      <c r="K423" s="113"/>
    </row>
    <row r="424" spans="5:11" ht="15.75" customHeight="1" x14ac:dyDescent="0.2">
      <c r="E424" s="113"/>
      <c r="K424" s="113"/>
    </row>
    <row r="425" spans="5:11" ht="15.75" customHeight="1" x14ac:dyDescent="0.2">
      <c r="E425" s="113"/>
      <c r="K425" s="113"/>
    </row>
    <row r="426" spans="5:11" ht="15.75" customHeight="1" x14ac:dyDescent="0.2">
      <c r="E426" s="113"/>
      <c r="K426" s="113"/>
    </row>
    <row r="427" spans="5:11" ht="15.75" customHeight="1" x14ac:dyDescent="0.2">
      <c r="E427" s="113"/>
      <c r="K427" s="113"/>
    </row>
    <row r="428" spans="5:11" ht="15.75" customHeight="1" x14ac:dyDescent="0.2">
      <c r="E428" s="113"/>
      <c r="K428" s="113"/>
    </row>
    <row r="429" spans="5:11" ht="15.75" customHeight="1" x14ac:dyDescent="0.2">
      <c r="E429" s="113"/>
      <c r="K429" s="113"/>
    </row>
    <row r="430" spans="5:11" ht="15.75" customHeight="1" x14ac:dyDescent="0.2">
      <c r="E430" s="113"/>
      <c r="K430" s="113"/>
    </row>
    <row r="431" spans="5:11" ht="15.75" customHeight="1" x14ac:dyDescent="0.2">
      <c r="E431" s="113"/>
      <c r="K431" s="113"/>
    </row>
    <row r="432" spans="5:11" ht="15.75" customHeight="1" x14ac:dyDescent="0.2">
      <c r="E432" s="113"/>
      <c r="K432" s="113"/>
    </row>
    <row r="433" spans="5:11" ht="15.75" customHeight="1" x14ac:dyDescent="0.2">
      <c r="E433" s="113"/>
      <c r="K433" s="113"/>
    </row>
    <row r="434" spans="5:11" ht="15.75" customHeight="1" x14ac:dyDescent="0.2">
      <c r="E434" s="113"/>
      <c r="K434" s="113"/>
    </row>
    <row r="435" spans="5:11" ht="15.75" customHeight="1" x14ac:dyDescent="0.2">
      <c r="E435" s="113"/>
      <c r="K435" s="113"/>
    </row>
    <row r="436" spans="5:11" ht="15.75" customHeight="1" x14ac:dyDescent="0.2">
      <c r="E436" s="113"/>
      <c r="K436" s="113"/>
    </row>
    <row r="437" spans="5:11" ht="15.75" customHeight="1" x14ac:dyDescent="0.2">
      <c r="E437" s="113"/>
      <c r="K437" s="113"/>
    </row>
    <row r="438" spans="5:11" ht="15.75" customHeight="1" x14ac:dyDescent="0.2">
      <c r="E438" s="113"/>
      <c r="K438" s="113"/>
    </row>
    <row r="439" spans="5:11" ht="15.75" customHeight="1" x14ac:dyDescent="0.2">
      <c r="E439" s="113"/>
      <c r="K439" s="113"/>
    </row>
    <row r="440" spans="5:11" ht="15.75" customHeight="1" x14ac:dyDescent="0.2">
      <c r="E440" s="113"/>
      <c r="K440" s="113"/>
    </row>
    <row r="441" spans="5:11" ht="15.75" customHeight="1" x14ac:dyDescent="0.2">
      <c r="E441" s="113"/>
      <c r="K441" s="113"/>
    </row>
    <row r="442" spans="5:11" ht="15.75" customHeight="1" x14ac:dyDescent="0.2">
      <c r="E442" s="113"/>
      <c r="K442" s="113"/>
    </row>
    <row r="443" spans="5:11" ht="15.75" customHeight="1" x14ac:dyDescent="0.2">
      <c r="E443" s="113"/>
      <c r="K443" s="113"/>
    </row>
    <row r="444" spans="5:11" ht="15.75" customHeight="1" x14ac:dyDescent="0.2">
      <c r="E444" s="113"/>
      <c r="K444" s="113"/>
    </row>
    <row r="445" spans="5:11" ht="15.75" customHeight="1" x14ac:dyDescent="0.2">
      <c r="E445" s="113"/>
      <c r="K445" s="113"/>
    </row>
    <row r="446" spans="5:11" ht="15.75" customHeight="1" x14ac:dyDescent="0.2">
      <c r="E446" s="113"/>
      <c r="K446" s="113"/>
    </row>
    <row r="447" spans="5:11" ht="15.75" customHeight="1" x14ac:dyDescent="0.2">
      <c r="E447" s="113"/>
      <c r="K447" s="113"/>
    </row>
    <row r="448" spans="5:11" ht="15.75" customHeight="1" x14ac:dyDescent="0.2">
      <c r="E448" s="113"/>
      <c r="K448" s="113"/>
    </row>
    <row r="449" spans="5:11" ht="15.75" customHeight="1" x14ac:dyDescent="0.2">
      <c r="E449" s="113"/>
      <c r="K449" s="113"/>
    </row>
    <row r="450" spans="5:11" ht="15.75" customHeight="1" x14ac:dyDescent="0.2">
      <c r="E450" s="113"/>
      <c r="K450" s="113"/>
    </row>
    <row r="451" spans="5:11" ht="15.75" customHeight="1" x14ac:dyDescent="0.2">
      <c r="E451" s="113"/>
      <c r="K451" s="113"/>
    </row>
    <row r="452" spans="5:11" ht="15.75" customHeight="1" x14ac:dyDescent="0.2">
      <c r="E452" s="113"/>
      <c r="K452" s="113"/>
    </row>
    <row r="453" spans="5:11" ht="15.75" customHeight="1" x14ac:dyDescent="0.2">
      <c r="E453" s="113"/>
      <c r="K453" s="113"/>
    </row>
    <row r="454" spans="5:11" ht="15.75" customHeight="1" x14ac:dyDescent="0.2">
      <c r="E454" s="113"/>
      <c r="K454" s="113"/>
    </row>
    <row r="455" spans="5:11" ht="15.75" customHeight="1" x14ac:dyDescent="0.2">
      <c r="E455" s="113"/>
      <c r="K455" s="113"/>
    </row>
    <row r="456" spans="5:11" ht="15.75" customHeight="1" x14ac:dyDescent="0.2">
      <c r="E456" s="113"/>
      <c r="K456" s="113"/>
    </row>
    <row r="457" spans="5:11" ht="15.75" customHeight="1" x14ac:dyDescent="0.2">
      <c r="E457" s="113"/>
      <c r="K457" s="113"/>
    </row>
    <row r="458" spans="5:11" ht="15.75" customHeight="1" x14ac:dyDescent="0.2">
      <c r="E458" s="113"/>
      <c r="K458" s="113"/>
    </row>
    <row r="459" spans="5:11" ht="15.75" customHeight="1" x14ac:dyDescent="0.2">
      <c r="E459" s="113"/>
      <c r="K459" s="113"/>
    </row>
    <row r="460" spans="5:11" ht="15.75" customHeight="1" x14ac:dyDescent="0.2">
      <c r="E460" s="113"/>
      <c r="K460" s="113"/>
    </row>
    <row r="461" spans="5:11" ht="15.75" customHeight="1" x14ac:dyDescent="0.2">
      <c r="E461" s="113"/>
      <c r="K461" s="113"/>
    </row>
    <row r="462" spans="5:11" ht="15.75" customHeight="1" x14ac:dyDescent="0.2">
      <c r="E462" s="113"/>
      <c r="K462" s="113"/>
    </row>
    <row r="463" spans="5:11" ht="15.75" customHeight="1" x14ac:dyDescent="0.2">
      <c r="E463" s="113"/>
      <c r="K463" s="113"/>
    </row>
    <row r="464" spans="5:11" ht="15.75" customHeight="1" x14ac:dyDescent="0.2">
      <c r="E464" s="113"/>
      <c r="K464" s="113"/>
    </row>
    <row r="465" spans="5:11" ht="15.75" customHeight="1" x14ac:dyDescent="0.2">
      <c r="E465" s="113"/>
      <c r="K465" s="113"/>
    </row>
    <row r="466" spans="5:11" ht="15.75" customHeight="1" x14ac:dyDescent="0.2">
      <c r="E466" s="113"/>
      <c r="K466" s="113"/>
    </row>
    <row r="467" spans="5:11" ht="15.75" customHeight="1" x14ac:dyDescent="0.2">
      <c r="E467" s="113"/>
      <c r="K467" s="113"/>
    </row>
    <row r="468" spans="5:11" ht="15.75" customHeight="1" x14ac:dyDescent="0.2">
      <c r="E468" s="113"/>
      <c r="K468" s="113"/>
    </row>
    <row r="469" spans="5:11" ht="15.75" customHeight="1" x14ac:dyDescent="0.2">
      <c r="E469" s="113"/>
      <c r="K469" s="113"/>
    </row>
    <row r="470" spans="5:11" ht="15.75" customHeight="1" x14ac:dyDescent="0.2">
      <c r="E470" s="113"/>
      <c r="K470" s="113"/>
    </row>
    <row r="471" spans="5:11" ht="15.75" customHeight="1" x14ac:dyDescent="0.2">
      <c r="E471" s="113"/>
      <c r="K471" s="113"/>
    </row>
    <row r="472" spans="5:11" ht="15.75" customHeight="1" x14ac:dyDescent="0.2">
      <c r="E472" s="113"/>
      <c r="K472" s="113"/>
    </row>
    <row r="473" spans="5:11" ht="15.75" customHeight="1" x14ac:dyDescent="0.2">
      <c r="E473" s="113"/>
      <c r="K473" s="113"/>
    </row>
    <row r="474" spans="5:11" ht="15.75" customHeight="1" x14ac:dyDescent="0.2">
      <c r="E474" s="113"/>
      <c r="K474" s="113"/>
    </row>
    <row r="475" spans="5:11" ht="15.75" customHeight="1" x14ac:dyDescent="0.2">
      <c r="E475" s="113"/>
      <c r="K475" s="113"/>
    </row>
    <row r="476" spans="5:11" ht="15.75" customHeight="1" x14ac:dyDescent="0.2">
      <c r="E476" s="113"/>
      <c r="K476" s="113"/>
    </row>
    <row r="477" spans="5:11" ht="15.75" customHeight="1" x14ac:dyDescent="0.2">
      <c r="E477" s="113"/>
      <c r="K477" s="113"/>
    </row>
    <row r="478" spans="5:11" ht="15.75" customHeight="1" x14ac:dyDescent="0.2">
      <c r="E478" s="113"/>
      <c r="K478" s="113"/>
    </row>
    <row r="479" spans="5:11" ht="15.75" customHeight="1" x14ac:dyDescent="0.2">
      <c r="E479" s="113"/>
      <c r="K479" s="113"/>
    </row>
    <row r="480" spans="5:11" ht="15.75" customHeight="1" x14ac:dyDescent="0.2">
      <c r="E480" s="113"/>
      <c r="K480" s="113"/>
    </row>
    <row r="481" spans="5:11" ht="15.75" customHeight="1" x14ac:dyDescent="0.2">
      <c r="E481" s="113"/>
      <c r="K481" s="113"/>
    </row>
    <row r="482" spans="5:11" ht="15.75" customHeight="1" x14ac:dyDescent="0.2">
      <c r="E482" s="113"/>
      <c r="K482" s="113"/>
    </row>
    <row r="483" spans="5:11" ht="15.75" customHeight="1" x14ac:dyDescent="0.2">
      <c r="E483" s="113"/>
      <c r="K483" s="113"/>
    </row>
    <row r="484" spans="5:11" ht="15.75" customHeight="1" x14ac:dyDescent="0.2">
      <c r="E484" s="113"/>
      <c r="K484" s="113"/>
    </row>
    <row r="485" spans="5:11" ht="15.75" customHeight="1" x14ac:dyDescent="0.2">
      <c r="E485" s="113"/>
      <c r="K485" s="113"/>
    </row>
    <row r="486" spans="5:11" ht="15.75" customHeight="1" x14ac:dyDescent="0.2">
      <c r="E486" s="113"/>
      <c r="K486" s="113"/>
    </row>
    <row r="487" spans="5:11" ht="15.75" customHeight="1" x14ac:dyDescent="0.2">
      <c r="E487" s="113"/>
      <c r="K487" s="113"/>
    </row>
    <row r="488" spans="5:11" ht="15.75" customHeight="1" x14ac:dyDescent="0.2">
      <c r="E488" s="113"/>
      <c r="K488" s="113"/>
    </row>
    <row r="489" spans="5:11" ht="15.75" customHeight="1" x14ac:dyDescent="0.2">
      <c r="E489" s="113"/>
      <c r="K489" s="113"/>
    </row>
    <row r="490" spans="5:11" ht="15.75" customHeight="1" x14ac:dyDescent="0.2">
      <c r="E490" s="113"/>
      <c r="K490" s="113"/>
    </row>
    <row r="491" spans="5:11" ht="15.75" customHeight="1" x14ac:dyDescent="0.2">
      <c r="E491" s="113"/>
      <c r="K491" s="113"/>
    </row>
    <row r="492" spans="5:11" ht="15.75" customHeight="1" x14ac:dyDescent="0.2">
      <c r="E492" s="113"/>
      <c r="K492" s="113"/>
    </row>
    <row r="493" spans="5:11" ht="15.75" customHeight="1" x14ac:dyDescent="0.2">
      <c r="E493" s="113"/>
      <c r="K493" s="113"/>
    </row>
    <row r="494" spans="5:11" ht="15.75" customHeight="1" x14ac:dyDescent="0.2">
      <c r="E494" s="113"/>
      <c r="K494" s="113"/>
    </row>
    <row r="495" spans="5:11" ht="15.75" customHeight="1" x14ac:dyDescent="0.2">
      <c r="E495" s="113"/>
      <c r="K495" s="113"/>
    </row>
    <row r="496" spans="5:11" ht="15.75" customHeight="1" x14ac:dyDescent="0.2">
      <c r="E496" s="113"/>
      <c r="K496" s="113"/>
    </row>
    <row r="497" spans="5:11" ht="15.75" customHeight="1" x14ac:dyDescent="0.2">
      <c r="E497" s="113"/>
      <c r="K497" s="113"/>
    </row>
    <row r="498" spans="5:11" ht="15.75" customHeight="1" x14ac:dyDescent="0.2">
      <c r="E498" s="113"/>
      <c r="K498" s="113"/>
    </row>
    <row r="499" spans="5:11" ht="15.75" customHeight="1" x14ac:dyDescent="0.2">
      <c r="E499" s="113"/>
      <c r="K499" s="113"/>
    </row>
    <row r="500" spans="5:11" ht="15.75" customHeight="1" x14ac:dyDescent="0.2">
      <c r="E500" s="113"/>
      <c r="K500" s="113"/>
    </row>
    <row r="501" spans="5:11" ht="15.75" customHeight="1" x14ac:dyDescent="0.2">
      <c r="E501" s="113"/>
      <c r="K501" s="113"/>
    </row>
    <row r="502" spans="5:11" ht="15.75" customHeight="1" x14ac:dyDescent="0.2">
      <c r="E502" s="113"/>
      <c r="K502" s="113"/>
    </row>
    <row r="503" spans="5:11" ht="15.75" customHeight="1" x14ac:dyDescent="0.2">
      <c r="E503" s="113"/>
      <c r="K503" s="113"/>
    </row>
    <row r="504" spans="5:11" ht="15.75" customHeight="1" x14ac:dyDescent="0.2">
      <c r="E504" s="113"/>
      <c r="K504" s="113"/>
    </row>
    <row r="505" spans="5:11" ht="15.75" customHeight="1" x14ac:dyDescent="0.2">
      <c r="E505" s="113"/>
      <c r="K505" s="113"/>
    </row>
    <row r="506" spans="5:11" ht="15.75" customHeight="1" x14ac:dyDescent="0.2">
      <c r="E506" s="113"/>
      <c r="K506" s="113"/>
    </row>
    <row r="507" spans="5:11" ht="15.75" customHeight="1" x14ac:dyDescent="0.2">
      <c r="E507" s="113"/>
      <c r="K507" s="113"/>
    </row>
    <row r="508" spans="5:11" ht="15.75" customHeight="1" x14ac:dyDescent="0.2">
      <c r="E508" s="113"/>
      <c r="K508" s="113"/>
    </row>
    <row r="509" spans="5:11" ht="15.75" customHeight="1" x14ac:dyDescent="0.2">
      <c r="E509" s="113"/>
      <c r="K509" s="113"/>
    </row>
    <row r="510" spans="5:11" ht="15.75" customHeight="1" x14ac:dyDescent="0.2">
      <c r="E510" s="113"/>
      <c r="K510" s="113"/>
    </row>
    <row r="511" spans="5:11" ht="15.75" customHeight="1" x14ac:dyDescent="0.2">
      <c r="E511" s="113"/>
      <c r="K511" s="113"/>
    </row>
    <row r="512" spans="5:11" ht="15.75" customHeight="1" x14ac:dyDescent="0.2">
      <c r="E512" s="113"/>
      <c r="K512" s="113"/>
    </row>
    <row r="513" spans="5:11" ht="15.75" customHeight="1" x14ac:dyDescent="0.2">
      <c r="E513" s="113"/>
      <c r="K513" s="113"/>
    </row>
    <row r="514" spans="5:11" ht="15.75" customHeight="1" x14ac:dyDescent="0.2">
      <c r="E514" s="113"/>
      <c r="K514" s="113"/>
    </row>
    <row r="515" spans="5:11" ht="15.75" customHeight="1" x14ac:dyDescent="0.2">
      <c r="E515" s="113"/>
      <c r="K515" s="113"/>
    </row>
    <row r="516" spans="5:11" ht="15.75" customHeight="1" x14ac:dyDescent="0.2">
      <c r="E516" s="113"/>
      <c r="K516" s="113"/>
    </row>
    <row r="517" spans="5:11" ht="15.75" customHeight="1" x14ac:dyDescent="0.2">
      <c r="E517" s="113"/>
      <c r="K517" s="113"/>
    </row>
    <row r="518" spans="5:11" ht="15.75" customHeight="1" x14ac:dyDescent="0.2">
      <c r="E518" s="113"/>
      <c r="K518" s="113"/>
    </row>
    <row r="519" spans="5:11" ht="15.75" customHeight="1" x14ac:dyDescent="0.2">
      <c r="E519" s="113"/>
      <c r="K519" s="113"/>
    </row>
    <row r="520" spans="5:11" ht="15.75" customHeight="1" x14ac:dyDescent="0.2">
      <c r="E520" s="113"/>
      <c r="K520" s="113"/>
    </row>
    <row r="521" spans="5:11" ht="15.75" customHeight="1" x14ac:dyDescent="0.2">
      <c r="E521" s="113"/>
      <c r="K521" s="113"/>
    </row>
    <row r="522" spans="5:11" ht="15.75" customHeight="1" x14ac:dyDescent="0.2">
      <c r="E522" s="113"/>
      <c r="K522" s="113"/>
    </row>
    <row r="523" spans="5:11" ht="15.75" customHeight="1" x14ac:dyDescent="0.2">
      <c r="E523" s="113"/>
      <c r="K523" s="113"/>
    </row>
    <row r="524" spans="5:11" ht="15.75" customHeight="1" x14ac:dyDescent="0.2">
      <c r="E524" s="113"/>
      <c r="K524" s="113"/>
    </row>
    <row r="525" spans="5:11" ht="15.75" customHeight="1" x14ac:dyDescent="0.2">
      <c r="E525" s="113"/>
      <c r="K525" s="113"/>
    </row>
    <row r="526" spans="5:11" ht="15.75" customHeight="1" x14ac:dyDescent="0.2">
      <c r="E526" s="113"/>
      <c r="K526" s="113"/>
    </row>
    <row r="527" spans="5:11" ht="15.75" customHeight="1" x14ac:dyDescent="0.2">
      <c r="E527" s="113"/>
      <c r="K527" s="113"/>
    </row>
    <row r="528" spans="5:11" ht="15.75" customHeight="1" x14ac:dyDescent="0.2">
      <c r="E528" s="113"/>
      <c r="K528" s="113"/>
    </row>
    <row r="529" spans="5:11" ht="15.75" customHeight="1" x14ac:dyDescent="0.2">
      <c r="E529" s="113"/>
      <c r="K529" s="113"/>
    </row>
    <row r="530" spans="5:11" ht="15.75" customHeight="1" x14ac:dyDescent="0.2">
      <c r="E530" s="113"/>
      <c r="K530" s="113"/>
    </row>
    <row r="531" spans="5:11" ht="15.75" customHeight="1" x14ac:dyDescent="0.2">
      <c r="E531" s="113"/>
      <c r="K531" s="113"/>
    </row>
    <row r="532" spans="5:11" ht="15.75" customHeight="1" x14ac:dyDescent="0.2">
      <c r="E532" s="113"/>
      <c r="K532" s="113"/>
    </row>
    <row r="533" spans="5:11" ht="15.75" customHeight="1" x14ac:dyDescent="0.2">
      <c r="E533" s="113"/>
      <c r="K533" s="113"/>
    </row>
    <row r="534" spans="5:11" ht="15.75" customHeight="1" x14ac:dyDescent="0.2">
      <c r="E534" s="113"/>
      <c r="K534" s="113"/>
    </row>
    <row r="535" spans="5:11" ht="15.75" customHeight="1" x14ac:dyDescent="0.2">
      <c r="E535" s="113"/>
      <c r="K535" s="113"/>
    </row>
    <row r="536" spans="5:11" ht="15.75" customHeight="1" x14ac:dyDescent="0.2">
      <c r="E536" s="113"/>
      <c r="K536" s="113"/>
    </row>
    <row r="537" spans="5:11" ht="15.75" customHeight="1" x14ac:dyDescent="0.2">
      <c r="E537" s="113"/>
      <c r="K537" s="113"/>
    </row>
    <row r="538" spans="5:11" ht="15.75" customHeight="1" x14ac:dyDescent="0.2">
      <c r="E538" s="113"/>
      <c r="K538" s="113"/>
    </row>
    <row r="539" spans="5:11" ht="15.75" customHeight="1" x14ac:dyDescent="0.2">
      <c r="E539" s="113"/>
      <c r="K539" s="113"/>
    </row>
    <row r="540" spans="5:11" ht="15.75" customHeight="1" x14ac:dyDescent="0.2">
      <c r="E540" s="113"/>
      <c r="K540" s="113"/>
    </row>
    <row r="541" spans="5:11" ht="15.75" customHeight="1" x14ac:dyDescent="0.2">
      <c r="E541" s="113"/>
      <c r="K541" s="113"/>
    </row>
    <row r="542" spans="5:11" ht="15.75" customHeight="1" x14ac:dyDescent="0.2">
      <c r="E542" s="113"/>
      <c r="K542" s="113"/>
    </row>
    <row r="543" spans="5:11" ht="15.75" customHeight="1" x14ac:dyDescent="0.2">
      <c r="E543" s="113"/>
      <c r="K543" s="113"/>
    </row>
    <row r="544" spans="5:11" ht="15.75" customHeight="1" x14ac:dyDescent="0.2">
      <c r="E544" s="113"/>
      <c r="K544" s="113"/>
    </row>
    <row r="545" spans="5:11" ht="15.75" customHeight="1" x14ac:dyDescent="0.2">
      <c r="E545" s="113"/>
      <c r="K545" s="113"/>
    </row>
    <row r="546" spans="5:11" ht="15.75" customHeight="1" x14ac:dyDescent="0.2">
      <c r="E546" s="113"/>
      <c r="K546" s="113"/>
    </row>
    <row r="547" spans="5:11" ht="15.75" customHeight="1" x14ac:dyDescent="0.2">
      <c r="E547" s="113"/>
      <c r="K547" s="113"/>
    </row>
    <row r="548" spans="5:11" ht="15.75" customHeight="1" x14ac:dyDescent="0.2">
      <c r="E548" s="113"/>
      <c r="K548" s="113"/>
    </row>
    <row r="549" spans="5:11" ht="15.75" customHeight="1" x14ac:dyDescent="0.2">
      <c r="E549" s="113"/>
      <c r="K549" s="113"/>
    </row>
    <row r="550" spans="5:11" ht="15.75" customHeight="1" x14ac:dyDescent="0.2">
      <c r="E550" s="113"/>
      <c r="K550" s="113"/>
    </row>
    <row r="551" spans="5:11" ht="15.75" customHeight="1" x14ac:dyDescent="0.2">
      <c r="E551" s="113"/>
      <c r="K551" s="113"/>
    </row>
    <row r="552" spans="5:11" ht="15.75" customHeight="1" x14ac:dyDescent="0.2">
      <c r="E552" s="113"/>
      <c r="K552" s="113"/>
    </row>
    <row r="553" spans="5:11" ht="15.75" customHeight="1" x14ac:dyDescent="0.2">
      <c r="E553" s="113"/>
      <c r="K553" s="113"/>
    </row>
    <row r="554" spans="5:11" ht="15.75" customHeight="1" x14ac:dyDescent="0.2">
      <c r="E554" s="113"/>
      <c r="K554" s="113"/>
    </row>
    <row r="555" spans="5:11" ht="15.75" customHeight="1" x14ac:dyDescent="0.2">
      <c r="E555" s="113"/>
      <c r="K555" s="113"/>
    </row>
    <row r="556" spans="5:11" ht="15.75" customHeight="1" x14ac:dyDescent="0.2">
      <c r="E556" s="113"/>
      <c r="K556" s="113"/>
    </row>
    <row r="557" spans="5:11" ht="15.75" customHeight="1" x14ac:dyDescent="0.2">
      <c r="E557" s="113"/>
      <c r="K557" s="113"/>
    </row>
    <row r="558" spans="5:11" ht="15.75" customHeight="1" x14ac:dyDescent="0.2">
      <c r="E558" s="113"/>
      <c r="K558" s="113"/>
    </row>
    <row r="559" spans="5:11" ht="15.75" customHeight="1" x14ac:dyDescent="0.2">
      <c r="E559" s="113"/>
      <c r="K559" s="113"/>
    </row>
    <row r="560" spans="5:11" ht="15.75" customHeight="1" x14ac:dyDescent="0.2">
      <c r="E560" s="113"/>
      <c r="K560" s="113"/>
    </row>
    <row r="561" spans="5:11" ht="15.75" customHeight="1" x14ac:dyDescent="0.2">
      <c r="E561" s="113"/>
      <c r="K561" s="113"/>
    </row>
    <row r="562" spans="5:11" ht="15.75" customHeight="1" x14ac:dyDescent="0.2">
      <c r="E562" s="113"/>
      <c r="K562" s="113"/>
    </row>
    <row r="563" spans="5:11" ht="15.75" customHeight="1" x14ac:dyDescent="0.2">
      <c r="E563" s="113"/>
      <c r="K563" s="113"/>
    </row>
    <row r="564" spans="5:11" ht="15.75" customHeight="1" x14ac:dyDescent="0.2">
      <c r="E564" s="113"/>
      <c r="K564" s="113"/>
    </row>
    <row r="565" spans="5:11" ht="15.75" customHeight="1" x14ac:dyDescent="0.2">
      <c r="E565" s="113"/>
      <c r="K565" s="113"/>
    </row>
    <row r="566" spans="5:11" ht="15.75" customHeight="1" x14ac:dyDescent="0.2">
      <c r="E566" s="113"/>
      <c r="K566" s="113"/>
    </row>
    <row r="567" spans="5:11" ht="15.75" customHeight="1" x14ac:dyDescent="0.2">
      <c r="E567" s="113"/>
      <c r="K567" s="113"/>
    </row>
    <row r="568" spans="5:11" ht="15.75" customHeight="1" x14ac:dyDescent="0.2">
      <c r="E568" s="113"/>
      <c r="K568" s="113"/>
    </row>
    <row r="569" spans="5:11" ht="15.75" customHeight="1" x14ac:dyDescent="0.2">
      <c r="E569" s="113"/>
      <c r="K569" s="113"/>
    </row>
    <row r="570" spans="5:11" ht="15.75" customHeight="1" x14ac:dyDescent="0.2">
      <c r="E570" s="113"/>
      <c r="K570" s="113"/>
    </row>
    <row r="571" spans="5:11" ht="15.75" customHeight="1" x14ac:dyDescent="0.2">
      <c r="E571" s="113"/>
      <c r="K571" s="113"/>
    </row>
    <row r="572" spans="5:11" ht="15.75" customHeight="1" x14ac:dyDescent="0.2">
      <c r="E572" s="113"/>
      <c r="K572" s="113"/>
    </row>
    <row r="573" spans="5:11" ht="15.75" customHeight="1" x14ac:dyDescent="0.2">
      <c r="E573" s="113"/>
      <c r="K573" s="113"/>
    </row>
    <row r="574" spans="5:11" ht="15.75" customHeight="1" x14ac:dyDescent="0.2">
      <c r="E574" s="113"/>
      <c r="K574" s="113"/>
    </row>
    <row r="575" spans="5:11" ht="15.75" customHeight="1" x14ac:dyDescent="0.2">
      <c r="E575" s="113"/>
      <c r="K575" s="113"/>
    </row>
    <row r="576" spans="5:11" ht="15.75" customHeight="1" x14ac:dyDescent="0.2">
      <c r="E576" s="113"/>
      <c r="K576" s="113"/>
    </row>
    <row r="577" spans="5:11" ht="15.75" customHeight="1" x14ac:dyDescent="0.2">
      <c r="E577" s="113"/>
      <c r="K577" s="113"/>
    </row>
    <row r="578" spans="5:11" ht="15.75" customHeight="1" x14ac:dyDescent="0.2">
      <c r="E578" s="113"/>
      <c r="K578" s="113"/>
    </row>
    <row r="579" spans="5:11" ht="15.75" customHeight="1" x14ac:dyDescent="0.2">
      <c r="E579" s="113"/>
      <c r="K579" s="113"/>
    </row>
    <row r="580" spans="5:11" ht="15.75" customHeight="1" x14ac:dyDescent="0.2">
      <c r="E580" s="113"/>
      <c r="K580" s="113"/>
    </row>
    <row r="581" spans="5:11" ht="15.75" customHeight="1" x14ac:dyDescent="0.2">
      <c r="E581" s="113"/>
      <c r="K581" s="113"/>
    </row>
    <row r="582" spans="5:11" ht="15.75" customHeight="1" x14ac:dyDescent="0.2">
      <c r="E582" s="113"/>
      <c r="K582" s="113"/>
    </row>
    <row r="583" spans="5:11" ht="15.75" customHeight="1" x14ac:dyDescent="0.2">
      <c r="E583" s="113"/>
      <c r="K583" s="113"/>
    </row>
    <row r="584" spans="5:11" ht="15.75" customHeight="1" x14ac:dyDescent="0.2">
      <c r="E584" s="113"/>
      <c r="K584" s="113"/>
    </row>
    <row r="585" spans="5:11" ht="15.75" customHeight="1" x14ac:dyDescent="0.2">
      <c r="E585" s="113"/>
      <c r="K585" s="113"/>
    </row>
    <row r="586" spans="5:11" ht="15.75" customHeight="1" x14ac:dyDescent="0.2">
      <c r="E586" s="113"/>
      <c r="K586" s="113"/>
    </row>
    <row r="587" spans="5:11" ht="15.75" customHeight="1" x14ac:dyDescent="0.2">
      <c r="E587" s="113"/>
      <c r="K587" s="113"/>
    </row>
    <row r="588" spans="5:11" ht="15.75" customHeight="1" x14ac:dyDescent="0.2">
      <c r="E588" s="113"/>
      <c r="K588" s="113"/>
    </row>
    <row r="589" spans="5:11" ht="15.75" customHeight="1" x14ac:dyDescent="0.2">
      <c r="E589" s="113"/>
      <c r="K589" s="113"/>
    </row>
    <row r="590" spans="5:11" ht="15.75" customHeight="1" x14ac:dyDescent="0.2">
      <c r="E590" s="113"/>
      <c r="K590" s="113"/>
    </row>
    <row r="591" spans="5:11" ht="15.75" customHeight="1" x14ac:dyDescent="0.2">
      <c r="E591" s="113"/>
      <c r="K591" s="113"/>
    </row>
    <row r="592" spans="5:11" ht="15.75" customHeight="1" x14ac:dyDescent="0.2">
      <c r="E592" s="113"/>
      <c r="K592" s="113"/>
    </row>
    <row r="593" spans="5:11" ht="15.75" customHeight="1" x14ac:dyDescent="0.2">
      <c r="E593" s="113"/>
      <c r="K593" s="113"/>
    </row>
    <row r="594" spans="5:11" ht="15.75" customHeight="1" x14ac:dyDescent="0.2">
      <c r="E594" s="113"/>
      <c r="K594" s="113"/>
    </row>
    <row r="595" spans="5:11" ht="15.75" customHeight="1" x14ac:dyDescent="0.2">
      <c r="E595" s="113"/>
      <c r="K595" s="113"/>
    </row>
    <row r="596" spans="5:11" ht="15.75" customHeight="1" x14ac:dyDescent="0.2">
      <c r="E596" s="113"/>
      <c r="K596" s="113"/>
    </row>
    <row r="597" spans="5:11" ht="15.75" customHeight="1" x14ac:dyDescent="0.2">
      <c r="E597" s="113"/>
      <c r="K597" s="113"/>
    </row>
    <row r="598" spans="5:11" ht="15.75" customHeight="1" x14ac:dyDescent="0.2">
      <c r="E598" s="113"/>
      <c r="K598" s="113"/>
    </row>
    <row r="599" spans="5:11" ht="15.75" customHeight="1" x14ac:dyDescent="0.2">
      <c r="E599" s="113"/>
      <c r="K599" s="113"/>
    </row>
    <row r="600" spans="5:11" ht="15.75" customHeight="1" x14ac:dyDescent="0.2">
      <c r="E600" s="113"/>
      <c r="K600" s="113"/>
    </row>
    <row r="601" spans="5:11" ht="15.75" customHeight="1" x14ac:dyDescent="0.2">
      <c r="E601" s="113"/>
      <c r="K601" s="113"/>
    </row>
    <row r="602" spans="5:11" ht="15.75" customHeight="1" x14ac:dyDescent="0.2">
      <c r="E602" s="113"/>
      <c r="K602" s="113"/>
    </row>
    <row r="603" spans="5:11" ht="15.75" customHeight="1" x14ac:dyDescent="0.2">
      <c r="E603" s="113"/>
      <c r="K603" s="113"/>
    </row>
    <row r="604" spans="5:11" ht="15.75" customHeight="1" x14ac:dyDescent="0.2">
      <c r="E604" s="113"/>
      <c r="K604" s="113"/>
    </row>
    <row r="605" spans="5:11" ht="15.75" customHeight="1" x14ac:dyDescent="0.2">
      <c r="E605" s="113"/>
      <c r="K605" s="113"/>
    </row>
    <row r="606" spans="5:11" ht="15.75" customHeight="1" x14ac:dyDescent="0.2">
      <c r="E606" s="113"/>
      <c r="K606" s="113"/>
    </row>
    <row r="607" spans="5:11" ht="15.75" customHeight="1" x14ac:dyDescent="0.2">
      <c r="E607" s="113"/>
      <c r="K607" s="113"/>
    </row>
    <row r="608" spans="5:11" ht="15.75" customHeight="1" x14ac:dyDescent="0.2">
      <c r="E608" s="113"/>
      <c r="K608" s="113"/>
    </row>
    <row r="609" spans="5:11" ht="15.75" customHeight="1" x14ac:dyDescent="0.2">
      <c r="E609" s="113"/>
      <c r="K609" s="113"/>
    </row>
    <row r="610" spans="5:11" ht="15.75" customHeight="1" x14ac:dyDescent="0.2">
      <c r="E610" s="113"/>
      <c r="K610" s="113"/>
    </row>
    <row r="611" spans="5:11" ht="15.75" customHeight="1" x14ac:dyDescent="0.2">
      <c r="E611" s="113"/>
      <c r="K611" s="113"/>
    </row>
    <row r="612" spans="5:11" ht="15.75" customHeight="1" x14ac:dyDescent="0.2">
      <c r="E612" s="113"/>
      <c r="K612" s="113"/>
    </row>
    <row r="613" spans="5:11" ht="15.75" customHeight="1" x14ac:dyDescent="0.2">
      <c r="E613" s="113"/>
      <c r="K613" s="113"/>
    </row>
    <row r="614" spans="5:11" ht="15.75" customHeight="1" x14ac:dyDescent="0.2">
      <c r="E614" s="113"/>
      <c r="K614" s="113"/>
    </row>
    <row r="615" spans="5:11" ht="15.75" customHeight="1" x14ac:dyDescent="0.2">
      <c r="E615" s="113"/>
      <c r="K615" s="113"/>
    </row>
    <row r="616" spans="5:11" ht="15.75" customHeight="1" x14ac:dyDescent="0.2">
      <c r="E616" s="113"/>
      <c r="K616" s="113"/>
    </row>
    <row r="617" spans="5:11" ht="15.75" customHeight="1" x14ac:dyDescent="0.2">
      <c r="E617" s="113"/>
      <c r="K617" s="113"/>
    </row>
    <row r="618" spans="5:11" ht="15.75" customHeight="1" x14ac:dyDescent="0.2">
      <c r="E618" s="113"/>
      <c r="K618" s="113"/>
    </row>
    <row r="619" spans="5:11" ht="15.75" customHeight="1" x14ac:dyDescent="0.2">
      <c r="E619" s="113"/>
      <c r="K619" s="113"/>
    </row>
    <row r="620" spans="5:11" ht="15.75" customHeight="1" x14ac:dyDescent="0.2">
      <c r="E620" s="113"/>
      <c r="K620" s="113"/>
    </row>
    <row r="621" spans="5:11" ht="15.75" customHeight="1" x14ac:dyDescent="0.2">
      <c r="E621" s="113"/>
      <c r="K621" s="113"/>
    </row>
    <row r="622" spans="5:11" ht="15.75" customHeight="1" x14ac:dyDescent="0.2">
      <c r="E622" s="113"/>
      <c r="K622" s="113"/>
    </row>
    <row r="623" spans="5:11" ht="15.75" customHeight="1" x14ac:dyDescent="0.2">
      <c r="E623" s="113"/>
      <c r="K623" s="113"/>
    </row>
    <row r="624" spans="5:11" ht="15.75" customHeight="1" x14ac:dyDescent="0.2">
      <c r="E624" s="113"/>
      <c r="K624" s="113"/>
    </row>
    <row r="625" spans="5:11" ht="15.75" customHeight="1" x14ac:dyDescent="0.2">
      <c r="E625" s="113"/>
      <c r="K625" s="113"/>
    </row>
    <row r="626" spans="5:11" ht="15.75" customHeight="1" x14ac:dyDescent="0.2">
      <c r="E626" s="113"/>
      <c r="K626" s="113"/>
    </row>
    <row r="627" spans="5:11" ht="15.75" customHeight="1" x14ac:dyDescent="0.2">
      <c r="E627" s="113"/>
      <c r="K627" s="113"/>
    </row>
    <row r="628" spans="5:11" ht="15.75" customHeight="1" x14ac:dyDescent="0.2">
      <c r="E628" s="113"/>
      <c r="K628" s="113"/>
    </row>
    <row r="629" spans="5:11" ht="15.75" customHeight="1" x14ac:dyDescent="0.2">
      <c r="E629" s="113"/>
      <c r="K629" s="113"/>
    </row>
    <row r="630" spans="5:11" ht="15.75" customHeight="1" x14ac:dyDescent="0.2">
      <c r="E630" s="113"/>
      <c r="K630" s="113"/>
    </row>
    <row r="631" spans="5:11" ht="15.75" customHeight="1" x14ac:dyDescent="0.2">
      <c r="E631" s="113"/>
      <c r="K631" s="113"/>
    </row>
    <row r="632" spans="5:11" ht="15.75" customHeight="1" x14ac:dyDescent="0.2">
      <c r="E632" s="113"/>
      <c r="K632" s="113"/>
    </row>
    <row r="633" spans="5:11" ht="15.75" customHeight="1" x14ac:dyDescent="0.2">
      <c r="E633" s="113"/>
      <c r="K633" s="113"/>
    </row>
    <row r="634" spans="5:11" ht="15.75" customHeight="1" x14ac:dyDescent="0.2">
      <c r="E634" s="113"/>
      <c r="K634" s="113"/>
    </row>
    <row r="635" spans="5:11" ht="15.75" customHeight="1" x14ac:dyDescent="0.2">
      <c r="E635" s="113"/>
      <c r="K635" s="113"/>
    </row>
    <row r="636" spans="5:11" ht="15.75" customHeight="1" x14ac:dyDescent="0.2">
      <c r="E636" s="113"/>
      <c r="K636" s="113"/>
    </row>
    <row r="637" spans="5:11" ht="15.75" customHeight="1" x14ac:dyDescent="0.2">
      <c r="E637" s="113"/>
      <c r="K637" s="113"/>
    </row>
    <row r="638" spans="5:11" ht="15.75" customHeight="1" x14ac:dyDescent="0.2">
      <c r="E638" s="113"/>
      <c r="K638" s="113"/>
    </row>
    <row r="639" spans="5:11" ht="15.75" customHeight="1" x14ac:dyDescent="0.2">
      <c r="E639" s="113"/>
      <c r="K639" s="113"/>
    </row>
    <row r="640" spans="5:11" ht="15.75" customHeight="1" x14ac:dyDescent="0.2">
      <c r="E640" s="113"/>
      <c r="K640" s="113"/>
    </row>
    <row r="641" spans="5:11" ht="15.75" customHeight="1" x14ac:dyDescent="0.2">
      <c r="E641" s="113"/>
      <c r="K641" s="113"/>
    </row>
    <row r="642" spans="5:11" ht="15.75" customHeight="1" x14ac:dyDescent="0.2">
      <c r="E642" s="113"/>
      <c r="K642" s="113"/>
    </row>
    <row r="643" spans="5:11" ht="15.75" customHeight="1" x14ac:dyDescent="0.2">
      <c r="E643" s="113"/>
      <c r="K643" s="113"/>
    </row>
    <row r="644" spans="5:11" ht="15.75" customHeight="1" x14ac:dyDescent="0.2">
      <c r="E644" s="113"/>
      <c r="K644" s="113"/>
    </row>
    <row r="645" spans="5:11" ht="15.75" customHeight="1" x14ac:dyDescent="0.2">
      <c r="E645" s="113"/>
      <c r="K645" s="113"/>
    </row>
    <row r="646" spans="5:11" ht="15.75" customHeight="1" x14ac:dyDescent="0.2">
      <c r="E646" s="113"/>
      <c r="K646" s="113"/>
    </row>
    <row r="647" spans="5:11" ht="15.75" customHeight="1" x14ac:dyDescent="0.2">
      <c r="E647" s="113"/>
      <c r="K647" s="113"/>
    </row>
    <row r="648" spans="5:11" ht="15.75" customHeight="1" x14ac:dyDescent="0.2">
      <c r="E648" s="113"/>
      <c r="K648" s="113"/>
    </row>
    <row r="649" spans="5:11" ht="15.75" customHeight="1" x14ac:dyDescent="0.2">
      <c r="E649" s="113"/>
      <c r="K649" s="113"/>
    </row>
    <row r="650" spans="5:11" ht="15.75" customHeight="1" x14ac:dyDescent="0.2">
      <c r="E650" s="113"/>
      <c r="K650" s="113"/>
    </row>
    <row r="651" spans="5:11" ht="15.75" customHeight="1" x14ac:dyDescent="0.2">
      <c r="E651" s="113"/>
      <c r="K651" s="113"/>
    </row>
    <row r="652" spans="5:11" ht="15.75" customHeight="1" x14ac:dyDescent="0.2">
      <c r="E652" s="113"/>
      <c r="K652" s="113"/>
    </row>
    <row r="653" spans="5:11" ht="15.75" customHeight="1" x14ac:dyDescent="0.2">
      <c r="E653" s="113"/>
      <c r="K653" s="113"/>
    </row>
    <row r="654" spans="5:11" ht="15.75" customHeight="1" x14ac:dyDescent="0.2">
      <c r="E654" s="113"/>
      <c r="K654" s="113"/>
    </row>
    <row r="655" spans="5:11" ht="15.75" customHeight="1" x14ac:dyDescent="0.2">
      <c r="E655" s="113"/>
      <c r="K655" s="113"/>
    </row>
    <row r="656" spans="5:11" ht="15.75" customHeight="1" x14ac:dyDescent="0.2">
      <c r="E656" s="113"/>
      <c r="K656" s="113"/>
    </row>
    <row r="657" spans="5:11" ht="15.75" customHeight="1" x14ac:dyDescent="0.2">
      <c r="E657" s="113"/>
      <c r="K657" s="113"/>
    </row>
    <row r="658" spans="5:11" ht="15.75" customHeight="1" x14ac:dyDescent="0.2">
      <c r="E658" s="113"/>
      <c r="K658" s="113"/>
    </row>
    <row r="659" spans="5:11" ht="15.75" customHeight="1" x14ac:dyDescent="0.2">
      <c r="E659" s="113"/>
      <c r="K659" s="113"/>
    </row>
    <row r="660" spans="5:11" ht="15.75" customHeight="1" x14ac:dyDescent="0.2">
      <c r="E660" s="113"/>
      <c r="K660" s="113"/>
    </row>
    <row r="661" spans="5:11" ht="15.75" customHeight="1" x14ac:dyDescent="0.2">
      <c r="E661" s="113"/>
      <c r="K661" s="113"/>
    </row>
    <row r="662" spans="5:11" ht="15.75" customHeight="1" x14ac:dyDescent="0.2">
      <c r="E662" s="113"/>
      <c r="K662" s="113"/>
    </row>
    <row r="663" spans="5:11" ht="15.75" customHeight="1" x14ac:dyDescent="0.2">
      <c r="E663" s="113"/>
      <c r="K663" s="113"/>
    </row>
    <row r="664" spans="5:11" ht="15.75" customHeight="1" x14ac:dyDescent="0.2">
      <c r="E664" s="113"/>
      <c r="K664" s="113"/>
    </row>
    <row r="665" spans="5:11" ht="15.75" customHeight="1" x14ac:dyDescent="0.2">
      <c r="E665" s="113"/>
      <c r="K665" s="113"/>
    </row>
    <row r="666" spans="5:11" ht="15.75" customHeight="1" x14ac:dyDescent="0.2">
      <c r="E666" s="113"/>
      <c r="K666" s="113"/>
    </row>
    <row r="667" spans="5:11" ht="15.75" customHeight="1" x14ac:dyDescent="0.2">
      <c r="E667" s="113"/>
      <c r="K667" s="113"/>
    </row>
    <row r="668" spans="5:11" ht="15.75" customHeight="1" x14ac:dyDescent="0.2">
      <c r="E668" s="113"/>
      <c r="K668" s="113"/>
    </row>
    <row r="669" spans="5:11" ht="15.75" customHeight="1" x14ac:dyDescent="0.2">
      <c r="E669" s="113"/>
      <c r="K669" s="113"/>
    </row>
    <row r="670" spans="5:11" ht="15.75" customHeight="1" x14ac:dyDescent="0.2">
      <c r="E670" s="113"/>
      <c r="K670" s="113"/>
    </row>
    <row r="671" spans="5:11" ht="15.75" customHeight="1" x14ac:dyDescent="0.2">
      <c r="E671" s="113"/>
      <c r="K671" s="113"/>
    </row>
    <row r="672" spans="5:11" ht="15.75" customHeight="1" x14ac:dyDescent="0.2">
      <c r="E672" s="113"/>
      <c r="K672" s="113"/>
    </row>
    <row r="673" spans="5:11" ht="15.75" customHeight="1" x14ac:dyDescent="0.2">
      <c r="E673" s="113"/>
      <c r="K673" s="113"/>
    </row>
    <row r="674" spans="5:11" ht="15.75" customHeight="1" x14ac:dyDescent="0.2">
      <c r="E674" s="113"/>
      <c r="K674" s="113"/>
    </row>
    <row r="675" spans="5:11" ht="15.75" customHeight="1" x14ac:dyDescent="0.2">
      <c r="E675" s="113"/>
      <c r="K675" s="113"/>
    </row>
    <row r="676" spans="5:11" ht="15.75" customHeight="1" x14ac:dyDescent="0.2">
      <c r="E676" s="113"/>
      <c r="K676" s="113"/>
    </row>
    <row r="677" spans="5:11" ht="15.75" customHeight="1" x14ac:dyDescent="0.2">
      <c r="E677" s="113"/>
      <c r="K677" s="113"/>
    </row>
    <row r="678" spans="5:11" ht="15.75" customHeight="1" x14ac:dyDescent="0.2">
      <c r="E678" s="113"/>
      <c r="K678" s="113"/>
    </row>
    <row r="679" spans="5:11" ht="15.75" customHeight="1" x14ac:dyDescent="0.2">
      <c r="E679" s="113"/>
      <c r="K679" s="113"/>
    </row>
    <row r="680" spans="5:11" ht="15.75" customHeight="1" x14ac:dyDescent="0.2">
      <c r="E680" s="113"/>
      <c r="K680" s="113"/>
    </row>
    <row r="681" spans="5:11" ht="15.75" customHeight="1" x14ac:dyDescent="0.2">
      <c r="E681" s="113"/>
      <c r="K681" s="113"/>
    </row>
    <row r="682" spans="5:11" ht="15.75" customHeight="1" x14ac:dyDescent="0.2">
      <c r="E682" s="113"/>
      <c r="K682" s="113"/>
    </row>
    <row r="683" spans="5:11" ht="15.75" customHeight="1" x14ac:dyDescent="0.2">
      <c r="E683" s="113"/>
      <c r="K683" s="113"/>
    </row>
    <row r="684" spans="5:11" ht="15.75" customHeight="1" x14ac:dyDescent="0.2">
      <c r="E684" s="113"/>
      <c r="K684" s="113"/>
    </row>
    <row r="685" spans="5:11" ht="15.75" customHeight="1" x14ac:dyDescent="0.2">
      <c r="E685" s="113"/>
      <c r="K685" s="113"/>
    </row>
    <row r="686" spans="5:11" ht="15.75" customHeight="1" x14ac:dyDescent="0.2">
      <c r="E686" s="113"/>
      <c r="K686" s="113"/>
    </row>
    <row r="687" spans="5:11" ht="15.75" customHeight="1" x14ac:dyDescent="0.2">
      <c r="E687" s="113"/>
      <c r="K687" s="113"/>
    </row>
    <row r="688" spans="5:11" ht="15.75" customHeight="1" x14ac:dyDescent="0.2">
      <c r="E688" s="113"/>
      <c r="K688" s="113"/>
    </row>
    <row r="689" spans="5:11" ht="15.75" customHeight="1" x14ac:dyDescent="0.2">
      <c r="E689" s="113"/>
      <c r="K689" s="113"/>
    </row>
    <row r="690" spans="5:11" ht="15.75" customHeight="1" x14ac:dyDescent="0.2">
      <c r="E690" s="113"/>
      <c r="K690" s="113"/>
    </row>
    <row r="691" spans="5:11" ht="15.75" customHeight="1" x14ac:dyDescent="0.2">
      <c r="E691" s="113"/>
      <c r="K691" s="113"/>
    </row>
    <row r="692" spans="5:11" ht="15.75" customHeight="1" x14ac:dyDescent="0.2">
      <c r="E692" s="113"/>
      <c r="K692" s="113"/>
    </row>
    <row r="693" spans="5:11" ht="15.75" customHeight="1" x14ac:dyDescent="0.2">
      <c r="E693" s="113"/>
      <c r="K693" s="113"/>
    </row>
    <row r="694" spans="5:11" ht="15.75" customHeight="1" x14ac:dyDescent="0.2">
      <c r="E694" s="113"/>
      <c r="K694" s="113"/>
    </row>
    <row r="695" spans="5:11" ht="15.75" customHeight="1" x14ac:dyDescent="0.2">
      <c r="E695" s="113"/>
      <c r="K695" s="113"/>
    </row>
    <row r="696" spans="5:11" ht="15.75" customHeight="1" x14ac:dyDescent="0.2">
      <c r="E696" s="113"/>
      <c r="K696" s="113"/>
    </row>
    <row r="697" spans="5:11" ht="15.75" customHeight="1" x14ac:dyDescent="0.2">
      <c r="E697" s="113"/>
      <c r="K697" s="113"/>
    </row>
    <row r="698" spans="5:11" ht="15.75" customHeight="1" x14ac:dyDescent="0.2">
      <c r="E698" s="113"/>
      <c r="K698" s="113"/>
    </row>
    <row r="699" spans="5:11" ht="15.75" customHeight="1" x14ac:dyDescent="0.2">
      <c r="E699" s="113"/>
      <c r="K699" s="113"/>
    </row>
    <row r="700" spans="5:11" ht="15.75" customHeight="1" x14ac:dyDescent="0.2">
      <c r="E700" s="113"/>
      <c r="K700" s="113"/>
    </row>
    <row r="701" spans="5:11" ht="15.75" customHeight="1" x14ac:dyDescent="0.2">
      <c r="E701" s="113"/>
      <c r="K701" s="113"/>
    </row>
    <row r="702" spans="5:11" ht="15.75" customHeight="1" x14ac:dyDescent="0.2">
      <c r="E702" s="113"/>
      <c r="K702" s="113"/>
    </row>
    <row r="703" spans="5:11" ht="15.75" customHeight="1" x14ac:dyDescent="0.2">
      <c r="E703" s="113"/>
      <c r="K703" s="113"/>
    </row>
    <row r="704" spans="5:11" ht="15.75" customHeight="1" x14ac:dyDescent="0.2">
      <c r="E704" s="113"/>
      <c r="K704" s="113"/>
    </row>
    <row r="705" spans="5:11" ht="15.75" customHeight="1" x14ac:dyDescent="0.2">
      <c r="E705" s="113"/>
      <c r="K705" s="113"/>
    </row>
    <row r="706" spans="5:11" ht="15.75" customHeight="1" x14ac:dyDescent="0.2">
      <c r="E706" s="113"/>
      <c r="K706" s="113"/>
    </row>
    <row r="707" spans="5:11" ht="15.75" customHeight="1" x14ac:dyDescent="0.2">
      <c r="E707" s="113"/>
      <c r="K707" s="113"/>
    </row>
    <row r="708" spans="5:11" ht="15.75" customHeight="1" x14ac:dyDescent="0.2">
      <c r="E708" s="113"/>
      <c r="K708" s="113"/>
    </row>
    <row r="709" spans="5:11" ht="15.75" customHeight="1" x14ac:dyDescent="0.2">
      <c r="E709" s="113"/>
      <c r="K709" s="113"/>
    </row>
    <row r="710" spans="5:11" ht="15.75" customHeight="1" x14ac:dyDescent="0.2">
      <c r="E710" s="113"/>
      <c r="K710" s="113"/>
    </row>
    <row r="711" spans="5:11" ht="15.75" customHeight="1" x14ac:dyDescent="0.2">
      <c r="E711" s="113"/>
      <c r="K711" s="113"/>
    </row>
    <row r="712" spans="5:11" ht="15.75" customHeight="1" x14ac:dyDescent="0.2">
      <c r="E712" s="113"/>
      <c r="K712" s="113"/>
    </row>
    <row r="713" spans="5:11" ht="15.75" customHeight="1" x14ac:dyDescent="0.2">
      <c r="E713" s="113"/>
      <c r="K713" s="113"/>
    </row>
    <row r="714" spans="5:11" ht="15.75" customHeight="1" x14ac:dyDescent="0.2">
      <c r="E714" s="113"/>
      <c r="K714" s="113"/>
    </row>
    <row r="715" spans="5:11" ht="15.75" customHeight="1" x14ac:dyDescent="0.2">
      <c r="E715" s="113"/>
      <c r="K715" s="113"/>
    </row>
    <row r="716" spans="5:11" ht="15.75" customHeight="1" x14ac:dyDescent="0.2">
      <c r="E716" s="113"/>
      <c r="K716" s="113"/>
    </row>
    <row r="717" spans="5:11" ht="15.75" customHeight="1" x14ac:dyDescent="0.2">
      <c r="E717" s="113"/>
      <c r="K717" s="113"/>
    </row>
    <row r="718" spans="5:11" ht="15.75" customHeight="1" x14ac:dyDescent="0.2">
      <c r="E718" s="113"/>
      <c r="K718" s="113"/>
    </row>
    <row r="719" spans="5:11" ht="15.75" customHeight="1" x14ac:dyDescent="0.2">
      <c r="E719" s="113"/>
      <c r="K719" s="113"/>
    </row>
    <row r="720" spans="5:11" ht="15.75" customHeight="1" x14ac:dyDescent="0.2">
      <c r="E720" s="113"/>
      <c r="K720" s="113"/>
    </row>
    <row r="721" spans="5:11" ht="15.75" customHeight="1" x14ac:dyDescent="0.2">
      <c r="E721" s="113"/>
      <c r="K721" s="113"/>
    </row>
    <row r="722" spans="5:11" ht="15.75" customHeight="1" x14ac:dyDescent="0.2">
      <c r="E722" s="113"/>
      <c r="K722" s="113"/>
    </row>
    <row r="723" spans="5:11" ht="15.75" customHeight="1" x14ac:dyDescent="0.2">
      <c r="E723" s="113"/>
      <c r="K723" s="113"/>
    </row>
    <row r="724" spans="5:11" ht="15.75" customHeight="1" x14ac:dyDescent="0.2">
      <c r="E724" s="113"/>
      <c r="K724" s="113"/>
    </row>
    <row r="725" spans="5:11" ht="15.75" customHeight="1" x14ac:dyDescent="0.2">
      <c r="E725" s="113"/>
      <c r="K725" s="113"/>
    </row>
    <row r="726" spans="5:11" ht="15.75" customHeight="1" x14ac:dyDescent="0.2">
      <c r="E726" s="113"/>
      <c r="K726" s="113"/>
    </row>
    <row r="727" spans="5:11" ht="15.75" customHeight="1" x14ac:dyDescent="0.2">
      <c r="E727" s="113"/>
      <c r="K727" s="113"/>
    </row>
    <row r="728" spans="5:11" ht="15.75" customHeight="1" x14ac:dyDescent="0.2">
      <c r="E728" s="113"/>
      <c r="K728" s="113"/>
    </row>
    <row r="729" spans="5:11" ht="15.75" customHeight="1" x14ac:dyDescent="0.2">
      <c r="E729" s="113"/>
      <c r="K729" s="113"/>
    </row>
    <row r="730" spans="5:11" ht="15.75" customHeight="1" x14ac:dyDescent="0.2">
      <c r="E730" s="113"/>
      <c r="K730" s="113"/>
    </row>
    <row r="731" spans="5:11" ht="15.75" customHeight="1" x14ac:dyDescent="0.2">
      <c r="E731" s="113"/>
      <c r="K731" s="113"/>
    </row>
    <row r="732" spans="5:11" ht="15.75" customHeight="1" x14ac:dyDescent="0.2">
      <c r="E732" s="113"/>
      <c r="K732" s="113"/>
    </row>
    <row r="733" spans="5:11" ht="15.75" customHeight="1" x14ac:dyDescent="0.2">
      <c r="E733" s="113"/>
      <c r="K733" s="113"/>
    </row>
    <row r="734" spans="5:11" ht="15.75" customHeight="1" x14ac:dyDescent="0.2">
      <c r="E734" s="113"/>
      <c r="K734" s="113"/>
    </row>
    <row r="735" spans="5:11" ht="15.75" customHeight="1" x14ac:dyDescent="0.2">
      <c r="E735" s="113"/>
      <c r="K735" s="113"/>
    </row>
    <row r="736" spans="5:11" ht="15.75" customHeight="1" x14ac:dyDescent="0.2">
      <c r="E736" s="113"/>
      <c r="K736" s="113"/>
    </row>
    <row r="737" spans="5:11" ht="15.75" customHeight="1" x14ac:dyDescent="0.2">
      <c r="E737" s="113"/>
      <c r="K737" s="113"/>
    </row>
    <row r="738" spans="5:11" ht="15.75" customHeight="1" x14ac:dyDescent="0.2">
      <c r="E738" s="113"/>
      <c r="K738" s="113"/>
    </row>
    <row r="739" spans="5:11" ht="15.75" customHeight="1" x14ac:dyDescent="0.2">
      <c r="E739" s="113"/>
      <c r="K739" s="113"/>
    </row>
    <row r="740" spans="5:11" ht="15.75" customHeight="1" x14ac:dyDescent="0.2">
      <c r="E740" s="113"/>
      <c r="K740" s="113"/>
    </row>
    <row r="741" spans="5:11" ht="15.75" customHeight="1" x14ac:dyDescent="0.2">
      <c r="E741" s="113"/>
      <c r="K741" s="113"/>
    </row>
    <row r="742" spans="5:11" ht="15.75" customHeight="1" x14ac:dyDescent="0.2">
      <c r="E742" s="113"/>
      <c r="K742" s="113"/>
    </row>
    <row r="743" spans="5:11" ht="15.75" customHeight="1" x14ac:dyDescent="0.2">
      <c r="E743" s="113"/>
      <c r="K743" s="113"/>
    </row>
    <row r="744" spans="5:11" ht="15.75" customHeight="1" x14ac:dyDescent="0.2">
      <c r="E744" s="113"/>
      <c r="K744" s="113"/>
    </row>
    <row r="745" spans="5:11" ht="15.75" customHeight="1" x14ac:dyDescent="0.2">
      <c r="E745" s="113"/>
      <c r="K745" s="113"/>
    </row>
    <row r="746" spans="5:11" ht="15.75" customHeight="1" x14ac:dyDescent="0.2">
      <c r="E746" s="113"/>
      <c r="K746" s="113"/>
    </row>
    <row r="747" spans="5:11" ht="15.75" customHeight="1" x14ac:dyDescent="0.2">
      <c r="E747" s="113"/>
      <c r="K747" s="113"/>
    </row>
    <row r="748" spans="5:11" ht="15.75" customHeight="1" x14ac:dyDescent="0.2">
      <c r="E748" s="113"/>
      <c r="K748" s="113"/>
    </row>
    <row r="749" spans="5:11" ht="15.75" customHeight="1" x14ac:dyDescent="0.2">
      <c r="E749" s="113"/>
      <c r="K749" s="113"/>
    </row>
    <row r="750" spans="5:11" ht="15.75" customHeight="1" x14ac:dyDescent="0.2">
      <c r="E750" s="113"/>
      <c r="K750" s="113"/>
    </row>
    <row r="751" spans="5:11" ht="15.75" customHeight="1" x14ac:dyDescent="0.2">
      <c r="E751" s="113"/>
      <c r="K751" s="113"/>
    </row>
    <row r="752" spans="5:11" ht="15.75" customHeight="1" x14ac:dyDescent="0.2">
      <c r="E752" s="113"/>
      <c r="K752" s="113"/>
    </row>
    <row r="753" spans="5:11" ht="15.75" customHeight="1" x14ac:dyDescent="0.2">
      <c r="E753" s="113"/>
      <c r="K753" s="113"/>
    </row>
    <row r="754" spans="5:11" ht="15.75" customHeight="1" x14ac:dyDescent="0.2">
      <c r="E754" s="113"/>
      <c r="K754" s="113"/>
    </row>
    <row r="755" spans="5:11" ht="15.75" customHeight="1" x14ac:dyDescent="0.2">
      <c r="E755" s="113"/>
      <c r="K755" s="113"/>
    </row>
    <row r="756" spans="5:11" ht="15.75" customHeight="1" x14ac:dyDescent="0.2">
      <c r="E756" s="113"/>
      <c r="K756" s="113"/>
    </row>
    <row r="757" spans="5:11" ht="15.75" customHeight="1" x14ac:dyDescent="0.2">
      <c r="E757" s="113"/>
      <c r="K757" s="113"/>
    </row>
    <row r="758" spans="5:11" ht="15.75" customHeight="1" x14ac:dyDescent="0.2">
      <c r="E758" s="113"/>
      <c r="K758" s="113"/>
    </row>
    <row r="759" spans="5:11" ht="15.75" customHeight="1" x14ac:dyDescent="0.2">
      <c r="E759" s="113"/>
      <c r="K759" s="113"/>
    </row>
    <row r="760" spans="5:11" ht="15.75" customHeight="1" x14ac:dyDescent="0.2">
      <c r="E760" s="113"/>
      <c r="K760" s="113"/>
    </row>
    <row r="761" spans="5:11" ht="15.75" customHeight="1" x14ac:dyDescent="0.2">
      <c r="E761" s="113"/>
      <c r="K761" s="113"/>
    </row>
    <row r="762" spans="5:11" ht="15.75" customHeight="1" x14ac:dyDescent="0.2">
      <c r="E762" s="113"/>
      <c r="K762" s="113"/>
    </row>
    <row r="763" spans="5:11" ht="15.75" customHeight="1" x14ac:dyDescent="0.2">
      <c r="E763" s="113"/>
      <c r="K763" s="113"/>
    </row>
    <row r="764" spans="5:11" ht="15.75" customHeight="1" x14ac:dyDescent="0.2">
      <c r="E764" s="113"/>
      <c r="K764" s="113"/>
    </row>
    <row r="765" spans="5:11" ht="15.75" customHeight="1" x14ac:dyDescent="0.2">
      <c r="E765" s="113"/>
      <c r="K765" s="113"/>
    </row>
    <row r="766" spans="5:11" ht="15.75" customHeight="1" x14ac:dyDescent="0.2">
      <c r="E766" s="113"/>
      <c r="K766" s="113"/>
    </row>
    <row r="767" spans="5:11" ht="15.75" customHeight="1" x14ac:dyDescent="0.2">
      <c r="E767" s="113"/>
      <c r="K767" s="113"/>
    </row>
    <row r="768" spans="5:11" ht="15.75" customHeight="1" x14ac:dyDescent="0.2">
      <c r="E768" s="113"/>
      <c r="K768" s="113"/>
    </row>
    <row r="769" spans="5:11" ht="15.75" customHeight="1" x14ac:dyDescent="0.2">
      <c r="E769" s="113"/>
      <c r="K769" s="113"/>
    </row>
    <row r="770" spans="5:11" ht="15.75" customHeight="1" x14ac:dyDescent="0.2">
      <c r="E770" s="113"/>
      <c r="K770" s="113"/>
    </row>
    <row r="771" spans="5:11" ht="15.75" customHeight="1" x14ac:dyDescent="0.2">
      <c r="E771" s="113"/>
      <c r="K771" s="113"/>
    </row>
    <row r="772" spans="5:11" ht="15.75" customHeight="1" x14ac:dyDescent="0.2">
      <c r="E772" s="113"/>
      <c r="K772" s="113"/>
    </row>
    <row r="773" spans="5:11" ht="15.75" customHeight="1" x14ac:dyDescent="0.2">
      <c r="E773" s="113"/>
      <c r="K773" s="113"/>
    </row>
    <row r="774" spans="5:11" ht="15.75" customHeight="1" x14ac:dyDescent="0.2">
      <c r="E774" s="113"/>
      <c r="K774" s="113"/>
    </row>
    <row r="775" spans="5:11" ht="15.75" customHeight="1" x14ac:dyDescent="0.2">
      <c r="E775" s="113"/>
      <c r="K775" s="113"/>
    </row>
    <row r="776" spans="5:11" ht="15.75" customHeight="1" x14ac:dyDescent="0.2">
      <c r="E776" s="113"/>
      <c r="K776" s="113"/>
    </row>
    <row r="777" spans="5:11" ht="15.75" customHeight="1" x14ac:dyDescent="0.2">
      <c r="E777" s="113"/>
      <c r="K777" s="113"/>
    </row>
    <row r="778" spans="5:11" ht="15.75" customHeight="1" x14ac:dyDescent="0.2">
      <c r="E778" s="113"/>
      <c r="K778" s="113"/>
    </row>
    <row r="779" spans="5:11" ht="15.75" customHeight="1" x14ac:dyDescent="0.2">
      <c r="E779" s="113"/>
      <c r="K779" s="113"/>
    </row>
    <row r="780" spans="5:11" ht="15.75" customHeight="1" x14ac:dyDescent="0.2">
      <c r="E780" s="113"/>
      <c r="K780" s="113"/>
    </row>
    <row r="781" spans="5:11" ht="15.75" customHeight="1" x14ac:dyDescent="0.2">
      <c r="E781" s="113"/>
      <c r="K781" s="113"/>
    </row>
    <row r="782" spans="5:11" ht="15.75" customHeight="1" x14ac:dyDescent="0.2">
      <c r="E782" s="113"/>
      <c r="K782" s="113"/>
    </row>
    <row r="783" spans="5:11" ht="15.75" customHeight="1" x14ac:dyDescent="0.2">
      <c r="E783" s="113"/>
      <c r="K783" s="113"/>
    </row>
    <row r="784" spans="5:11" ht="15.75" customHeight="1" x14ac:dyDescent="0.2">
      <c r="E784" s="113"/>
      <c r="K784" s="113"/>
    </row>
    <row r="785" spans="5:11" ht="15.75" customHeight="1" x14ac:dyDescent="0.2">
      <c r="E785" s="113"/>
      <c r="K785" s="113"/>
    </row>
    <row r="786" spans="5:11" ht="15.75" customHeight="1" x14ac:dyDescent="0.2">
      <c r="E786" s="113"/>
      <c r="K786" s="113"/>
    </row>
    <row r="787" spans="5:11" ht="15.75" customHeight="1" x14ac:dyDescent="0.2">
      <c r="E787" s="113"/>
      <c r="K787" s="113"/>
    </row>
    <row r="788" spans="5:11" ht="15.75" customHeight="1" x14ac:dyDescent="0.2">
      <c r="E788" s="113"/>
      <c r="K788" s="113"/>
    </row>
    <row r="789" spans="5:11" ht="15.75" customHeight="1" x14ac:dyDescent="0.2">
      <c r="E789" s="113"/>
      <c r="K789" s="113"/>
    </row>
    <row r="790" spans="5:11" ht="15.75" customHeight="1" x14ac:dyDescent="0.2">
      <c r="E790" s="113"/>
      <c r="K790" s="113"/>
    </row>
    <row r="791" spans="5:11" ht="15.75" customHeight="1" x14ac:dyDescent="0.2">
      <c r="E791" s="113"/>
      <c r="K791" s="113"/>
    </row>
    <row r="792" spans="5:11" ht="15.75" customHeight="1" x14ac:dyDescent="0.2">
      <c r="E792" s="113"/>
      <c r="K792" s="113"/>
    </row>
    <row r="793" spans="5:11" ht="15.75" customHeight="1" x14ac:dyDescent="0.2">
      <c r="E793" s="113"/>
      <c r="K793" s="113"/>
    </row>
    <row r="794" spans="5:11" ht="15.75" customHeight="1" x14ac:dyDescent="0.2">
      <c r="E794" s="113"/>
      <c r="K794" s="113"/>
    </row>
    <row r="795" spans="5:11" ht="15.75" customHeight="1" x14ac:dyDescent="0.2">
      <c r="E795" s="113"/>
      <c r="K795" s="113"/>
    </row>
    <row r="796" spans="5:11" ht="15.75" customHeight="1" x14ac:dyDescent="0.2">
      <c r="E796" s="113"/>
      <c r="K796" s="113"/>
    </row>
    <row r="797" spans="5:11" ht="15.75" customHeight="1" x14ac:dyDescent="0.2">
      <c r="E797" s="113"/>
      <c r="K797" s="113"/>
    </row>
    <row r="798" spans="5:11" ht="15.75" customHeight="1" x14ac:dyDescent="0.2">
      <c r="E798" s="113"/>
      <c r="K798" s="113"/>
    </row>
    <row r="799" spans="5:11" ht="15.75" customHeight="1" x14ac:dyDescent="0.2">
      <c r="E799" s="113"/>
      <c r="K799" s="113"/>
    </row>
    <row r="800" spans="5:11" ht="15.75" customHeight="1" x14ac:dyDescent="0.2">
      <c r="E800" s="113"/>
      <c r="K800" s="113"/>
    </row>
    <row r="801" spans="5:11" ht="15.75" customHeight="1" x14ac:dyDescent="0.2">
      <c r="E801" s="113"/>
      <c r="K801" s="113"/>
    </row>
    <row r="802" spans="5:11" ht="15.75" customHeight="1" x14ac:dyDescent="0.2">
      <c r="E802" s="113"/>
      <c r="K802" s="113"/>
    </row>
    <row r="803" spans="5:11" ht="15.75" customHeight="1" x14ac:dyDescent="0.2">
      <c r="E803" s="113"/>
      <c r="K803" s="113"/>
    </row>
    <row r="804" spans="5:11" ht="15.75" customHeight="1" x14ac:dyDescent="0.2">
      <c r="E804" s="113"/>
      <c r="K804" s="113"/>
    </row>
    <row r="805" spans="5:11" ht="15.75" customHeight="1" x14ac:dyDescent="0.2">
      <c r="E805" s="113"/>
      <c r="K805" s="113"/>
    </row>
    <row r="806" spans="5:11" ht="15.75" customHeight="1" x14ac:dyDescent="0.2">
      <c r="E806" s="113"/>
      <c r="K806" s="113"/>
    </row>
    <row r="807" spans="5:11" ht="15.75" customHeight="1" x14ac:dyDescent="0.2">
      <c r="E807" s="113"/>
      <c r="K807" s="113"/>
    </row>
    <row r="808" spans="5:11" ht="15.75" customHeight="1" x14ac:dyDescent="0.2">
      <c r="E808" s="113"/>
      <c r="K808" s="113"/>
    </row>
    <row r="809" spans="5:11" ht="15.75" customHeight="1" x14ac:dyDescent="0.2">
      <c r="E809" s="113"/>
      <c r="K809" s="113"/>
    </row>
    <row r="810" spans="5:11" ht="15.75" customHeight="1" x14ac:dyDescent="0.2">
      <c r="E810" s="113"/>
      <c r="K810" s="113"/>
    </row>
    <row r="811" spans="5:11" ht="15.75" customHeight="1" x14ac:dyDescent="0.2">
      <c r="E811" s="113"/>
      <c r="K811" s="113"/>
    </row>
    <row r="812" spans="5:11" ht="15.75" customHeight="1" x14ac:dyDescent="0.2">
      <c r="E812" s="113"/>
      <c r="K812" s="113"/>
    </row>
    <row r="813" spans="5:11" ht="15.75" customHeight="1" x14ac:dyDescent="0.2">
      <c r="E813" s="113"/>
      <c r="K813" s="113"/>
    </row>
    <row r="814" spans="5:11" ht="15.75" customHeight="1" x14ac:dyDescent="0.2">
      <c r="E814" s="113"/>
      <c r="K814" s="113"/>
    </row>
    <row r="815" spans="5:11" ht="15.75" customHeight="1" x14ac:dyDescent="0.2">
      <c r="E815" s="113"/>
      <c r="K815" s="113"/>
    </row>
    <row r="816" spans="5:11" ht="15.75" customHeight="1" x14ac:dyDescent="0.2">
      <c r="E816" s="113"/>
      <c r="K816" s="113"/>
    </row>
    <row r="817" spans="5:11" ht="15.75" customHeight="1" x14ac:dyDescent="0.2">
      <c r="E817" s="113"/>
      <c r="K817" s="113"/>
    </row>
    <row r="818" spans="5:11" ht="15.75" customHeight="1" x14ac:dyDescent="0.2">
      <c r="E818" s="113"/>
      <c r="K818" s="113"/>
    </row>
    <row r="819" spans="5:11" ht="15.75" customHeight="1" x14ac:dyDescent="0.2">
      <c r="E819" s="113"/>
      <c r="K819" s="113"/>
    </row>
    <row r="820" spans="5:11" ht="15.75" customHeight="1" x14ac:dyDescent="0.2">
      <c r="E820" s="113"/>
      <c r="K820" s="113"/>
    </row>
    <row r="821" spans="5:11" ht="15.75" customHeight="1" x14ac:dyDescent="0.2">
      <c r="E821" s="113"/>
      <c r="K821" s="113"/>
    </row>
    <row r="822" spans="5:11" ht="15.75" customHeight="1" x14ac:dyDescent="0.2">
      <c r="E822" s="113"/>
      <c r="K822" s="113"/>
    </row>
    <row r="823" spans="5:11" ht="15.75" customHeight="1" x14ac:dyDescent="0.2">
      <c r="E823" s="113"/>
      <c r="K823" s="113"/>
    </row>
    <row r="824" spans="5:11" ht="15.75" customHeight="1" x14ac:dyDescent="0.2">
      <c r="E824" s="113"/>
      <c r="K824" s="113"/>
    </row>
    <row r="825" spans="5:11" ht="15.75" customHeight="1" x14ac:dyDescent="0.2">
      <c r="E825" s="113"/>
      <c r="K825" s="113"/>
    </row>
    <row r="826" spans="5:11" ht="15.75" customHeight="1" x14ac:dyDescent="0.2">
      <c r="E826" s="113"/>
      <c r="K826" s="113"/>
    </row>
    <row r="827" spans="5:11" ht="15.75" customHeight="1" x14ac:dyDescent="0.2">
      <c r="E827" s="113"/>
      <c r="K827" s="113"/>
    </row>
    <row r="828" spans="5:11" ht="15.75" customHeight="1" x14ac:dyDescent="0.2">
      <c r="E828" s="113"/>
      <c r="K828" s="113"/>
    </row>
    <row r="829" spans="5:11" ht="15.75" customHeight="1" x14ac:dyDescent="0.2">
      <c r="E829" s="113"/>
      <c r="K829" s="113"/>
    </row>
    <row r="830" spans="5:11" ht="15.75" customHeight="1" x14ac:dyDescent="0.2">
      <c r="E830" s="113"/>
      <c r="K830" s="113"/>
    </row>
    <row r="831" spans="5:11" ht="15.75" customHeight="1" x14ac:dyDescent="0.2">
      <c r="E831" s="113"/>
      <c r="K831" s="113"/>
    </row>
    <row r="832" spans="5:11" ht="15.75" customHeight="1" x14ac:dyDescent="0.2">
      <c r="E832" s="113"/>
      <c r="K832" s="113"/>
    </row>
    <row r="833" spans="5:11" ht="15.75" customHeight="1" x14ac:dyDescent="0.2">
      <c r="E833" s="113"/>
      <c r="K833" s="113"/>
    </row>
    <row r="834" spans="5:11" ht="15.75" customHeight="1" x14ac:dyDescent="0.2">
      <c r="E834" s="113"/>
      <c r="K834" s="113"/>
    </row>
    <row r="835" spans="5:11" ht="15.75" customHeight="1" x14ac:dyDescent="0.2">
      <c r="E835" s="113"/>
      <c r="K835" s="113"/>
    </row>
    <row r="836" spans="5:11" ht="15.75" customHeight="1" x14ac:dyDescent="0.2">
      <c r="E836" s="113"/>
      <c r="K836" s="113"/>
    </row>
    <row r="837" spans="5:11" ht="15.75" customHeight="1" x14ac:dyDescent="0.2">
      <c r="E837" s="113"/>
      <c r="K837" s="113"/>
    </row>
    <row r="838" spans="5:11" ht="15.75" customHeight="1" x14ac:dyDescent="0.2">
      <c r="E838" s="113"/>
      <c r="K838" s="113"/>
    </row>
    <row r="839" spans="5:11" ht="15.75" customHeight="1" x14ac:dyDescent="0.2">
      <c r="E839" s="113"/>
      <c r="K839" s="113"/>
    </row>
    <row r="840" spans="5:11" ht="15.75" customHeight="1" x14ac:dyDescent="0.2">
      <c r="E840" s="113"/>
      <c r="K840" s="113"/>
    </row>
    <row r="841" spans="5:11" ht="15.75" customHeight="1" x14ac:dyDescent="0.2">
      <c r="E841" s="113"/>
      <c r="K841" s="113"/>
    </row>
    <row r="842" spans="5:11" ht="15.75" customHeight="1" x14ac:dyDescent="0.2">
      <c r="E842" s="113"/>
      <c r="K842" s="113"/>
    </row>
    <row r="843" spans="5:11" ht="15.75" customHeight="1" x14ac:dyDescent="0.2">
      <c r="E843" s="113"/>
      <c r="K843" s="113"/>
    </row>
    <row r="844" spans="5:11" ht="15.75" customHeight="1" x14ac:dyDescent="0.2">
      <c r="E844" s="113"/>
      <c r="K844" s="113"/>
    </row>
    <row r="845" spans="5:11" ht="15.75" customHeight="1" x14ac:dyDescent="0.2">
      <c r="E845" s="113"/>
      <c r="K845" s="113"/>
    </row>
    <row r="846" spans="5:11" ht="15.75" customHeight="1" x14ac:dyDescent="0.2">
      <c r="E846" s="113"/>
      <c r="K846" s="113"/>
    </row>
    <row r="847" spans="5:11" ht="15.75" customHeight="1" x14ac:dyDescent="0.2">
      <c r="E847" s="113"/>
      <c r="K847" s="113"/>
    </row>
    <row r="848" spans="5:11" ht="15.75" customHeight="1" x14ac:dyDescent="0.2">
      <c r="E848" s="113"/>
      <c r="K848" s="113"/>
    </row>
    <row r="849" spans="5:11" ht="15.75" customHeight="1" x14ac:dyDescent="0.2">
      <c r="E849" s="113"/>
      <c r="K849" s="113"/>
    </row>
    <row r="850" spans="5:11" ht="15.75" customHeight="1" x14ac:dyDescent="0.2">
      <c r="E850" s="113"/>
      <c r="K850" s="113"/>
    </row>
    <row r="851" spans="5:11" ht="15.75" customHeight="1" x14ac:dyDescent="0.2">
      <c r="E851" s="113"/>
      <c r="K851" s="113"/>
    </row>
    <row r="852" spans="5:11" ht="15.75" customHeight="1" x14ac:dyDescent="0.2">
      <c r="E852" s="113"/>
      <c r="K852" s="113"/>
    </row>
    <row r="853" spans="5:11" ht="15.75" customHeight="1" x14ac:dyDescent="0.2">
      <c r="E853" s="113"/>
      <c r="K853" s="113"/>
    </row>
    <row r="854" spans="5:11" ht="15.75" customHeight="1" x14ac:dyDescent="0.2">
      <c r="E854" s="113"/>
      <c r="K854" s="113"/>
    </row>
    <row r="855" spans="5:11" ht="15.75" customHeight="1" x14ac:dyDescent="0.2">
      <c r="E855" s="113"/>
      <c r="K855" s="113"/>
    </row>
    <row r="856" spans="5:11" ht="15.75" customHeight="1" x14ac:dyDescent="0.2">
      <c r="E856" s="113"/>
      <c r="K856" s="113"/>
    </row>
    <row r="857" spans="5:11" ht="15.75" customHeight="1" x14ac:dyDescent="0.2">
      <c r="E857" s="113"/>
      <c r="K857" s="113"/>
    </row>
    <row r="858" spans="5:11" ht="15.75" customHeight="1" x14ac:dyDescent="0.2">
      <c r="E858" s="113"/>
      <c r="K858" s="113"/>
    </row>
    <row r="859" spans="5:11" ht="15.75" customHeight="1" x14ac:dyDescent="0.2">
      <c r="E859" s="113"/>
      <c r="K859" s="113"/>
    </row>
    <row r="860" spans="5:11" ht="15.75" customHeight="1" x14ac:dyDescent="0.2">
      <c r="E860" s="113"/>
      <c r="K860" s="113"/>
    </row>
    <row r="861" spans="5:11" ht="15.75" customHeight="1" x14ac:dyDescent="0.2">
      <c r="E861" s="113"/>
      <c r="K861" s="113"/>
    </row>
    <row r="862" spans="5:11" ht="15.75" customHeight="1" x14ac:dyDescent="0.2">
      <c r="E862" s="113"/>
      <c r="K862" s="113"/>
    </row>
    <row r="863" spans="5:11" ht="15.75" customHeight="1" x14ac:dyDescent="0.2">
      <c r="E863" s="113"/>
      <c r="K863" s="113"/>
    </row>
    <row r="864" spans="5:11" ht="15.75" customHeight="1" x14ac:dyDescent="0.2">
      <c r="E864" s="113"/>
      <c r="K864" s="113"/>
    </row>
    <row r="865" spans="5:11" ht="15.75" customHeight="1" x14ac:dyDescent="0.2">
      <c r="E865" s="113"/>
      <c r="K865" s="113"/>
    </row>
    <row r="866" spans="5:11" ht="15.75" customHeight="1" x14ac:dyDescent="0.2">
      <c r="E866" s="113"/>
      <c r="K866" s="113"/>
    </row>
    <row r="867" spans="5:11" ht="15.75" customHeight="1" x14ac:dyDescent="0.2">
      <c r="E867" s="113"/>
      <c r="K867" s="113"/>
    </row>
    <row r="868" spans="5:11" ht="15.75" customHeight="1" x14ac:dyDescent="0.2">
      <c r="E868" s="113"/>
      <c r="K868" s="113"/>
    </row>
    <row r="869" spans="5:11" ht="15.75" customHeight="1" x14ac:dyDescent="0.2">
      <c r="E869" s="113"/>
      <c r="K869" s="113"/>
    </row>
    <row r="870" spans="5:11" ht="15.75" customHeight="1" x14ac:dyDescent="0.2">
      <c r="E870" s="113"/>
      <c r="K870" s="113"/>
    </row>
    <row r="871" spans="5:11" ht="15.75" customHeight="1" x14ac:dyDescent="0.2">
      <c r="E871" s="113"/>
      <c r="K871" s="113"/>
    </row>
    <row r="872" spans="5:11" ht="15.75" customHeight="1" x14ac:dyDescent="0.2">
      <c r="E872" s="113"/>
      <c r="K872" s="113"/>
    </row>
    <row r="873" spans="5:11" ht="15.75" customHeight="1" x14ac:dyDescent="0.2">
      <c r="E873" s="113"/>
      <c r="K873" s="113"/>
    </row>
    <row r="874" spans="5:11" ht="15.75" customHeight="1" x14ac:dyDescent="0.2">
      <c r="E874" s="113"/>
      <c r="K874" s="113"/>
    </row>
    <row r="875" spans="5:11" ht="15.75" customHeight="1" x14ac:dyDescent="0.2">
      <c r="E875" s="113"/>
      <c r="K875" s="113"/>
    </row>
    <row r="876" spans="5:11" ht="15.75" customHeight="1" x14ac:dyDescent="0.2">
      <c r="E876" s="113"/>
      <c r="K876" s="113"/>
    </row>
    <row r="877" spans="5:11" ht="15.75" customHeight="1" x14ac:dyDescent="0.2">
      <c r="E877" s="113"/>
      <c r="K877" s="113"/>
    </row>
    <row r="878" spans="5:11" ht="15.75" customHeight="1" x14ac:dyDescent="0.2">
      <c r="E878" s="113"/>
      <c r="K878" s="113"/>
    </row>
    <row r="879" spans="5:11" ht="15.75" customHeight="1" x14ac:dyDescent="0.2">
      <c r="E879" s="113"/>
      <c r="K879" s="113"/>
    </row>
    <row r="880" spans="5:11" ht="15.75" customHeight="1" x14ac:dyDescent="0.2">
      <c r="E880" s="113"/>
      <c r="K880" s="113"/>
    </row>
    <row r="881" spans="5:11" ht="15.75" customHeight="1" x14ac:dyDescent="0.2">
      <c r="E881" s="113"/>
      <c r="K881" s="113"/>
    </row>
    <row r="882" spans="5:11" ht="15.75" customHeight="1" x14ac:dyDescent="0.2">
      <c r="E882" s="113"/>
      <c r="K882" s="113"/>
    </row>
    <row r="883" spans="5:11" ht="15.75" customHeight="1" x14ac:dyDescent="0.2">
      <c r="E883" s="113"/>
      <c r="K883" s="113"/>
    </row>
    <row r="884" spans="5:11" ht="15.75" customHeight="1" x14ac:dyDescent="0.2">
      <c r="E884" s="113"/>
      <c r="K884" s="113"/>
    </row>
    <row r="885" spans="5:11" ht="15.75" customHeight="1" x14ac:dyDescent="0.2">
      <c r="E885" s="113"/>
      <c r="K885" s="113"/>
    </row>
    <row r="886" spans="5:11" ht="15.75" customHeight="1" x14ac:dyDescent="0.2">
      <c r="E886" s="113"/>
      <c r="K886" s="113"/>
    </row>
    <row r="887" spans="5:11" ht="15.75" customHeight="1" x14ac:dyDescent="0.2">
      <c r="E887" s="113"/>
      <c r="K887" s="113"/>
    </row>
    <row r="888" spans="5:11" ht="15.75" customHeight="1" x14ac:dyDescent="0.2">
      <c r="E888" s="113"/>
      <c r="K888" s="113"/>
    </row>
    <row r="889" spans="5:11" ht="15.75" customHeight="1" x14ac:dyDescent="0.2">
      <c r="E889" s="113"/>
      <c r="K889" s="113"/>
    </row>
    <row r="890" spans="5:11" ht="15.75" customHeight="1" x14ac:dyDescent="0.2">
      <c r="E890" s="113"/>
      <c r="K890" s="113"/>
    </row>
    <row r="891" spans="5:11" ht="15.75" customHeight="1" x14ac:dyDescent="0.2">
      <c r="E891" s="113"/>
      <c r="K891" s="113"/>
    </row>
    <row r="892" spans="5:11" ht="15.75" customHeight="1" x14ac:dyDescent="0.2">
      <c r="E892" s="113"/>
      <c r="K892" s="113"/>
    </row>
    <row r="893" spans="5:11" ht="15.75" customHeight="1" x14ac:dyDescent="0.2">
      <c r="E893" s="113"/>
      <c r="K893" s="113"/>
    </row>
    <row r="894" spans="5:11" ht="15.75" customHeight="1" x14ac:dyDescent="0.2">
      <c r="E894" s="113"/>
      <c r="K894" s="113"/>
    </row>
    <row r="895" spans="5:11" ht="15.75" customHeight="1" x14ac:dyDescent="0.2">
      <c r="E895" s="113"/>
      <c r="K895" s="113"/>
    </row>
    <row r="896" spans="5:11" ht="15.75" customHeight="1" x14ac:dyDescent="0.2">
      <c r="E896" s="113"/>
      <c r="K896" s="113"/>
    </row>
    <row r="897" spans="5:11" ht="15.75" customHeight="1" x14ac:dyDescent="0.2">
      <c r="E897" s="113"/>
      <c r="K897" s="113"/>
    </row>
    <row r="898" spans="5:11" ht="15.75" customHeight="1" x14ac:dyDescent="0.2">
      <c r="E898" s="113"/>
      <c r="K898" s="113"/>
    </row>
    <row r="899" spans="5:11" ht="15.75" customHeight="1" x14ac:dyDescent="0.2">
      <c r="E899" s="113"/>
      <c r="K899" s="113"/>
    </row>
    <row r="900" spans="5:11" ht="15.75" customHeight="1" x14ac:dyDescent="0.2">
      <c r="E900" s="113"/>
      <c r="K900" s="113"/>
    </row>
    <row r="901" spans="5:11" ht="15.75" customHeight="1" x14ac:dyDescent="0.2">
      <c r="E901" s="113"/>
      <c r="K901" s="113"/>
    </row>
    <row r="902" spans="5:11" ht="15.75" customHeight="1" x14ac:dyDescent="0.2">
      <c r="E902" s="113"/>
      <c r="K902" s="113"/>
    </row>
    <row r="903" spans="5:11" ht="15.75" customHeight="1" x14ac:dyDescent="0.2">
      <c r="E903" s="113"/>
      <c r="K903" s="113"/>
    </row>
    <row r="904" spans="5:11" ht="15.75" customHeight="1" x14ac:dyDescent="0.2">
      <c r="E904" s="113"/>
      <c r="K904" s="113"/>
    </row>
    <row r="905" spans="5:11" ht="15.75" customHeight="1" x14ac:dyDescent="0.2">
      <c r="E905" s="113"/>
      <c r="K905" s="113"/>
    </row>
    <row r="906" spans="5:11" ht="15.75" customHeight="1" x14ac:dyDescent="0.2">
      <c r="E906" s="113"/>
      <c r="K906" s="113"/>
    </row>
    <row r="907" spans="5:11" ht="15.75" customHeight="1" x14ac:dyDescent="0.2">
      <c r="E907" s="113"/>
      <c r="K907" s="113"/>
    </row>
    <row r="908" spans="5:11" ht="15.75" customHeight="1" x14ac:dyDescent="0.2">
      <c r="E908" s="113"/>
      <c r="K908" s="113"/>
    </row>
    <row r="909" spans="5:11" ht="15.75" customHeight="1" x14ac:dyDescent="0.2">
      <c r="E909" s="113"/>
      <c r="K909" s="113"/>
    </row>
    <row r="910" spans="5:11" ht="15.75" customHeight="1" x14ac:dyDescent="0.2">
      <c r="E910" s="113"/>
      <c r="K910" s="113"/>
    </row>
    <row r="911" spans="5:11" ht="15.75" customHeight="1" x14ac:dyDescent="0.2">
      <c r="E911" s="113"/>
      <c r="K911" s="113"/>
    </row>
    <row r="912" spans="5:11" ht="15.75" customHeight="1" x14ac:dyDescent="0.2">
      <c r="E912" s="113"/>
      <c r="K912" s="113"/>
    </row>
    <row r="913" spans="5:11" ht="15.75" customHeight="1" x14ac:dyDescent="0.2">
      <c r="E913" s="113"/>
      <c r="K913" s="113"/>
    </row>
    <row r="914" spans="5:11" ht="15.75" customHeight="1" x14ac:dyDescent="0.2">
      <c r="E914" s="113"/>
      <c r="K914" s="113"/>
    </row>
    <row r="915" spans="5:11" ht="15.75" customHeight="1" x14ac:dyDescent="0.2">
      <c r="E915" s="113"/>
      <c r="K915" s="113"/>
    </row>
    <row r="916" spans="5:11" ht="15.75" customHeight="1" x14ac:dyDescent="0.2">
      <c r="E916" s="113"/>
      <c r="K916" s="113"/>
    </row>
    <row r="917" spans="5:11" ht="15.75" customHeight="1" x14ac:dyDescent="0.2">
      <c r="E917" s="113"/>
      <c r="K917" s="113"/>
    </row>
    <row r="918" spans="5:11" ht="15.75" customHeight="1" x14ac:dyDescent="0.2">
      <c r="E918" s="113"/>
      <c r="K918" s="113"/>
    </row>
    <row r="919" spans="5:11" ht="15.75" customHeight="1" x14ac:dyDescent="0.2">
      <c r="E919" s="113"/>
      <c r="K919" s="113"/>
    </row>
    <row r="920" spans="5:11" ht="15.75" customHeight="1" x14ac:dyDescent="0.2">
      <c r="E920" s="113"/>
      <c r="K920" s="113"/>
    </row>
    <row r="921" spans="5:11" ht="15.75" customHeight="1" x14ac:dyDescent="0.2">
      <c r="E921" s="113"/>
      <c r="K921" s="113"/>
    </row>
    <row r="922" spans="5:11" ht="15.75" customHeight="1" x14ac:dyDescent="0.2">
      <c r="E922" s="113"/>
      <c r="K922" s="113"/>
    </row>
    <row r="923" spans="5:11" ht="15.75" customHeight="1" x14ac:dyDescent="0.2">
      <c r="E923" s="113"/>
      <c r="K923" s="113"/>
    </row>
    <row r="924" spans="5:11" ht="15.75" customHeight="1" x14ac:dyDescent="0.2">
      <c r="E924" s="113"/>
      <c r="K924" s="113"/>
    </row>
    <row r="925" spans="5:11" ht="15.75" customHeight="1" x14ac:dyDescent="0.2">
      <c r="E925" s="113"/>
      <c r="K925" s="113"/>
    </row>
    <row r="926" spans="5:11" ht="15.75" customHeight="1" x14ac:dyDescent="0.2">
      <c r="E926" s="113"/>
      <c r="K926" s="113"/>
    </row>
    <row r="927" spans="5:11" ht="15.75" customHeight="1" x14ac:dyDescent="0.2">
      <c r="E927" s="113"/>
      <c r="K927" s="113"/>
    </row>
    <row r="928" spans="5:11" ht="15.75" customHeight="1" x14ac:dyDescent="0.2">
      <c r="E928" s="113"/>
      <c r="K928" s="113"/>
    </row>
    <row r="929" spans="5:11" ht="15.75" customHeight="1" x14ac:dyDescent="0.2">
      <c r="E929" s="113"/>
      <c r="K929" s="113"/>
    </row>
    <row r="930" spans="5:11" ht="15.75" customHeight="1" x14ac:dyDescent="0.2">
      <c r="E930" s="113"/>
      <c r="K930" s="113"/>
    </row>
    <row r="931" spans="5:11" ht="15.75" customHeight="1" x14ac:dyDescent="0.2">
      <c r="E931" s="113"/>
      <c r="K931" s="113"/>
    </row>
    <row r="932" spans="5:11" ht="15.75" customHeight="1" x14ac:dyDescent="0.2">
      <c r="E932" s="113"/>
      <c r="K932" s="113"/>
    </row>
    <row r="933" spans="5:11" ht="15.75" customHeight="1" x14ac:dyDescent="0.2">
      <c r="E933" s="113"/>
      <c r="K933" s="113"/>
    </row>
    <row r="934" spans="5:11" ht="15.75" customHeight="1" x14ac:dyDescent="0.2">
      <c r="E934" s="113"/>
      <c r="K934" s="113"/>
    </row>
    <row r="935" spans="5:11" ht="15.75" customHeight="1" x14ac:dyDescent="0.2">
      <c r="E935" s="113"/>
      <c r="K935" s="113"/>
    </row>
    <row r="936" spans="5:11" ht="15.75" customHeight="1" x14ac:dyDescent="0.2">
      <c r="E936" s="113"/>
      <c r="K936" s="113"/>
    </row>
    <row r="937" spans="5:11" ht="15.75" customHeight="1" x14ac:dyDescent="0.2">
      <c r="E937" s="113"/>
      <c r="K937" s="113"/>
    </row>
    <row r="938" spans="5:11" ht="15.75" customHeight="1" x14ac:dyDescent="0.2">
      <c r="E938" s="113"/>
      <c r="K938" s="113"/>
    </row>
    <row r="939" spans="5:11" ht="15.75" customHeight="1" x14ac:dyDescent="0.2">
      <c r="E939" s="113"/>
      <c r="K939" s="113"/>
    </row>
    <row r="940" spans="5:11" ht="15.75" customHeight="1" x14ac:dyDescent="0.2">
      <c r="E940" s="113"/>
      <c r="K940" s="113"/>
    </row>
    <row r="941" spans="5:11" ht="15.75" customHeight="1" x14ac:dyDescent="0.2">
      <c r="E941" s="113"/>
      <c r="K941" s="113"/>
    </row>
    <row r="942" spans="5:11" ht="15.75" customHeight="1" x14ac:dyDescent="0.2">
      <c r="E942" s="113"/>
      <c r="K942" s="113"/>
    </row>
    <row r="943" spans="5:11" ht="15.75" customHeight="1" x14ac:dyDescent="0.2">
      <c r="E943" s="113"/>
      <c r="K943" s="113"/>
    </row>
    <row r="944" spans="5:11" ht="15.75" customHeight="1" x14ac:dyDescent="0.2">
      <c r="E944" s="113"/>
      <c r="K944" s="113"/>
    </row>
    <row r="945" spans="5:11" ht="15.75" customHeight="1" x14ac:dyDescent="0.2">
      <c r="E945" s="113"/>
      <c r="K945" s="113"/>
    </row>
    <row r="946" spans="5:11" ht="15.75" customHeight="1" x14ac:dyDescent="0.2">
      <c r="E946" s="113"/>
      <c r="K946" s="113"/>
    </row>
    <row r="947" spans="5:11" ht="15.75" customHeight="1" x14ac:dyDescent="0.2">
      <c r="E947" s="113"/>
      <c r="K947" s="113"/>
    </row>
    <row r="948" spans="5:11" ht="15.75" customHeight="1" x14ac:dyDescent="0.2">
      <c r="E948" s="113"/>
      <c r="K948" s="113"/>
    </row>
    <row r="949" spans="5:11" ht="15.75" customHeight="1" x14ac:dyDescent="0.2">
      <c r="E949" s="113"/>
      <c r="K949" s="113"/>
    </row>
    <row r="950" spans="5:11" ht="15.75" customHeight="1" x14ac:dyDescent="0.2">
      <c r="E950" s="113"/>
      <c r="K950" s="113"/>
    </row>
    <row r="951" spans="5:11" ht="15.75" customHeight="1" x14ac:dyDescent="0.2">
      <c r="E951" s="113"/>
      <c r="K951" s="113"/>
    </row>
    <row r="952" spans="5:11" ht="15.75" customHeight="1" x14ac:dyDescent="0.2">
      <c r="E952" s="113"/>
      <c r="K952" s="113"/>
    </row>
    <row r="953" spans="5:11" ht="15.75" customHeight="1" x14ac:dyDescent="0.2">
      <c r="E953" s="113"/>
      <c r="K953" s="113"/>
    </row>
    <row r="954" spans="5:11" ht="15.75" customHeight="1" x14ac:dyDescent="0.2">
      <c r="E954" s="113"/>
      <c r="K954" s="113"/>
    </row>
    <row r="955" spans="5:11" ht="15.75" customHeight="1" x14ac:dyDescent="0.2">
      <c r="E955" s="113"/>
      <c r="K955" s="113"/>
    </row>
    <row r="956" spans="5:11" ht="15.75" customHeight="1" x14ac:dyDescent="0.2">
      <c r="E956" s="113"/>
      <c r="K956" s="113"/>
    </row>
    <row r="957" spans="5:11" ht="15.75" customHeight="1" x14ac:dyDescent="0.2">
      <c r="E957" s="113"/>
      <c r="K957" s="113"/>
    </row>
    <row r="958" spans="5:11" ht="15.75" customHeight="1" x14ac:dyDescent="0.2">
      <c r="E958" s="113"/>
      <c r="K958" s="113"/>
    </row>
    <row r="959" spans="5:11" ht="15.75" customHeight="1" x14ac:dyDescent="0.2">
      <c r="E959" s="113"/>
      <c r="K959" s="113"/>
    </row>
    <row r="960" spans="5:11" ht="15.75" customHeight="1" x14ac:dyDescent="0.2">
      <c r="E960" s="113"/>
      <c r="K960" s="113"/>
    </row>
    <row r="961" spans="5:11" ht="15.75" customHeight="1" x14ac:dyDescent="0.2">
      <c r="E961" s="113"/>
      <c r="K961" s="113"/>
    </row>
    <row r="962" spans="5:11" ht="15.75" customHeight="1" x14ac:dyDescent="0.2">
      <c r="E962" s="113"/>
      <c r="K962" s="113"/>
    </row>
    <row r="963" spans="5:11" ht="15.75" customHeight="1" x14ac:dyDescent="0.2">
      <c r="E963" s="113"/>
      <c r="K963" s="113"/>
    </row>
    <row r="964" spans="5:11" ht="15.75" customHeight="1" x14ac:dyDescent="0.2">
      <c r="E964" s="113"/>
      <c r="K964" s="113"/>
    </row>
    <row r="965" spans="5:11" ht="15.75" customHeight="1" x14ac:dyDescent="0.2">
      <c r="E965" s="113"/>
      <c r="K965" s="113"/>
    </row>
    <row r="966" spans="5:11" ht="15.75" customHeight="1" x14ac:dyDescent="0.2">
      <c r="E966" s="113"/>
      <c r="K966" s="113"/>
    </row>
    <row r="967" spans="5:11" ht="15.75" customHeight="1" x14ac:dyDescent="0.2">
      <c r="E967" s="113"/>
      <c r="K967" s="113"/>
    </row>
    <row r="968" spans="5:11" ht="15.75" customHeight="1" x14ac:dyDescent="0.2">
      <c r="E968" s="113"/>
      <c r="K968" s="113"/>
    </row>
    <row r="969" spans="5:11" ht="15.75" customHeight="1" x14ac:dyDescent="0.2">
      <c r="E969" s="113"/>
      <c r="K969" s="113"/>
    </row>
    <row r="970" spans="5:11" ht="15.75" customHeight="1" x14ac:dyDescent="0.2">
      <c r="E970" s="113"/>
      <c r="K970" s="113"/>
    </row>
    <row r="971" spans="5:11" ht="15.75" customHeight="1" x14ac:dyDescent="0.2">
      <c r="E971" s="113"/>
      <c r="K971" s="113"/>
    </row>
    <row r="972" spans="5:11" ht="15.75" customHeight="1" x14ac:dyDescent="0.2">
      <c r="E972" s="113"/>
      <c r="K972" s="113"/>
    </row>
    <row r="973" spans="5:11" ht="15.75" customHeight="1" x14ac:dyDescent="0.2">
      <c r="E973" s="113"/>
      <c r="K973" s="113"/>
    </row>
    <row r="974" spans="5:11" ht="15.75" customHeight="1" x14ac:dyDescent="0.2">
      <c r="E974" s="113"/>
      <c r="K974" s="113"/>
    </row>
    <row r="975" spans="5:11" ht="15.75" customHeight="1" x14ac:dyDescent="0.2">
      <c r="E975" s="113"/>
      <c r="K975" s="113"/>
    </row>
    <row r="976" spans="5:11" ht="15.75" customHeight="1" x14ac:dyDescent="0.2">
      <c r="E976" s="113"/>
      <c r="K976" s="113"/>
    </row>
    <row r="977" spans="5:11" ht="15.75" customHeight="1" x14ac:dyDescent="0.2">
      <c r="E977" s="113"/>
      <c r="K977" s="113"/>
    </row>
    <row r="978" spans="5:11" ht="15.75" customHeight="1" x14ac:dyDescent="0.2">
      <c r="E978" s="113"/>
      <c r="K978" s="113"/>
    </row>
    <row r="979" spans="5:11" ht="15.75" customHeight="1" x14ac:dyDescent="0.2">
      <c r="E979" s="113"/>
      <c r="K979" s="113"/>
    </row>
    <row r="980" spans="5:11" ht="15.75" customHeight="1" x14ac:dyDescent="0.2">
      <c r="E980" s="113"/>
      <c r="K980" s="113"/>
    </row>
    <row r="981" spans="5:11" ht="15.75" customHeight="1" x14ac:dyDescent="0.2">
      <c r="E981" s="113"/>
      <c r="K981" s="113"/>
    </row>
    <row r="982" spans="5:11" ht="15.75" customHeight="1" x14ac:dyDescent="0.2">
      <c r="E982" s="113"/>
      <c r="K982" s="113"/>
    </row>
    <row r="983" spans="5:11" ht="15.75" customHeight="1" x14ac:dyDescent="0.2">
      <c r="E983" s="113"/>
      <c r="K983" s="113"/>
    </row>
    <row r="984" spans="5:11" ht="15.75" customHeight="1" x14ac:dyDescent="0.2">
      <c r="E984" s="113"/>
      <c r="K984" s="113"/>
    </row>
    <row r="985" spans="5:11" ht="15.75" customHeight="1" x14ac:dyDescent="0.2">
      <c r="E985" s="113"/>
      <c r="K985" s="113"/>
    </row>
    <row r="986" spans="5:11" ht="15.75" customHeight="1" x14ac:dyDescent="0.2">
      <c r="E986" s="113"/>
      <c r="K986" s="113"/>
    </row>
    <row r="987" spans="5:11" ht="15.75" customHeight="1" x14ac:dyDescent="0.2">
      <c r="E987" s="113"/>
      <c r="K987" s="113"/>
    </row>
    <row r="988" spans="5:11" ht="15.75" customHeight="1" x14ac:dyDescent="0.2">
      <c r="E988" s="113"/>
      <c r="K988" s="113"/>
    </row>
    <row r="989" spans="5:11" ht="15.75" customHeight="1" x14ac:dyDescent="0.2">
      <c r="E989" s="113"/>
      <c r="K989" s="113"/>
    </row>
    <row r="990" spans="5:11" ht="15.75" customHeight="1" x14ac:dyDescent="0.2">
      <c r="E990" s="113"/>
      <c r="K990" s="113"/>
    </row>
    <row r="991" spans="5:11" ht="15.75" customHeight="1" x14ac:dyDescent="0.2">
      <c r="E991" s="113"/>
      <c r="K991" s="113"/>
    </row>
    <row r="992" spans="5:11" ht="15.75" customHeight="1" x14ac:dyDescent="0.2">
      <c r="E992" s="113"/>
      <c r="K992" s="113"/>
    </row>
    <row r="993" spans="5:11" ht="15.75" customHeight="1" x14ac:dyDescent="0.2">
      <c r="E993" s="113"/>
      <c r="K993" s="113"/>
    </row>
    <row r="994" spans="5:11" ht="15.75" customHeight="1" x14ac:dyDescent="0.2">
      <c r="E994" s="113"/>
      <c r="K994" s="113"/>
    </row>
    <row r="995" spans="5:11" ht="15.75" customHeight="1" x14ac:dyDescent="0.2">
      <c r="E995" s="113"/>
      <c r="K995" s="113"/>
    </row>
    <row r="996" spans="5:11" ht="15.75" customHeight="1" x14ac:dyDescent="0.2">
      <c r="E996" s="113"/>
      <c r="K996" s="113"/>
    </row>
    <row r="997" spans="5:11" ht="15.75" customHeight="1" x14ac:dyDescent="0.2">
      <c r="E997" s="113"/>
      <c r="K997" s="113"/>
    </row>
    <row r="998" spans="5:11" ht="15.75" customHeight="1" x14ac:dyDescent="0.2">
      <c r="E998" s="113"/>
      <c r="K998" s="113"/>
    </row>
    <row r="999" spans="5:11" ht="15.75" customHeight="1" x14ac:dyDescent="0.2">
      <c r="E999" s="113"/>
      <c r="K999" s="113"/>
    </row>
    <row r="1000" spans="5:11" ht="15.75" customHeight="1" x14ac:dyDescent="0.2">
      <c r="E1000" s="113"/>
      <c r="K1000" s="113"/>
    </row>
  </sheetData>
  <mergeCells count="6">
    <mergeCell ref="B61:C61"/>
    <mergeCell ref="B4:B5"/>
    <mergeCell ref="C4:C5"/>
    <mergeCell ref="D4:I4"/>
    <mergeCell ref="J4:O4"/>
    <mergeCell ref="B60:C60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R991"/>
  <sheetViews>
    <sheetView workbookViewId="0">
      <pane xSplit="3" ySplit="13" topLeftCell="D126" activePane="bottomRight" state="frozen"/>
      <selection pane="topRight" activeCell="D1" sqref="D1"/>
      <selection pane="bottomLeft" activeCell="A14" sqref="A14"/>
      <selection pane="bottomRight" activeCell="D14" sqref="D14"/>
    </sheetView>
  </sheetViews>
  <sheetFormatPr defaultColWidth="12.5703125" defaultRowHeight="15" customHeight="1" x14ac:dyDescent="0.2"/>
  <cols>
    <col min="1" max="1" width="5.5703125" customWidth="1"/>
    <col min="2" max="2" width="9.7109375" customWidth="1"/>
    <col min="3" max="3" width="47.42578125" customWidth="1"/>
    <col min="4" max="4" width="15" customWidth="1"/>
    <col min="5" max="6" width="12.5703125" hidden="1" customWidth="1"/>
    <col min="7" max="9" width="12.5703125" hidden="1"/>
    <col min="10" max="10" width="15" customWidth="1"/>
    <col min="11" max="12" width="12.5703125" hidden="1" customWidth="1"/>
    <col min="13" max="15" width="12.5703125" hidden="1"/>
    <col min="16" max="16" width="12.5703125" customWidth="1"/>
  </cols>
  <sheetData>
    <row r="1" spans="1:16" ht="15.75" customHeight="1" x14ac:dyDescent="0.25">
      <c r="A1" s="244"/>
      <c r="B1" s="245" t="s">
        <v>0</v>
      </c>
      <c r="C1" s="244"/>
      <c r="D1" s="244"/>
      <c r="E1" s="244"/>
      <c r="F1" s="303"/>
      <c r="G1" s="244"/>
      <c r="H1" s="716"/>
      <c r="I1" s="244"/>
      <c r="J1" s="244"/>
      <c r="K1" s="244"/>
      <c r="L1" s="303"/>
      <c r="M1" s="244"/>
      <c r="N1" s="716"/>
      <c r="O1" s="244"/>
      <c r="P1" s="244"/>
    </row>
    <row r="2" spans="1:16" ht="15.75" customHeight="1" x14ac:dyDescent="0.25">
      <c r="A2" s="244"/>
      <c r="B2" s="246" t="s">
        <v>334</v>
      </c>
      <c r="C2" s="244"/>
      <c r="D2" s="244"/>
      <c r="E2" s="244"/>
      <c r="F2" s="303"/>
      <c r="G2" s="244"/>
      <c r="H2" s="716"/>
      <c r="I2" s="244"/>
      <c r="J2" s="244"/>
      <c r="K2" s="244"/>
      <c r="L2" s="303"/>
      <c r="M2" s="244"/>
      <c r="N2" s="716"/>
      <c r="O2" s="244"/>
      <c r="P2" s="244"/>
    </row>
    <row r="3" spans="1:16" ht="15.75" customHeight="1" x14ac:dyDescent="0.25">
      <c r="A3" s="244"/>
      <c r="B3" s="244"/>
      <c r="C3" s="244"/>
      <c r="D3" s="244"/>
      <c r="E3" s="244"/>
      <c r="F3" s="303"/>
      <c r="G3" s="244"/>
      <c r="H3" s="716"/>
      <c r="I3" s="244"/>
      <c r="J3" s="244"/>
      <c r="K3" s="244"/>
      <c r="L3" s="303"/>
      <c r="M3" s="244"/>
      <c r="N3" s="716"/>
      <c r="O3" s="244"/>
      <c r="P3" s="244"/>
    </row>
    <row r="4" spans="1:16" ht="15.75" customHeight="1" x14ac:dyDescent="0.25">
      <c r="A4" s="244"/>
      <c r="B4" s="950" t="s">
        <v>167</v>
      </c>
      <c r="C4" s="977" t="s">
        <v>46</v>
      </c>
      <c r="D4" s="954" t="s">
        <v>168</v>
      </c>
      <c r="E4" s="930"/>
      <c r="F4" s="930"/>
      <c r="G4" s="930"/>
      <c r="H4" s="930"/>
      <c r="I4" s="931"/>
      <c r="J4" s="954" t="s">
        <v>169</v>
      </c>
      <c r="K4" s="930"/>
      <c r="L4" s="930"/>
      <c r="M4" s="930"/>
      <c r="N4" s="930"/>
      <c r="O4" s="931"/>
      <c r="P4" s="305"/>
    </row>
    <row r="5" spans="1:16" ht="15.75" customHeight="1" x14ac:dyDescent="0.2">
      <c r="A5" s="306"/>
      <c r="B5" s="951"/>
      <c r="C5" s="978"/>
      <c r="D5" s="717" t="s">
        <v>170</v>
      </c>
      <c r="E5" s="385" t="s">
        <v>18</v>
      </c>
      <c r="F5" s="386" t="s">
        <v>171</v>
      </c>
      <c r="G5" s="385" t="s">
        <v>18</v>
      </c>
      <c r="H5" s="718" t="s">
        <v>172</v>
      </c>
      <c r="I5" s="387" t="s">
        <v>260</v>
      </c>
      <c r="J5" s="717" t="s">
        <v>170</v>
      </c>
      <c r="K5" s="385" t="s">
        <v>18</v>
      </c>
      <c r="L5" s="386" t="s">
        <v>171</v>
      </c>
      <c r="M5" s="385" t="s">
        <v>18</v>
      </c>
      <c r="N5" s="718" t="s">
        <v>172</v>
      </c>
      <c r="O5" s="387" t="s">
        <v>260</v>
      </c>
      <c r="P5" s="311"/>
    </row>
    <row r="6" spans="1:16" ht="15.75" hidden="1" customHeight="1" x14ac:dyDescent="0.25">
      <c r="A6" s="244"/>
      <c r="B6" s="270"/>
      <c r="C6" s="339" t="s">
        <v>78</v>
      </c>
      <c r="D6" s="719">
        <v>0</v>
      </c>
      <c r="E6" s="372"/>
      <c r="F6" s="327"/>
      <c r="G6" s="372"/>
      <c r="H6" s="720"/>
      <c r="I6" s="373"/>
      <c r="J6" s="466">
        <v>0</v>
      </c>
      <c r="K6" s="372"/>
      <c r="L6" s="327"/>
      <c r="M6" s="372"/>
      <c r="N6" s="720"/>
      <c r="O6" s="373"/>
      <c r="P6" s="244"/>
    </row>
    <row r="7" spans="1:16" ht="15.75" hidden="1" customHeight="1" x14ac:dyDescent="0.25">
      <c r="A7" s="244"/>
      <c r="B7" s="270"/>
      <c r="C7" s="339" t="s">
        <v>85</v>
      </c>
      <c r="D7" s="483">
        <v>0</v>
      </c>
      <c r="E7" s="313"/>
      <c r="F7" s="296"/>
      <c r="G7" s="313"/>
      <c r="H7" s="529"/>
      <c r="I7" s="271"/>
      <c r="J7" s="467">
        <v>0</v>
      </c>
      <c r="K7" s="313"/>
      <c r="L7" s="296"/>
      <c r="M7" s="313"/>
      <c r="N7" s="529"/>
      <c r="O7" s="271"/>
      <c r="P7" s="244"/>
    </row>
    <row r="8" spans="1:16" ht="15.75" hidden="1" customHeight="1" x14ac:dyDescent="0.25">
      <c r="A8" s="244"/>
      <c r="B8" s="270"/>
      <c r="C8" s="339" t="s">
        <v>92</v>
      </c>
      <c r="D8" s="483">
        <f>D16+D26+D27+D36</f>
        <v>12074655</v>
      </c>
      <c r="E8" s="313"/>
      <c r="F8" s="296"/>
      <c r="G8" s="313"/>
      <c r="H8" s="529"/>
      <c r="I8" s="271"/>
      <c r="J8" s="467">
        <f>J16+J26+J27+J36</f>
        <v>14685204</v>
      </c>
      <c r="K8" s="313"/>
      <c r="L8" s="296"/>
      <c r="M8" s="313"/>
      <c r="N8" s="529"/>
      <c r="O8" s="271"/>
      <c r="P8" s="244"/>
    </row>
    <row r="9" spans="1:16" ht="15.75" hidden="1" customHeight="1" x14ac:dyDescent="0.25">
      <c r="A9" s="244"/>
      <c r="B9" s="270"/>
      <c r="C9" s="339" t="s">
        <v>99</v>
      </c>
      <c r="D9" s="483">
        <f>D17+D20+D22+D23</f>
        <v>0</v>
      </c>
      <c r="E9" s="313"/>
      <c r="F9" s="296"/>
      <c r="G9" s="313"/>
      <c r="H9" s="529"/>
      <c r="I9" s="271"/>
      <c r="J9" s="467">
        <f>J17+J20+J22+J23</f>
        <v>13500</v>
      </c>
      <c r="K9" s="313"/>
      <c r="L9" s="296"/>
      <c r="M9" s="313"/>
      <c r="N9" s="529"/>
      <c r="O9" s="271"/>
      <c r="P9" s="244"/>
    </row>
    <row r="10" spans="1:16" ht="15.75" hidden="1" customHeight="1" x14ac:dyDescent="0.25">
      <c r="A10" s="244"/>
      <c r="B10" s="270"/>
      <c r="C10" s="339" t="s">
        <v>106</v>
      </c>
      <c r="D10" s="483">
        <f>SUM(D8:D9)-D37</f>
        <v>12074655</v>
      </c>
      <c r="E10" s="313"/>
      <c r="F10" s="296"/>
      <c r="G10" s="313"/>
      <c r="H10" s="529"/>
      <c r="I10" s="271"/>
      <c r="J10" s="467">
        <f>SUM(J8:J9)-J37</f>
        <v>14698704</v>
      </c>
      <c r="K10" s="313"/>
      <c r="L10" s="296"/>
      <c r="M10" s="313"/>
      <c r="N10" s="529"/>
      <c r="O10" s="271"/>
      <c r="P10" s="244"/>
    </row>
    <row r="11" spans="1:16" ht="15.75" hidden="1" customHeight="1" x14ac:dyDescent="0.25">
      <c r="A11" s="244"/>
      <c r="B11" s="270"/>
      <c r="C11" s="339" t="s">
        <v>113</v>
      </c>
      <c r="D11" s="483" t="e">
        <f t="shared" ref="D11:D12" si="0">D8/D6</f>
        <v>#DIV/0!</v>
      </c>
      <c r="E11" s="313"/>
      <c r="F11" s="296"/>
      <c r="G11" s="313"/>
      <c r="H11" s="529"/>
      <c r="I11" s="271"/>
      <c r="J11" s="467" t="e">
        <f t="shared" ref="J11:J12" si="1">J8/J6</f>
        <v>#DIV/0!</v>
      </c>
      <c r="K11" s="313"/>
      <c r="L11" s="296"/>
      <c r="M11" s="313"/>
      <c r="N11" s="529"/>
      <c r="O11" s="271"/>
      <c r="P11" s="244"/>
    </row>
    <row r="12" spans="1:16" ht="15.75" hidden="1" customHeight="1" x14ac:dyDescent="0.25">
      <c r="A12" s="244"/>
      <c r="B12" s="270"/>
      <c r="C12" s="339" t="s">
        <v>120</v>
      </c>
      <c r="D12" s="483" t="e">
        <f t="shared" si="0"/>
        <v>#DIV/0!</v>
      </c>
      <c r="E12" s="313"/>
      <c r="F12" s="296"/>
      <c r="G12" s="313"/>
      <c r="H12" s="529"/>
      <c r="I12" s="271"/>
      <c r="J12" s="467" t="e">
        <f t="shared" si="1"/>
        <v>#DIV/0!</v>
      </c>
      <c r="K12" s="313"/>
      <c r="L12" s="296"/>
      <c r="M12" s="313"/>
      <c r="N12" s="529"/>
      <c r="O12" s="271"/>
      <c r="P12" s="244"/>
    </row>
    <row r="13" spans="1:16" ht="15.75" hidden="1" customHeight="1" x14ac:dyDescent="0.25">
      <c r="A13" s="244"/>
      <c r="B13" s="270"/>
      <c r="C13" s="339"/>
      <c r="D13" s="483"/>
      <c r="E13" s="313"/>
      <c r="F13" s="296"/>
      <c r="G13" s="313"/>
      <c r="H13" s="529"/>
      <c r="I13" s="271"/>
      <c r="J13" s="467"/>
      <c r="K13" s="313"/>
      <c r="L13" s="296"/>
      <c r="M13" s="313"/>
      <c r="N13" s="529"/>
      <c r="O13" s="271"/>
      <c r="P13" s="244"/>
    </row>
    <row r="14" spans="1:16" ht="15.75" customHeight="1" x14ac:dyDescent="0.25">
      <c r="A14" s="244"/>
      <c r="B14" s="319" t="s">
        <v>173</v>
      </c>
      <c r="C14" s="339"/>
      <c r="D14" s="482"/>
      <c r="E14" s="313"/>
      <c r="F14" s="296"/>
      <c r="G14" s="332"/>
      <c r="H14" s="529"/>
      <c r="I14" s="271"/>
      <c r="J14" s="265"/>
      <c r="K14" s="313"/>
      <c r="L14" s="296"/>
      <c r="M14" s="332"/>
      <c r="N14" s="529"/>
      <c r="O14" s="271"/>
      <c r="P14" s="244"/>
    </row>
    <row r="15" spans="1:16" ht="15.75" customHeight="1" x14ac:dyDescent="0.25">
      <c r="A15" s="244"/>
      <c r="B15" s="270" t="s">
        <v>23</v>
      </c>
      <c r="C15" s="339" t="s">
        <v>322</v>
      </c>
      <c r="D15" s="721">
        <f t="shared" ref="D15:J15" si="2">SUM(D16:D21)</f>
        <v>6037327.5</v>
      </c>
      <c r="E15" s="721" t="e">
        <f t="shared" si="2"/>
        <v>#DIV/0!</v>
      </c>
      <c r="F15" s="721">
        <f t="shared" si="2"/>
        <v>0</v>
      </c>
      <c r="G15" s="721" t="e">
        <f t="shared" si="2"/>
        <v>#DIV/0!</v>
      </c>
      <c r="H15" s="721">
        <f t="shared" si="2"/>
        <v>0</v>
      </c>
      <c r="I15" s="722">
        <f t="shared" si="2"/>
        <v>0</v>
      </c>
      <c r="J15" s="445">
        <f t="shared" si="2"/>
        <v>7335852</v>
      </c>
      <c r="K15" s="313"/>
      <c r="L15" s="482">
        <f>SUM(L16:L21)</f>
        <v>0</v>
      </c>
      <c r="M15" s="332" t="e">
        <f>SUM(M17:M21)</f>
        <v>#DIV/0!</v>
      </c>
      <c r="N15" s="482"/>
      <c r="O15" s="271"/>
      <c r="P15" s="246"/>
    </row>
    <row r="16" spans="1:16" ht="15.75" customHeight="1" x14ac:dyDescent="0.25">
      <c r="A16" s="244"/>
      <c r="B16" s="331"/>
      <c r="C16" s="339" t="s">
        <v>175</v>
      </c>
      <c r="D16" s="482">
        <v>6037327.5</v>
      </c>
      <c r="E16" s="313"/>
      <c r="F16" s="296"/>
      <c r="G16" s="332" t="e">
        <f t="shared" ref="G16:G20" si="3">F16/$F$14</f>
        <v>#DIV/0!</v>
      </c>
      <c r="H16" s="529"/>
      <c r="I16" s="271"/>
      <c r="J16" s="265">
        <v>7335852</v>
      </c>
      <c r="K16" s="313"/>
      <c r="L16" s="296"/>
      <c r="M16" s="332" t="e">
        <f t="shared" ref="M16:M20" si="4">L16/$F$14</f>
        <v>#DIV/0!</v>
      </c>
      <c r="N16" s="529"/>
      <c r="O16" s="271"/>
      <c r="P16" s="244"/>
    </row>
    <row r="17" spans="1:16" ht="15.75" customHeight="1" x14ac:dyDescent="0.25">
      <c r="A17" s="244"/>
      <c r="B17" s="331"/>
      <c r="C17" s="339" t="s">
        <v>176</v>
      </c>
      <c r="D17" s="482">
        <v>0</v>
      </c>
      <c r="E17" s="313"/>
      <c r="F17" s="296"/>
      <c r="G17" s="332" t="e">
        <f t="shared" si="3"/>
        <v>#DIV/0!</v>
      </c>
      <c r="H17" s="529"/>
      <c r="I17" s="271"/>
      <c r="J17" s="265">
        <v>0</v>
      </c>
      <c r="K17" s="313"/>
      <c r="L17" s="296"/>
      <c r="M17" s="332" t="e">
        <f t="shared" si="4"/>
        <v>#DIV/0!</v>
      </c>
      <c r="N17" s="529"/>
      <c r="O17" s="271"/>
      <c r="P17" s="244"/>
    </row>
    <row r="18" spans="1:16" ht="15.75" customHeight="1" x14ac:dyDescent="0.25">
      <c r="A18" s="244"/>
      <c r="B18" s="331"/>
      <c r="C18" s="339" t="s">
        <v>261</v>
      </c>
      <c r="D18" s="482"/>
      <c r="E18" s="313"/>
      <c r="F18" s="296"/>
      <c r="G18" s="332" t="e">
        <f t="shared" si="3"/>
        <v>#DIV/0!</v>
      </c>
      <c r="H18" s="529"/>
      <c r="I18" s="271"/>
      <c r="J18" s="265"/>
      <c r="K18" s="313"/>
      <c r="L18" s="296"/>
      <c r="M18" s="332" t="e">
        <f t="shared" si="4"/>
        <v>#DIV/0!</v>
      </c>
      <c r="N18" s="529"/>
      <c r="O18" s="271"/>
      <c r="P18" s="244"/>
    </row>
    <row r="19" spans="1:16" ht="15.75" customHeight="1" x14ac:dyDescent="0.25">
      <c r="A19" s="244"/>
      <c r="B19" s="331"/>
      <c r="C19" s="339" t="s">
        <v>177</v>
      </c>
      <c r="D19" s="482"/>
      <c r="E19" s="313"/>
      <c r="F19" s="296"/>
      <c r="G19" s="332" t="e">
        <f t="shared" si="3"/>
        <v>#DIV/0!</v>
      </c>
      <c r="H19" s="529"/>
      <c r="I19" s="271"/>
      <c r="J19" s="265"/>
      <c r="K19" s="313"/>
      <c r="L19" s="296"/>
      <c r="M19" s="332" t="e">
        <f t="shared" si="4"/>
        <v>#DIV/0!</v>
      </c>
      <c r="N19" s="529"/>
      <c r="O19" s="271"/>
      <c r="P19" s="244"/>
    </row>
    <row r="20" spans="1:16" ht="15.75" customHeight="1" x14ac:dyDescent="0.25">
      <c r="A20" s="244"/>
      <c r="B20" s="331"/>
      <c r="C20" s="339" t="s">
        <v>178</v>
      </c>
      <c r="D20" s="482"/>
      <c r="E20" s="313"/>
      <c r="F20" s="296"/>
      <c r="G20" s="332" t="e">
        <f t="shared" si="3"/>
        <v>#DIV/0!</v>
      </c>
      <c r="H20" s="529"/>
      <c r="I20" s="271"/>
      <c r="J20" s="265"/>
      <c r="K20" s="313"/>
      <c r="L20" s="296"/>
      <c r="M20" s="332" t="e">
        <f t="shared" si="4"/>
        <v>#DIV/0!</v>
      </c>
      <c r="N20" s="529"/>
      <c r="O20" s="271"/>
      <c r="P20" s="244"/>
    </row>
    <row r="21" spans="1:16" ht="15.75" customHeight="1" x14ac:dyDescent="0.25">
      <c r="A21" s="244"/>
      <c r="B21" s="331"/>
      <c r="C21" s="339" t="s">
        <v>179</v>
      </c>
      <c r="D21" s="482">
        <v>0</v>
      </c>
      <c r="E21" s="332" t="e">
        <f>D21/$D$14</f>
        <v>#DIV/0!</v>
      </c>
      <c r="F21" s="296"/>
      <c r="G21" s="332"/>
      <c r="H21" s="529"/>
      <c r="I21" s="343" t="str">
        <f>IFERROR(H21/F21,"")</f>
        <v/>
      </c>
      <c r="J21" s="265">
        <v>0</v>
      </c>
      <c r="K21" s="332" t="e">
        <f>J21/$D$14</f>
        <v>#DIV/0!</v>
      </c>
      <c r="L21" s="296"/>
      <c r="M21" s="332"/>
      <c r="N21" s="529"/>
      <c r="O21" s="343" t="str">
        <f>IFERROR(N21/L21,"")</f>
        <v/>
      </c>
      <c r="P21" s="244"/>
    </row>
    <row r="22" spans="1:16" ht="15.75" customHeight="1" x14ac:dyDescent="0.25">
      <c r="A22" s="244"/>
      <c r="B22" s="331"/>
      <c r="C22" s="339" t="s">
        <v>263</v>
      </c>
      <c r="D22" s="482"/>
      <c r="E22" s="313"/>
      <c r="F22" s="296"/>
      <c r="G22" s="313"/>
      <c r="H22" s="529"/>
      <c r="I22" s="271"/>
      <c r="J22" s="265">
        <v>13500</v>
      </c>
      <c r="K22" s="313"/>
      <c r="L22" s="296"/>
      <c r="M22" s="313"/>
      <c r="N22" s="529"/>
      <c r="O22" s="271"/>
      <c r="P22" s="244"/>
    </row>
    <row r="23" spans="1:16" ht="15.75" customHeight="1" x14ac:dyDescent="0.25">
      <c r="A23" s="244"/>
      <c r="B23" s="270"/>
      <c r="C23" s="339"/>
      <c r="D23" s="482"/>
      <c r="E23" s="313"/>
      <c r="F23" s="296"/>
      <c r="G23" s="313"/>
      <c r="H23" s="529"/>
      <c r="I23" s="271"/>
      <c r="J23" s="265"/>
      <c r="K23" s="313"/>
      <c r="L23" s="296"/>
      <c r="M23" s="313"/>
      <c r="N23" s="529"/>
      <c r="O23" s="271"/>
      <c r="P23" s="244"/>
    </row>
    <row r="24" spans="1:16" ht="15.75" customHeight="1" x14ac:dyDescent="0.25">
      <c r="A24" s="244"/>
      <c r="B24" s="270" t="s">
        <v>21</v>
      </c>
      <c r="C24" s="339" t="s">
        <v>21</v>
      </c>
      <c r="D24" s="482">
        <v>527662.5</v>
      </c>
      <c r="E24" s="313"/>
      <c r="F24" s="296"/>
      <c r="G24" s="332" t="e">
        <f>F24/F29</f>
        <v>#DIV/0!</v>
      </c>
      <c r="H24" s="529">
        <v>0</v>
      </c>
      <c r="I24" s="271"/>
      <c r="J24" s="265">
        <v>647125</v>
      </c>
      <c r="K24" s="313"/>
      <c r="L24" s="296"/>
      <c r="M24" s="332" t="e">
        <f>L24/L29</f>
        <v>#DIV/0!</v>
      </c>
      <c r="N24" s="529">
        <v>0</v>
      </c>
      <c r="O24" s="271"/>
      <c r="P24" s="244"/>
    </row>
    <row r="25" spans="1:16" ht="15.75" customHeight="1" x14ac:dyDescent="0.25">
      <c r="A25" s="244"/>
      <c r="B25" s="270" t="s">
        <v>22</v>
      </c>
      <c r="C25" s="339" t="s">
        <v>22</v>
      </c>
      <c r="D25" s="482">
        <v>4372792.5</v>
      </c>
      <c r="E25" s="313"/>
      <c r="F25" s="296"/>
      <c r="G25" s="332" t="e">
        <f>F25/F29</f>
        <v>#DIV/0!</v>
      </c>
      <c r="H25" s="529">
        <v>0</v>
      </c>
      <c r="I25" s="271"/>
      <c r="J25" s="265">
        <v>4130225</v>
      </c>
      <c r="K25" s="313"/>
      <c r="L25" s="296"/>
      <c r="M25" s="332" t="e">
        <f>L25/L29</f>
        <v>#DIV/0!</v>
      </c>
      <c r="N25" s="529">
        <v>0</v>
      </c>
      <c r="O25" s="271"/>
      <c r="P25" s="244"/>
    </row>
    <row r="26" spans="1:16" ht="15.75" customHeight="1" x14ac:dyDescent="0.25">
      <c r="A26" s="244"/>
      <c r="B26" s="270" t="s">
        <v>23</v>
      </c>
      <c r="C26" s="339" t="s">
        <v>180</v>
      </c>
      <c r="D26" s="723">
        <f>SUM(D16:D22)</f>
        <v>6037327.5</v>
      </c>
      <c r="E26" s="313"/>
      <c r="F26" s="723">
        <f>SUM(F16:F22)</f>
        <v>0</v>
      </c>
      <c r="G26" s="332" t="e">
        <f>F26/F29</f>
        <v>#DIV/0!</v>
      </c>
      <c r="H26" s="724">
        <f>SUM(H16:H20)</f>
        <v>0</v>
      </c>
      <c r="I26" s="271"/>
      <c r="J26" s="265">
        <f>SUM(J16:J22)</f>
        <v>7349352</v>
      </c>
      <c r="K26" s="313"/>
      <c r="L26" s="723">
        <f>SUM(L16:L22)</f>
        <v>0</v>
      </c>
      <c r="M26" s="332" t="e">
        <f>L26/L29</f>
        <v>#DIV/0!</v>
      </c>
      <c r="N26" s="724">
        <f>SUM(N16:N20)</f>
        <v>0</v>
      </c>
      <c r="O26" s="271"/>
      <c r="P26" s="244"/>
    </row>
    <row r="27" spans="1:16" ht="15.75" customHeight="1" x14ac:dyDescent="0.25">
      <c r="A27" s="244"/>
      <c r="B27" s="331"/>
      <c r="C27" s="339"/>
      <c r="D27" s="482"/>
      <c r="E27" s="313"/>
      <c r="F27" s="296"/>
      <c r="G27" s="332"/>
      <c r="H27" s="529"/>
      <c r="I27" s="271"/>
      <c r="J27" s="265"/>
      <c r="K27" s="313"/>
      <c r="L27" s="296"/>
      <c r="M27" s="332"/>
      <c r="N27" s="529"/>
      <c r="O27" s="271"/>
      <c r="P27" s="244"/>
    </row>
    <row r="28" spans="1:16" ht="15.75" customHeight="1" x14ac:dyDescent="0.25">
      <c r="A28" s="244"/>
      <c r="B28" s="346"/>
      <c r="C28" s="404" t="s">
        <v>181</v>
      </c>
      <c r="D28" s="725">
        <v>1068160</v>
      </c>
      <c r="E28" s="316"/>
      <c r="F28" s="317"/>
      <c r="G28" s="337" t="e">
        <f>F28/F29</f>
        <v>#DIV/0!</v>
      </c>
      <c r="H28" s="726"/>
      <c r="I28" s="318"/>
      <c r="J28" s="276"/>
      <c r="K28" s="316"/>
      <c r="L28" s="317"/>
      <c r="M28" s="337" t="e">
        <f>L28/L29</f>
        <v>#DIV/0!</v>
      </c>
      <c r="N28" s="726"/>
      <c r="O28" s="318"/>
      <c r="P28" s="244"/>
    </row>
    <row r="29" spans="1:16" ht="15.75" customHeight="1" x14ac:dyDescent="0.25">
      <c r="A29" s="244"/>
      <c r="B29" s="347"/>
      <c r="C29" s="410" t="s">
        <v>182</v>
      </c>
      <c r="D29" s="727">
        <f>D24+D25+D26+D28</f>
        <v>12005942.5</v>
      </c>
      <c r="E29" s="348"/>
      <c r="F29" s="322">
        <f>F24+F25+F26+F28</f>
        <v>0</v>
      </c>
      <c r="G29" s="348"/>
      <c r="H29" s="728">
        <f>H24+H25+H26+H28</f>
        <v>0</v>
      </c>
      <c r="I29" s="349"/>
      <c r="J29" s="257">
        <f>J24+J25+J26+J28+J22</f>
        <v>12140202</v>
      </c>
      <c r="K29" s="348"/>
      <c r="L29" s="322">
        <f>L24+L25+L26+L28</f>
        <v>0</v>
      </c>
      <c r="M29" s="348"/>
      <c r="N29" s="728">
        <f>N24+N25+N26+N28</f>
        <v>0</v>
      </c>
      <c r="O29" s="349"/>
      <c r="P29" s="246"/>
    </row>
    <row r="30" spans="1:16" ht="15.75" customHeight="1" x14ac:dyDescent="0.25">
      <c r="A30" s="244"/>
      <c r="B30" s="324"/>
      <c r="C30" s="393"/>
      <c r="D30" s="729"/>
      <c r="E30" s="372"/>
      <c r="F30" s="327"/>
      <c r="G30" s="372"/>
      <c r="H30" s="720"/>
      <c r="I30" s="373"/>
      <c r="J30" s="261"/>
      <c r="K30" s="372"/>
      <c r="L30" s="327"/>
      <c r="M30" s="372"/>
      <c r="N30" s="720"/>
      <c r="O30" s="373"/>
      <c r="P30" s="244"/>
    </row>
    <row r="31" spans="1:16" ht="15.75" hidden="1" customHeight="1" x14ac:dyDescent="0.25">
      <c r="A31" s="244"/>
      <c r="B31" s="331"/>
      <c r="C31" s="339"/>
      <c r="D31" s="482"/>
      <c r="E31" s="332"/>
      <c r="F31" s="296"/>
      <c r="G31" s="415"/>
      <c r="H31" s="529"/>
      <c r="I31" s="486"/>
      <c r="J31" s="265"/>
      <c r="K31" s="332"/>
      <c r="L31" s="296"/>
      <c r="M31" s="415"/>
      <c r="N31" s="529"/>
      <c r="O31" s="486"/>
      <c r="P31" s="244"/>
    </row>
    <row r="32" spans="1:16" ht="15.75" hidden="1" customHeight="1" x14ac:dyDescent="0.25">
      <c r="A32" s="244"/>
      <c r="B32" s="331"/>
      <c r="C32" s="339"/>
      <c r="D32" s="482"/>
      <c r="E32" s="332"/>
      <c r="F32" s="296"/>
      <c r="G32" s="415"/>
      <c r="H32" s="529"/>
      <c r="I32" s="486"/>
      <c r="J32" s="265"/>
      <c r="K32" s="332"/>
      <c r="L32" s="296"/>
      <c r="M32" s="415"/>
      <c r="N32" s="529"/>
      <c r="O32" s="486"/>
      <c r="P32" s="244"/>
    </row>
    <row r="33" spans="1:16" ht="15.75" hidden="1" customHeight="1" x14ac:dyDescent="0.25">
      <c r="A33" s="244"/>
      <c r="B33" s="331"/>
      <c r="C33" s="339"/>
      <c r="D33" s="482"/>
      <c r="E33" s="332"/>
      <c r="F33" s="296"/>
      <c r="G33" s="415"/>
      <c r="H33" s="529"/>
      <c r="I33" s="486"/>
      <c r="J33" s="265"/>
      <c r="K33" s="332"/>
      <c r="L33" s="296"/>
      <c r="M33" s="415"/>
      <c r="N33" s="529"/>
      <c r="O33" s="486"/>
      <c r="P33" s="244"/>
    </row>
    <row r="34" spans="1:16" ht="15.75" hidden="1" customHeight="1" x14ac:dyDescent="0.25">
      <c r="A34" s="244"/>
      <c r="B34" s="331"/>
      <c r="C34" s="339"/>
      <c r="D34" s="482"/>
      <c r="E34" s="332"/>
      <c r="F34" s="296"/>
      <c r="G34" s="415"/>
      <c r="H34" s="529"/>
      <c r="I34" s="486"/>
      <c r="J34" s="265"/>
      <c r="K34" s="332"/>
      <c r="L34" s="296"/>
      <c r="M34" s="415"/>
      <c r="N34" s="529"/>
      <c r="O34" s="486"/>
      <c r="P34" s="244"/>
    </row>
    <row r="35" spans="1:16" ht="15.75" hidden="1" customHeight="1" x14ac:dyDescent="0.25">
      <c r="A35" s="244"/>
      <c r="B35" s="331"/>
      <c r="C35" s="339"/>
      <c r="D35" s="482"/>
      <c r="E35" s="332"/>
      <c r="F35" s="296"/>
      <c r="G35" s="415"/>
      <c r="H35" s="529"/>
      <c r="I35" s="486"/>
      <c r="J35" s="265"/>
      <c r="K35" s="332"/>
      <c r="L35" s="296"/>
      <c r="M35" s="415"/>
      <c r="N35" s="529"/>
      <c r="O35" s="486"/>
      <c r="P35" s="244"/>
    </row>
    <row r="36" spans="1:16" ht="15.75" hidden="1" customHeight="1" x14ac:dyDescent="0.25">
      <c r="A36" s="244"/>
      <c r="B36" s="331"/>
      <c r="C36" s="339"/>
      <c r="D36" s="482"/>
      <c r="E36" s="332"/>
      <c r="F36" s="296"/>
      <c r="G36" s="415"/>
      <c r="H36" s="529"/>
      <c r="I36" s="486"/>
      <c r="J36" s="265"/>
      <c r="K36" s="332"/>
      <c r="L36" s="296"/>
      <c r="M36" s="415"/>
      <c r="N36" s="529"/>
      <c r="O36" s="486"/>
      <c r="P36" s="244"/>
    </row>
    <row r="37" spans="1:16" ht="15.75" hidden="1" customHeight="1" x14ac:dyDescent="0.25">
      <c r="A37" s="244"/>
      <c r="B37" s="331"/>
      <c r="C37" s="339"/>
      <c r="D37" s="482"/>
      <c r="E37" s="332"/>
      <c r="F37" s="296"/>
      <c r="G37" s="415"/>
      <c r="H37" s="529"/>
      <c r="I37" s="486"/>
      <c r="J37" s="265"/>
      <c r="K37" s="332"/>
      <c r="L37" s="296"/>
      <c r="M37" s="415"/>
      <c r="N37" s="529"/>
      <c r="O37" s="486"/>
      <c r="P37" s="246"/>
    </row>
    <row r="38" spans="1:16" ht="15.75" customHeight="1" x14ac:dyDescent="0.25">
      <c r="A38" s="244"/>
      <c r="B38" s="270"/>
      <c r="C38" s="271"/>
      <c r="D38" s="482"/>
      <c r="E38" s="313"/>
      <c r="F38" s="296"/>
      <c r="G38" s="313"/>
      <c r="H38" s="529"/>
      <c r="I38" s="271"/>
      <c r="J38" s="265"/>
      <c r="K38" s="313"/>
      <c r="L38" s="296"/>
      <c r="M38" s="313"/>
      <c r="N38" s="529"/>
      <c r="O38" s="271"/>
      <c r="P38" s="244"/>
    </row>
    <row r="39" spans="1:16" ht="15.75" customHeight="1" x14ac:dyDescent="0.25">
      <c r="A39" s="244"/>
      <c r="B39" s="730" t="s">
        <v>186</v>
      </c>
      <c r="C39" s="731"/>
      <c r="D39" s="725"/>
      <c r="E39" s="316"/>
      <c r="F39" s="317"/>
      <c r="G39" s="316"/>
      <c r="H39" s="726"/>
      <c r="I39" s="318"/>
      <c r="J39" s="276"/>
      <c r="K39" s="316"/>
      <c r="L39" s="317"/>
      <c r="M39" s="316"/>
      <c r="N39" s="726"/>
      <c r="O39" s="318"/>
      <c r="P39" s="244"/>
    </row>
    <row r="40" spans="1:16" ht="15.75" customHeight="1" x14ac:dyDescent="0.25">
      <c r="A40" s="244"/>
      <c r="B40" s="319" t="s">
        <v>28</v>
      </c>
      <c r="C40" s="410"/>
      <c r="D40" s="727"/>
      <c r="E40" s="348"/>
      <c r="F40" s="322"/>
      <c r="G40" s="348"/>
      <c r="H40" s="728"/>
      <c r="I40" s="349"/>
      <c r="J40" s="257"/>
      <c r="K40" s="348"/>
      <c r="L40" s="322"/>
      <c r="M40" s="348"/>
      <c r="N40" s="728"/>
      <c r="O40" s="349"/>
      <c r="P40" s="244"/>
    </row>
    <row r="41" spans="1:16" ht="15.75" customHeight="1" x14ac:dyDescent="0.25">
      <c r="A41" s="244"/>
      <c r="B41" s="371"/>
      <c r="C41" s="732" t="s">
        <v>187</v>
      </c>
      <c r="D41" s="729"/>
      <c r="E41" s="372"/>
      <c r="F41" s="327"/>
      <c r="G41" s="372"/>
      <c r="H41" s="720"/>
      <c r="I41" s="373"/>
      <c r="J41" s="261"/>
      <c r="K41" s="372"/>
      <c r="L41" s="327"/>
      <c r="M41" s="372"/>
      <c r="N41" s="720"/>
      <c r="O41" s="373"/>
      <c r="P41" s="244"/>
    </row>
    <row r="42" spans="1:16" ht="15.75" customHeight="1" x14ac:dyDescent="0.25">
      <c r="A42" s="244"/>
      <c r="B42" s="331"/>
      <c r="C42" s="339" t="s">
        <v>188</v>
      </c>
      <c r="D42" s="265">
        <f>'MSBC CK Allocation'!C31</f>
        <v>275371.09993774892</v>
      </c>
      <c r="E42" s="313"/>
      <c r="F42" s="296">
        <f>G42*F26</f>
        <v>0</v>
      </c>
      <c r="G42" s="332"/>
      <c r="H42" s="529"/>
      <c r="I42" s="271"/>
      <c r="J42" s="265">
        <f>'MSBC CK Allocation'!D31</f>
        <v>253720.62964620246</v>
      </c>
      <c r="K42" s="313"/>
      <c r="L42" s="296">
        <f>M42*L26</f>
        <v>0</v>
      </c>
      <c r="M42" s="332"/>
      <c r="N42" s="529"/>
      <c r="O42" s="271"/>
      <c r="P42" s="244"/>
    </row>
    <row r="43" spans="1:16" ht="15.75" customHeight="1" x14ac:dyDescent="0.25">
      <c r="A43" s="244"/>
      <c r="B43" s="331"/>
      <c r="C43" s="339" t="s">
        <v>189</v>
      </c>
      <c r="D43" s="482">
        <v>2681208.0835189014</v>
      </c>
      <c r="E43" s="313"/>
      <c r="F43" s="296">
        <f>G43*F26</f>
        <v>0</v>
      </c>
      <c r="G43" s="332"/>
      <c r="H43" s="529"/>
      <c r="I43" s="271"/>
      <c r="J43" s="265">
        <v>2790240.8465521578</v>
      </c>
      <c r="K43" s="313"/>
      <c r="L43" s="296">
        <f>M43*L26</f>
        <v>0</v>
      </c>
      <c r="M43" s="332"/>
      <c r="N43" s="529"/>
      <c r="O43" s="271"/>
      <c r="P43" s="244"/>
    </row>
    <row r="44" spans="1:16" ht="15.75" customHeight="1" x14ac:dyDescent="0.25">
      <c r="A44" s="244"/>
      <c r="B44" s="331"/>
      <c r="C44" s="339" t="s">
        <v>21</v>
      </c>
      <c r="D44" s="482">
        <v>188494.51297618999</v>
      </c>
      <c r="E44" s="313"/>
      <c r="F44" s="296">
        <f t="shared" ref="F44:F45" si="5">G44*F24</f>
        <v>0</v>
      </c>
      <c r="G44" s="332"/>
      <c r="H44" s="529"/>
      <c r="I44" s="271"/>
      <c r="J44" s="265">
        <v>189015.37968782891</v>
      </c>
      <c r="K44" s="313"/>
      <c r="L44" s="296">
        <f t="shared" ref="L44:L45" si="6">M44*L24</f>
        <v>0</v>
      </c>
      <c r="M44" s="332"/>
      <c r="N44" s="529"/>
      <c r="O44" s="271"/>
      <c r="P44" s="244"/>
    </row>
    <row r="45" spans="1:16" ht="15.75" customHeight="1" x14ac:dyDescent="0.25">
      <c r="A45" s="244"/>
      <c r="B45" s="331"/>
      <c r="C45" s="339" t="s">
        <v>22</v>
      </c>
      <c r="D45" s="482">
        <v>1399401.2399999998</v>
      </c>
      <c r="E45" s="313"/>
      <c r="F45" s="296">
        <f t="shared" si="5"/>
        <v>0</v>
      </c>
      <c r="G45" s="332"/>
      <c r="H45" s="529"/>
      <c r="I45" s="271"/>
      <c r="J45" s="265">
        <v>1302934.76</v>
      </c>
      <c r="K45" s="313"/>
      <c r="L45" s="296">
        <f t="shared" si="6"/>
        <v>0</v>
      </c>
      <c r="M45" s="332"/>
      <c r="N45" s="529"/>
      <c r="O45" s="271"/>
      <c r="P45" s="244"/>
    </row>
    <row r="46" spans="1:16" ht="15.75" customHeight="1" x14ac:dyDescent="0.25">
      <c r="A46" s="244"/>
      <c r="B46" s="331"/>
      <c r="C46" s="339" t="s">
        <v>190</v>
      </c>
      <c r="D46" s="482">
        <f>'Calculation Sheet for GST on Pu'!C26</f>
        <v>179462.65588781863</v>
      </c>
      <c r="E46" s="313"/>
      <c r="F46" s="296">
        <f>G46*SUM(F24:F26)</f>
        <v>0</v>
      </c>
      <c r="G46" s="332"/>
      <c r="H46" s="529"/>
      <c r="I46" s="271"/>
      <c r="J46" s="265">
        <f>'Calculation Sheet for GST on Pu'!D26</f>
        <v>176123.77985785622</v>
      </c>
      <c r="K46" s="313"/>
      <c r="L46" s="296">
        <f>M46*SUM(L24:L26)</f>
        <v>0</v>
      </c>
      <c r="M46" s="332"/>
      <c r="N46" s="529"/>
      <c r="O46" s="271"/>
      <c r="P46" s="244"/>
    </row>
    <row r="47" spans="1:16" ht="15.75" customHeight="1" x14ac:dyDescent="0.25">
      <c r="A47" s="244"/>
      <c r="B47" s="350"/>
      <c r="C47" s="455" t="s">
        <v>191</v>
      </c>
      <c r="D47" s="721">
        <f>SUM(D42:D46)</f>
        <v>4723937.5923206592</v>
      </c>
      <c r="E47" s="733"/>
      <c r="F47" s="447">
        <f>SUM(F42:F46)</f>
        <v>0</v>
      </c>
      <c r="G47" s="446" t="e">
        <f>F47/F29</f>
        <v>#DIV/0!</v>
      </c>
      <c r="H47" s="734">
        <f>SUM(H42:H46)</f>
        <v>0</v>
      </c>
      <c r="I47" s="449"/>
      <c r="J47" s="445">
        <f>SUM(J42:J46)</f>
        <v>4712035.3957440453</v>
      </c>
      <c r="K47" s="733"/>
      <c r="L47" s="447">
        <f>SUM(L42:L46)</f>
        <v>0</v>
      </c>
      <c r="M47" s="446" t="e">
        <f>L47/L29</f>
        <v>#DIV/0!</v>
      </c>
      <c r="N47" s="734">
        <f>SUM(N42:N46)</f>
        <v>0</v>
      </c>
      <c r="O47" s="449"/>
      <c r="P47" s="246"/>
    </row>
    <row r="48" spans="1:16" ht="15.75" customHeight="1" x14ac:dyDescent="0.25">
      <c r="A48" s="244"/>
      <c r="B48" s="331"/>
      <c r="C48" s="455" t="s">
        <v>192</v>
      </c>
      <c r="D48" s="482">
        <v>57613.8</v>
      </c>
      <c r="E48" s="313"/>
      <c r="F48" s="296">
        <f>G48*SUM(F24:F26)</f>
        <v>0</v>
      </c>
      <c r="G48" s="332"/>
      <c r="H48" s="529"/>
      <c r="I48" s="271"/>
      <c r="J48" s="265">
        <f>25761.5+2000</f>
        <v>27761.5</v>
      </c>
      <c r="K48" s="313"/>
      <c r="L48" s="296">
        <f>M48*SUM(L24:L26)</f>
        <v>0</v>
      </c>
      <c r="M48" s="332"/>
      <c r="N48" s="529"/>
      <c r="O48" s="271"/>
      <c r="P48" s="244"/>
    </row>
    <row r="49" spans="1:16" ht="15.75" customHeight="1" x14ac:dyDescent="0.25">
      <c r="A49" s="244"/>
      <c r="B49" s="346"/>
      <c r="C49" s="735" t="s">
        <v>193</v>
      </c>
      <c r="D49" s="736">
        <f>D47+D48</f>
        <v>4781551.392320659</v>
      </c>
      <c r="E49" s="737"/>
      <c r="F49" s="738">
        <f>F47+F48</f>
        <v>0</v>
      </c>
      <c r="G49" s="739" t="e">
        <f>F49/F29</f>
        <v>#DIV/0!</v>
      </c>
      <c r="H49" s="740">
        <f>H47+H48</f>
        <v>0</v>
      </c>
      <c r="I49" s="741"/>
      <c r="J49" s="554">
        <f>J47+J48</f>
        <v>4739796.8957440453</v>
      </c>
      <c r="K49" s="737"/>
      <c r="L49" s="738">
        <f>L47+L48</f>
        <v>0</v>
      </c>
      <c r="M49" s="739" t="e">
        <f>L49/L29</f>
        <v>#DIV/0!</v>
      </c>
      <c r="N49" s="740">
        <f>N47+N48</f>
        <v>0</v>
      </c>
      <c r="O49" s="741"/>
      <c r="P49" s="246"/>
    </row>
    <row r="50" spans="1:16" ht="15.75" customHeight="1" x14ac:dyDescent="0.25">
      <c r="A50" s="244"/>
      <c r="B50" s="497"/>
      <c r="C50" s="410" t="s">
        <v>32</v>
      </c>
      <c r="D50" s="727">
        <f>D29-D49</f>
        <v>7224391.107679341</v>
      </c>
      <c r="E50" s="476"/>
      <c r="F50" s="566">
        <f>+F29-F49</f>
        <v>0</v>
      </c>
      <c r="G50" s="476"/>
      <c r="H50" s="742"/>
      <c r="I50" s="743"/>
      <c r="J50" s="257">
        <f>J29-J49</f>
        <v>7400405.1042559547</v>
      </c>
      <c r="K50" s="476"/>
      <c r="L50" s="566">
        <f>+L29-L49</f>
        <v>0</v>
      </c>
      <c r="M50" s="476"/>
      <c r="N50" s="742"/>
      <c r="O50" s="743"/>
      <c r="P50" s="244"/>
    </row>
    <row r="51" spans="1:16" ht="15.75" customHeight="1" x14ac:dyDescent="0.25">
      <c r="A51" s="244"/>
      <c r="B51" s="371"/>
      <c r="C51" s="393"/>
      <c r="D51" s="729"/>
      <c r="E51" s="372"/>
      <c r="F51" s="327"/>
      <c r="G51" s="372"/>
      <c r="H51" s="720"/>
      <c r="I51" s="373"/>
      <c r="J51" s="261"/>
      <c r="K51" s="372"/>
      <c r="L51" s="327"/>
      <c r="M51" s="372"/>
      <c r="N51" s="720"/>
      <c r="O51" s="373"/>
      <c r="P51" s="244"/>
    </row>
    <row r="52" spans="1:16" ht="15.75" customHeight="1" x14ac:dyDescent="0.25">
      <c r="A52" s="244"/>
      <c r="B52" s="331"/>
      <c r="C52" s="339"/>
      <c r="D52" s="482"/>
      <c r="E52" s="313"/>
      <c r="F52" s="296"/>
      <c r="G52" s="313"/>
      <c r="H52" s="529"/>
      <c r="I52" s="271"/>
      <c r="J52" s="265"/>
      <c r="K52" s="313"/>
      <c r="L52" s="296"/>
      <c r="M52" s="313"/>
      <c r="N52" s="529"/>
      <c r="O52" s="271"/>
      <c r="P52" s="244"/>
    </row>
    <row r="53" spans="1:16" ht="15.75" customHeight="1" x14ac:dyDescent="0.25">
      <c r="A53" s="244"/>
      <c r="B53" s="331"/>
      <c r="C53" s="339"/>
      <c r="D53" s="482"/>
      <c r="E53" s="313"/>
      <c r="F53" s="296"/>
      <c r="G53" s="313"/>
      <c r="H53" s="529"/>
      <c r="I53" s="271"/>
      <c r="J53" s="265"/>
      <c r="K53" s="313"/>
      <c r="L53" s="296"/>
      <c r="M53" s="313"/>
      <c r="N53" s="529"/>
      <c r="O53" s="271"/>
      <c r="P53" s="244"/>
    </row>
    <row r="54" spans="1:16" ht="15.75" customHeight="1" x14ac:dyDescent="0.25">
      <c r="A54" s="244"/>
      <c r="B54" s="331"/>
      <c r="C54" s="339"/>
      <c r="D54" s="482"/>
      <c r="E54" s="313"/>
      <c r="F54" s="296"/>
      <c r="G54" s="313"/>
      <c r="H54" s="529"/>
      <c r="I54" s="271"/>
      <c r="J54" s="265"/>
      <c r="K54" s="313"/>
      <c r="L54" s="296"/>
      <c r="M54" s="313"/>
      <c r="N54" s="529"/>
      <c r="O54" s="271"/>
      <c r="P54" s="244"/>
    </row>
    <row r="55" spans="1:16" ht="15.75" customHeight="1" x14ac:dyDescent="0.25">
      <c r="A55" s="244"/>
      <c r="B55" s="331"/>
      <c r="C55" s="428" t="s">
        <v>194</v>
      </c>
      <c r="D55" s="482"/>
      <c r="E55" s="313"/>
      <c r="F55" s="296"/>
      <c r="G55" s="313"/>
      <c r="H55" s="529"/>
      <c r="I55" s="271"/>
      <c r="J55" s="265"/>
      <c r="K55" s="313"/>
      <c r="L55" s="296"/>
      <c r="M55" s="313"/>
      <c r="N55" s="529"/>
      <c r="O55" s="271"/>
      <c r="P55" s="244"/>
    </row>
    <row r="56" spans="1:16" ht="15.75" customHeight="1" x14ac:dyDescent="0.25">
      <c r="A56" s="244"/>
      <c r="B56" s="331"/>
      <c r="C56" s="339" t="s">
        <v>195</v>
      </c>
      <c r="D56" s="482">
        <v>47693.62</v>
      </c>
      <c r="E56" s="313"/>
      <c r="F56" s="296">
        <f t="shared" ref="F56:F61" si="7">G56*F$29</f>
        <v>0</v>
      </c>
      <c r="G56" s="332">
        <v>3.0000000000000001E-3</v>
      </c>
      <c r="H56" s="529"/>
      <c r="I56" s="271"/>
      <c r="J56" s="265">
        <v>50415</v>
      </c>
      <c r="K56" s="313"/>
      <c r="L56" s="296">
        <f t="shared" ref="L56:L61" si="8">M56*L$29</f>
        <v>0</v>
      </c>
      <c r="M56" s="332">
        <v>3.0000000000000001E-3</v>
      </c>
      <c r="N56" s="529"/>
      <c r="O56" s="271"/>
      <c r="P56" s="244"/>
    </row>
    <row r="57" spans="1:16" ht="15.75" customHeight="1" x14ac:dyDescent="0.25">
      <c r="A57" s="244"/>
      <c r="B57" s="331"/>
      <c r="C57" s="339" t="s">
        <v>196</v>
      </c>
      <c r="D57" s="482">
        <v>93047.84</v>
      </c>
      <c r="E57" s="313"/>
      <c r="F57" s="296">
        <f t="shared" si="7"/>
        <v>0</v>
      </c>
      <c r="G57" s="332">
        <v>7.6E-3</v>
      </c>
      <c r="H57" s="529"/>
      <c r="I57" s="271"/>
      <c r="J57" s="265">
        <v>67379</v>
      </c>
      <c r="K57" s="313"/>
      <c r="L57" s="296">
        <f t="shared" si="8"/>
        <v>0</v>
      </c>
      <c r="M57" s="332">
        <v>7.6E-3</v>
      </c>
      <c r="N57" s="529"/>
      <c r="O57" s="271"/>
      <c r="P57" s="244"/>
    </row>
    <row r="58" spans="1:16" ht="15.75" customHeight="1" x14ac:dyDescent="0.25">
      <c r="A58" s="244"/>
      <c r="B58" s="331"/>
      <c r="C58" s="339" t="s">
        <v>266</v>
      </c>
      <c r="D58" s="482">
        <v>0</v>
      </c>
      <c r="E58" s="313"/>
      <c r="F58" s="296">
        <f t="shared" si="7"/>
        <v>0</v>
      </c>
      <c r="G58" s="332">
        <v>3.8999999999999998E-3</v>
      </c>
      <c r="H58" s="529"/>
      <c r="I58" s="271"/>
      <c r="J58" s="265">
        <v>0</v>
      </c>
      <c r="K58" s="313"/>
      <c r="L58" s="296">
        <f t="shared" si="8"/>
        <v>0</v>
      </c>
      <c r="M58" s="332">
        <v>3.8999999999999998E-3</v>
      </c>
      <c r="N58" s="529"/>
      <c r="O58" s="271"/>
      <c r="P58" s="244"/>
    </row>
    <row r="59" spans="1:16" ht="15.75" customHeight="1" x14ac:dyDescent="0.25">
      <c r="A59" s="244"/>
      <c r="B59" s="331"/>
      <c r="C59" s="339" t="s">
        <v>197</v>
      </c>
      <c r="D59" s="482">
        <v>72312.789999999994</v>
      </c>
      <c r="E59" s="313"/>
      <c r="F59" s="296">
        <f t="shared" si="7"/>
        <v>0</v>
      </c>
      <c r="G59" s="332">
        <v>6.9999999999999999E-4</v>
      </c>
      <c r="H59" s="529"/>
      <c r="I59" s="271"/>
      <c r="J59" s="265">
        <v>51820</v>
      </c>
      <c r="K59" s="313"/>
      <c r="L59" s="296">
        <f t="shared" si="8"/>
        <v>0</v>
      </c>
      <c r="M59" s="332">
        <v>6.9999999999999999E-4</v>
      </c>
      <c r="N59" s="529"/>
      <c r="O59" s="271"/>
      <c r="P59" s="244"/>
    </row>
    <row r="60" spans="1:16" ht="15.75" customHeight="1" x14ac:dyDescent="0.25">
      <c r="A60" s="244"/>
      <c r="B60" s="331"/>
      <c r="C60" s="339" t="s">
        <v>198</v>
      </c>
      <c r="D60" s="482">
        <v>64118.55</v>
      </c>
      <c r="E60" s="313"/>
      <c r="F60" s="296">
        <f t="shared" si="7"/>
        <v>0</v>
      </c>
      <c r="G60" s="332">
        <v>4.0000000000000002E-4</v>
      </c>
      <c r="H60" s="529"/>
      <c r="I60" s="271"/>
      <c r="J60" s="265">
        <v>19932</v>
      </c>
      <c r="K60" s="313"/>
      <c r="L60" s="296">
        <f t="shared" si="8"/>
        <v>0</v>
      </c>
      <c r="M60" s="332">
        <v>4.0000000000000002E-4</v>
      </c>
      <c r="N60" s="529"/>
      <c r="O60" s="271"/>
      <c r="P60" s="244"/>
    </row>
    <row r="61" spans="1:16" ht="15.75" customHeight="1" x14ac:dyDescent="0.25">
      <c r="A61" s="244"/>
      <c r="B61" s="346"/>
      <c r="C61" s="404" t="s">
        <v>199</v>
      </c>
      <c r="D61" s="725">
        <v>553.33333333333326</v>
      </c>
      <c r="E61" s="316"/>
      <c r="F61" s="317">
        <f t="shared" si="7"/>
        <v>0</v>
      </c>
      <c r="G61" s="337">
        <v>4.0000000000000002E-4</v>
      </c>
      <c r="H61" s="726"/>
      <c r="I61" s="318"/>
      <c r="J61" s="276">
        <v>333</v>
      </c>
      <c r="K61" s="313"/>
      <c r="L61" s="296">
        <f t="shared" si="8"/>
        <v>0</v>
      </c>
      <c r="M61" s="332">
        <v>4.0000000000000002E-4</v>
      </c>
      <c r="N61" s="529"/>
      <c r="O61" s="271"/>
      <c r="P61" s="244"/>
    </row>
    <row r="62" spans="1:16" ht="15.75" customHeight="1" x14ac:dyDescent="0.25">
      <c r="A62" s="244"/>
      <c r="B62" s="279"/>
      <c r="C62" s="278" t="s">
        <v>200</v>
      </c>
      <c r="D62" s="367">
        <f>SUM(D56:D61)</f>
        <v>277726.1333333333</v>
      </c>
      <c r="E62" s="255"/>
      <c r="F62" s="367">
        <f>SUM(F56:F61)</f>
        <v>0</v>
      </c>
      <c r="G62" s="490" t="e">
        <f>F62/F29</f>
        <v>#DIV/0!</v>
      </c>
      <c r="H62" s="744">
        <f>SUM(H56:H61)</f>
        <v>0</v>
      </c>
      <c r="I62" s="255"/>
      <c r="J62" s="367">
        <f>SUM(J56:J61)</f>
        <v>189879</v>
      </c>
      <c r="K62" s="745"/>
      <c r="L62" s="447">
        <f>SUM(L56:L61)</f>
        <v>0</v>
      </c>
      <c r="M62" s="446" t="e">
        <f>L62/L29</f>
        <v>#DIV/0!</v>
      </c>
      <c r="N62" s="734">
        <f>SUM(N56:N61)</f>
        <v>0</v>
      </c>
      <c r="O62" s="449"/>
      <c r="P62" s="246"/>
    </row>
    <row r="63" spans="1:16" ht="15.75" customHeight="1" x14ac:dyDescent="0.25">
      <c r="A63" s="244"/>
      <c r="B63" s="331"/>
      <c r="C63" s="339"/>
      <c r="D63" s="482"/>
      <c r="E63" s="313"/>
      <c r="F63" s="296"/>
      <c r="G63" s="313"/>
      <c r="H63" s="529"/>
      <c r="I63" s="271"/>
      <c r="J63" s="265"/>
      <c r="K63" s="313"/>
      <c r="L63" s="296"/>
      <c r="M63" s="313"/>
      <c r="N63" s="529"/>
      <c r="O63" s="271"/>
      <c r="P63" s="244"/>
    </row>
    <row r="64" spans="1:16" ht="15.75" customHeight="1" x14ac:dyDescent="0.25">
      <c r="A64" s="244"/>
      <c r="B64" s="955" t="s">
        <v>204</v>
      </c>
      <c r="C64" s="979"/>
      <c r="D64" s="725"/>
      <c r="E64" s="316"/>
      <c r="F64" s="317"/>
      <c r="G64" s="316"/>
      <c r="H64" s="726"/>
      <c r="I64" s="318"/>
      <c r="J64" s="276"/>
      <c r="K64" s="316"/>
      <c r="L64" s="317"/>
      <c r="M64" s="316"/>
      <c r="N64" s="726"/>
      <c r="O64" s="318"/>
      <c r="P64" s="244"/>
    </row>
    <row r="65" spans="1:18" ht="15.75" customHeight="1" x14ac:dyDescent="0.25">
      <c r="A65" s="244"/>
      <c r="B65" s="497"/>
      <c r="C65" s="498" t="s">
        <v>205</v>
      </c>
      <c r="D65" s="746">
        <f>SUM(D66:D71)</f>
        <v>17063.98</v>
      </c>
      <c r="E65" s="476"/>
      <c r="F65" s="566">
        <f>SUM(F66:F72)</f>
        <v>35000</v>
      </c>
      <c r="G65" s="565" t="e">
        <f t="shared" ref="G65:G66" si="9">F65/F$29</f>
        <v>#DIV/0!</v>
      </c>
      <c r="H65" s="742">
        <f>SUM(H66:H69)</f>
        <v>0</v>
      </c>
      <c r="I65" s="743"/>
      <c r="J65" s="280">
        <f>SUM(J66:J71)</f>
        <v>35000</v>
      </c>
      <c r="K65" s="476"/>
      <c r="L65" s="566">
        <f>SUM(L66:L72)</f>
        <v>0</v>
      </c>
      <c r="M65" s="565" t="e">
        <f t="shared" ref="M65:M66" si="10">L65/L$29</f>
        <v>#DIV/0!</v>
      </c>
      <c r="N65" s="742">
        <f>SUM(N66:N69)</f>
        <v>0</v>
      </c>
      <c r="O65" s="743"/>
      <c r="P65" s="246"/>
    </row>
    <row r="66" spans="1:18" ht="15.75" customHeight="1" x14ac:dyDescent="0.25">
      <c r="A66" s="244"/>
      <c r="B66" s="371"/>
      <c r="C66" s="393" t="s">
        <v>268</v>
      </c>
      <c r="D66" s="729">
        <v>17063.98</v>
      </c>
      <c r="E66" s="372"/>
      <c r="F66" s="327"/>
      <c r="G66" s="326" t="e">
        <f t="shared" si="9"/>
        <v>#DIV/0!</v>
      </c>
      <c r="H66" s="720"/>
      <c r="I66" s="373"/>
      <c r="J66" s="261"/>
      <c r="K66" s="372"/>
      <c r="L66" s="327"/>
      <c r="M66" s="326" t="e">
        <f t="shared" si="10"/>
        <v>#DIV/0!</v>
      </c>
      <c r="N66" s="720"/>
      <c r="O66" s="373"/>
      <c r="P66" s="244"/>
    </row>
    <row r="67" spans="1:18" ht="15" customHeight="1" x14ac:dyDescent="0.25">
      <c r="C67" s="747" t="s">
        <v>335</v>
      </c>
      <c r="E67" s="297"/>
      <c r="F67" s="297">
        <v>35000</v>
      </c>
      <c r="G67" s="297"/>
      <c r="H67" s="297"/>
      <c r="I67" s="297"/>
      <c r="J67" s="261">
        <v>35000</v>
      </c>
      <c r="K67" s="297"/>
      <c r="L67" s="297"/>
      <c r="M67" s="297"/>
      <c r="N67" s="297"/>
      <c r="O67" s="297"/>
      <c r="P67" s="297"/>
      <c r="Q67" s="297"/>
      <c r="R67" s="297"/>
    </row>
    <row r="68" spans="1:18" ht="15.75" customHeight="1" x14ac:dyDescent="0.25">
      <c r="A68" s="244"/>
      <c r="B68" s="331"/>
      <c r="C68" s="339" t="s">
        <v>212</v>
      </c>
      <c r="D68" s="482"/>
      <c r="E68" s="313"/>
      <c r="F68" s="296"/>
      <c r="G68" s="332" t="e">
        <f t="shared" ref="G68:G69" si="11">F68/F$29</f>
        <v>#DIV/0!</v>
      </c>
      <c r="H68" s="529"/>
      <c r="I68" s="271"/>
      <c r="J68" s="265"/>
      <c r="K68" s="313"/>
      <c r="L68" s="296"/>
      <c r="M68" s="332" t="e">
        <f t="shared" ref="M68:M69" si="12">L68/L$29</f>
        <v>#DIV/0!</v>
      </c>
      <c r="N68" s="529"/>
      <c r="O68" s="271"/>
      <c r="P68" s="244"/>
    </row>
    <row r="69" spans="1:18" ht="15.75" customHeight="1" x14ac:dyDescent="0.25">
      <c r="A69" s="244"/>
      <c r="B69" s="331"/>
      <c r="C69" s="450" t="s">
        <v>213</v>
      </c>
      <c r="D69" s="482">
        <v>0</v>
      </c>
      <c r="E69" s="313"/>
      <c r="F69" s="296"/>
      <c r="G69" s="332" t="e">
        <f t="shared" si="11"/>
        <v>#DIV/0!</v>
      </c>
      <c r="H69" s="529"/>
      <c r="I69" s="271"/>
      <c r="J69" s="265">
        <v>0</v>
      </c>
      <c r="K69" s="313"/>
      <c r="L69" s="296"/>
      <c r="M69" s="332" t="e">
        <f t="shared" si="12"/>
        <v>#DIV/0!</v>
      </c>
      <c r="N69" s="529"/>
      <c r="O69" s="271"/>
      <c r="P69" s="244"/>
    </row>
    <row r="70" spans="1:18" ht="15.75" customHeight="1" x14ac:dyDescent="0.25">
      <c r="A70" s="244"/>
      <c r="B70" s="331"/>
      <c r="C70" s="748" t="s">
        <v>307</v>
      </c>
      <c r="D70" s="482"/>
      <c r="E70" s="313"/>
      <c r="F70" s="296"/>
      <c r="G70" s="332"/>
      <c r="H70" s="529"/>
      <c r="I70" s="271"/>
      <c r="J70" s="265"/>
      <c r="K70" s="313"/>
      <c r="L70" s="296"/>
      <c r="M70" s="332"/>
      <c r="N70" s="529"/>
      <c r="O70" s="271"/>
      <c r="P70" s="244"/>
    </row>
    <row r="71" spans="1:18" ht="15.75" customHeight="1" x14ac:dyDescent="0.25">
      <c r="A71" s="244"/>
      <c r="B71" s="331"/>
      <c r="C71" s="339" t="s">
        <v>285</v>
      </c>
      <c r="D71" s="482">
        <v>0</v>
      </c>
      <c r="E71" s="313"/>
      <c r="F71" s="296"/>
      <c r="G71" s="332" t="e">
        <f>F71/F$29</f>
        <v>#DIV/0!</v>
      </c>
      <c r="H71" s="529"/>
      <c r="I71" s="271"/>
      <c r="J71" s="265">
        <v>0</v>
      </c>
      <c r="K71" s="313"/>
      <c r="L71" s="296"/>
      <c r="M71" s="332" t="e">
        <f>L71/L$29</f>
        <v>#DIV/0!</v>
      </c>
      <c r="N71" s="529"/>
      <c r="O71" s="271"/>
      <c r="P71" s="244"/>
    </row>
    <row r="72" spans="1:18" ht="15.75" customHeight="1" x14ac:dyDescent="0.25">
      <c r="A72" s="244"/>
      <c r="B72" s="346"/>
      <c r="C72" s="563"/>
      <c r="D72" s="725"/>
      <c r="E72" s="316"/>
      <c r="F72" s="317"/>
      <c r="G72" s="316"/>
      <c r="H72" s="726"/>
      <c r="I72" s="318"/>
      <c r="J72" s="276"/>
      <c r="K72" s="316"/>
      <c r="L72" s="317"/>
      <c r="M72" s="316"/>
      <c r="N72" s="726"/>
      <c r="O72" s="318"/>
      <c r="P72" s="244"/>
    </row>
    <row r="73" spans="1:18" ht="15.75" customHeight="1" x14ac:dyDescent="0.25">
      <c r="A73" s="244"/>
      <c r="B73" s="497"/>
      <c r="C73" s="498" t="s">
        <v>35</v>
      </c>
      <c r="D73" s="727">
        <f>SUM(D74:D77)</f>
        <v>0</v>
      </c>
      <c r="E73" s="348"/>
      <c r="F73" s="322">
        <f>SUM(F74:F77)</f>
        <v>0</v>
      </c>
      <c r="G73" s="321" t="e">
        <f>F73/F29</f>
        <v>#DIV/0!</v>
      </c>
      <c r="H73" s="728">
        <f>SUM(H74:H77)</f>
        <v>0</v>
      </c>
      <c r="I73" s="349"/>
      <c r="J73" s="257">
        <f>SUM(J74:J77)</f>
        <v>0</v>
      </c>
      <c r="K73" s="476"/>
      <c r="L73" s="566">
        <f>SUM(L74:L77)</f>
        <v>0</v>
      </c>
      <c r="M73" s="565" t="e">
        <f>L73/L29</f>
        <v>#DIV/0!</v>
      </c>
      <c r="N73" s="742">
        <f>SUM(N74:N77)</f>
        <v>0</v>
      </c>
      <c r="O73" s="743"/>
      <c r="P73" s="246"/>
    </row>
    <row r="74" spans="1:18" ht="15.75" customHeight="1" x14ac:dyDescent="0.25">
      <c r="A74" s="244"/>
      <c r="B74" s="371"/>
      <c r="C74" s="393" t="s">
        <v>215</v>
      </c>
      <c r="D74" s="729">
        <v>0</v>
      </c>
      <c r="E74" s="372"/>
      <c r="F74" s="327"/>
      <c r="G74" s="372"/>
      <c r="H74" s="720"/>
      <c r="I74" s="373"/>
      <c r="J74" s="261">
        <v>0</v>
      </c>
      <c r="K74" s="372"/>
      <c r="L74" s="327"/>
      <c r="M74" s="372"/>
      <c r="N74" s="720"/>
      <c r="O74" s="373"/>
      <c r="P74" s="244"/>
    </row>
    <row r="75" spans="1:18" ht="15.75" customHeight="1" x14ac:dyDescent="0.25">
      <c r="A75" s="244"/>
      <c r="B75" s="331"/>
      <c r="C75" s="339" t="s">
        <v>216</v>
      </c>
      <c r="D75" s="729">
        <v>0</v>
      </c>
      <c r="E75" s="313"/>
      <c r="F75" s="296"/>
      <c r="G75" s="313"/>
      <c r="H75" s="529"/>
      <c r="I75" s="271"/>
      <c r="J75" s="261">
        <v>0</v>
      </c>
      <c r="K75" s="313"/>
      <c r="L75" s="296"/>
      <c r="M75" s="313"/>
      <c r="N75" s="529"/>
      <c r="O75" s="271"/>
      <c r="P75" s="244"/>
    </row>
    <row r="76" spans="1:18" ht="15.75" customHeight="1" x14ac:dyDescent="0.25">
      <c r="A76" s="244"/>
      <c r="B76" s="331"/>
      <c r="C76" s="339" t="s">
        <v>272</v>
      </c>
      <c r="D76" s="729">
        <v>0</v>
      </c>
      <c r="E76" s="313"/>
      <c r="F76" s="296">
        <f>G76*F$17</f>
        <v>0</v>
      </c>
      <c r="G76" s="332">
        <f>15%</f>
        <v>0.15</v>
      </c>
      <c r="H76" s="529"/>
      <c r="I76" s="271"/>
      <c r="J76" s="261">
        <v>0</v>
      </c>
      <c r="K76" s="313"/>
      <c r="L76" s="296">
        <f>M76*L$17</f>
        <v>0</v>
      </c>
      <c r="M76" s="332">
        <f>15%</f>
        <v>0.15</v>
      </c>
      <c r="N76" s="529"/>
      <c r="O76" s="271"/>
      <c r="P76" s="244"/>
    </row>
    <row r="77" spans="1:18" ht="15.75" customHeight="1" x14ac:dyDescent="0.25">
      <c r="A77" s="244"/>
      <c r="B77" s="331"/>
      <c r="C77" s="339" t="s">
        <v>308</v>
      </c>
      <c r="D77" s="729">
        <v>0</v>
      </c>
      <c r="E77" s="313"/>
      <c r="F77" s="296"/>
      <c r="G77" s="313"/>
      <c r="H77" s="529"/>
      <c r="I77" s="271"/>
      <c r="J77" s="261">
        <v>0</v>
      </c>
      <c r="K77" s="313"/>
      <c r="L77" s="296"/>
      <c r="M77" s="313"/>
      <c r="N77" s="529"/>
      <c r="O77" s="271"/>
      <c r="P77" s="244"/>
    </row>
    <row r="78" spans="1:18" ht="15.75" customHeight="1" x14ac:dyDescent="0.25">
      <c r="A78" s="244"/>
      <c r="B78" s="331"/>
      <c r="C78" s="339"/>
      <c r="D78" s="482"/>
      <c r="E78" s="313"/>
      <c r="F78" s="296"/>
      <c r="G78" s="313"/>
      <c r="H78" s="529"/>
      <c r="I78" s="271"/>
      <c r="J78" s="265"/>
      <c r="K78" s="313"/>
      <c r="L78" s="296"/>
      <c r="M78" s="313"/>
      <c r="N78" s="529"/>
      <c r="O78" s="271"/>
      <c r="P78" s="244"/>
    </row>
    <row r="79" spans="1:18" ht="15.75" customHeight="1" x14ac:dyDescent="0.25">
      <c r="A79" s="244"/>
      <c r="B79" s="346"/>
      <c r="C79" s="404"/>
      <c r="D79" s="725"/>
      <c r="E79" s="316"/>
      <c r="F79" s="317"/>
      <c r="G79" s="316"/>
      <c r="H79" s="726"/>
      <c r="I79" s="318"/>
      <c r="J79" s="276"/>
      <c r="K79" s="316"/>
      <c r="L79" s="317"/>
      <c r="M79" s="316"/>
      <c r="N79" s="726"/>
      <c r="O79" s="318"/>
      <c r="P79" s="244"/>
    </row>
    <row r="80" spans="1:18" ht="15.75" customHeight="1" x14ac:dyDescent="0.25">
      <c r="A80" s="244"/>
      <c r="B80" s="347"/>
      <c r="C80" s="498" t="s">
        <v>36</v>
      </c>
      <c r="D80" s="727">
        <f>SUM(D81:D84)</f>
        <v>983479</v>
      </c>
      <c r="E80" s="348"/>
      <c r="F80" s="322">
        <f>SUM(F81:F84)</f>
        <v>2419</v>
      </c>
      <c r="G80" s="321" t="e">
        <f t="shared" ref="G80:G83" si="13">F80/F$29</f>
        <v>#DIV/0!</v>
      </c>
      <c r="H80" s="728">
        <f>SUM(H81:H84)</f>
        <v>2419</v>
      </c>
      <c r="I80" s="349"/>
      <c r="J80" s="257">
        <f>SUM(J81:J84)</f>
        <v>982279</v>
      </c>
      <c r="K80" s="348"/>
      <c r="L80" s="322">
        <f>SUM(L81:L84)</f>
        <v>0</v>
      </c>
      <c r="M80" s="321" t="e">
        <f t="shared" ref="M80:M84" si="14">L80/L$29</f>
        <v>#DIV/0!</v>
      </c>
      <c r="N80" s="728">
        <f>SUM(N81:N84)</f>
        <v>0</v>
      </c>
      <c r="O80" s="349"/>
      <c r="P80" s="246"/>
    </row>
    <row r="81" spans="1:16" ht="15.75" customHeight="1" x14ac:dyDescent="0.25">
      <c r="A81" s="244"/>
      <c r="B81" s="371"/>
      <c r="C81" s="393" t="s">
        <v>336</v>
      </c>
      <c r="D81" s="729">
        <v>804300</v>
      </c>
      <c r="E81" s="372"/>
      <c r="F81" s="327"/>
      <c r="G81" s="326" t="e">
        <f t="shared" si="13"/>
        <v>#DIV/0!</v>
      </c>
      <c r="H81" s="720"/>
      <c r="I81" s="373"/>
      <c r="J81" s="261">
        <v>804300</v>
      </c>
      <c r="K81" s="372"/>
      <c r="L81" s="327"/>
      <c r="M81" s="326" t="e">
        <f t="shared" si="14"/>
        <v>#DIV/0!</v>
      </c>
      <c r="N81" s="720"/>
      <c r="O81" s="373"/>
      <c r="P81" s="244"/>
    </row>
    <row r="82" spans="1:16" ht="15.75" customHeight="1" x14ac:dyDescent="0.25">
      <c r="A82" s="244"/>
      <c r="B82" s="331"/>
      <c r="C82" s="339" t="s">
        <v>221</v>
      </c>
      <c r="D82" s="482">
        <v>176760</v>
      </c>
      <c r="E82" s="313"/>
      <c r="F82" s="296"/>
      <c r="G82" s="332" t="e">
        <f t="shared" si="13"/>
        <v>#DIV/0!</v>
      </c>
      <c r="H82" s="529"/>
      <c r="I82" s="271"/>
      <c r="J82" s="265">
        <v>175560</v>
      </c>
      <c r="K82" s="313"/>
      <c r="L82" s="296"/>
      <c r="M82" s="332" t="e">
        <f t="shared" si="14"/>
        <v>#DIV/0!</v>
      </c>
      <c r="N82" s="529"/>
      <c r="O82" s="271"/>
      <c r="P82" s="244"/>
    </row>
    <row r="83" spans="1:16" ht="15.75" customHeight="1" x14ac:dyDescent="0.25">
      <c r="A83" s="244"/>
      <c r="B83" s="331"/>
      <c r="C83" s="339" t="s">
        <v>222</v>
      </c>
      <c r="D83" s="482">
        <v>0</v>
      </c>
      <c r="E83" s="313"/>
      <c r="F83" s="296"/>
      <c r="G83" s="332" t="e">
        <f t="shared" si="13"/>
        <v>#DIV/0!</v>
      </c>
      <c r="H83" s="529"/>
      <c r="I83" s="271"/>
      <c r="J83" s="265">
        <v>0</v>
      </c>
      <c r="K83" s="313"/>
      <c r="L83" s="296"/>
      <c r="M83" s="332" t="e">
        <f t="shared" si="14"/>
        <v>#DIV/0!</v>
      </c>
      <c r="N83" s="529"/>
      <c r="O83" s="271"/>
      <c r="P83" s="244"/>
    </row>
    <row r="84" spans="1:16" ht="15.75" customHeight="1" x14ac:dyDescent="0.25">
      <c r="A84" s="244"/>
      <c r="B84" s="331"/>
      <c r="C84" s="339" t="s">
        <v>223</v>
      </c>
      <c r="D84" s="482">
        <v>2419</v>
      </c>
      <c r="E84" s="482">
        <v>2419</v>
      </c>
      <c r="F84" s="482">
        <v>2419</v>
      </c>
      <c r="G84" s="482">
        <v>2419</v>
      </c>
      <c r="H84" s="482">
        <v>2419</v>
      </c>
      <c r="I84" s="295">
        <v>2419</v>
      </c>
      <c r="J84" s="265">
        <v>2419</v>
      </c>
      <c r="K84" s="313"/>
      <c r="L84" s="296"/>
      <c r="M84" s="332" t="e">
        <f t="shared" si="14"/>
        <v>#DIV/0!</v>
      </c>
      <c r="N84" s="529"/>
      <c r="O84" s="271"/>
      <c r="P84" s="244"/>
    </row>
    <row r="85" spans="1:16" ht="15.75" customHeight="1" x14ac:dyDescent="0.25">
      <c r="A85" s="244"/>
      <c r="B85" s="346"/>
      <c r="C85" s="563"/>
      <c r="D85" s="725"/>
      <c r="E85" s="316"/>
      <c r="F85" s="317"/>
      <c r="G85" s="316"/>
      <c r="H85" s="726"/>
      <c r="I85" s="318"/>
      <c r="J85" s="276"/>
      <c r="K85" s="316"/>
      <c r="L85" s="317"/>
      <c r="M85" s="316"/>
      <c r="N85" s="726"/>
      <c r="O85" s="318"/>
      <c r="P85" s="244"/>
    </row>
    <row r="86" spans="1:16" ht="15.75" customHeight="1" x14ac:dyDescent="0.25">
      <c r="A86" s="244"/>
      <c r="B86" s="347"/>
      <c r="C86" s="498" t="s">
        <v>37</v>
      </c>
      <c r="D86" s="727">
        <f>SUM(D87:D94)</f>
        <v>3781770.5</v>
      </c>
      <c r="E86" s="348"/>
      <c r="F86" s="322">
        <f>SUM(F87:F94)</f>
        <v>0</v>
      </c>
      <c r="G86" s="321" t="e">
        <f>F86/F$29</f>
        <v>#DIV/0!</v>
      </c>
      <c r="H86" s="728">
        <f>SUM(H87:H94)</f>
        <v>0</v>
      </c>
      <c r="I86" s="349"/>
      <c r="J86" s="257">
        <f>SUM(J87:J94)</f>
        <v>3797461.05</v>
      </c>
      <c r="K86" s="348"/>
      <c r="L86" s="322">
        <f>SUM(L87:L94)</f>
        <v>0</v>
      </c>
      <c r="M86" s="321" t="e">
        <f>L86/L$29</f>
        <v>#DIV/0!</v>
      </c>
      <c r="N86" s="728">
        <f>SUM(N87:N94)</f>
        <v>0</v>
      </c>
      <c r="O86" s="349"/>
      <c r="P86" s="246"/>
    </row>
    <row r="87" spans="1:16" ht="15.75" customHeight="1" x14ac:dyDescent="0.25">
      <c r="A87" s="244"/>
      <c r="B87" s="371"/>
      <c r="C87" s="393" t="s">
        <v>224</v>
      </c>
      <c r="D87" s="729"/>
      <c r="E87" s="372"/>
      <c r="F87" s="327"/>
      <c r="G87" s="326" t="e">
        <f t="shared" ref="G87:G88" si="15">F87/$F$29</f>
        <v>#DIV/0!</v>
      </c>
      <c r="H87" s="720"/>
      <c r="I87" s="373"/>
      <c r="J87" s="265"/>
      <c r="K87" s="372"/>
      <c r="L87" s="327"/>
      <c r="M87" s="326" t="e">
        <f t="shared" ref="M87:M88" si="16">L87/$F$29</f>
        <v>#DIV/0!</v>
      </c>
      <c r="N87" s="720"/>
      <c r="O87" s="373"/>
      <c r="P87" s="244"/>
    </row>
    <row r="88" spans="1:16" ht="15.75" customHeight="1" x14ac:dyDescent="0.25">
      <c r="A88" s="244"/>
      <c r="B88" s="331"/>
      <c r="C88" s="339" t="s">
        <v>225</v>
      </c>
      <c r="D88" s="482">
        <v>2800450.5</v>
      </c>
      <c r="E88" s="313"/>
      <c r="F88" s="296"/>
      <c r="G88" s="332" t="e">
        <f t="shared" si="15"/>
        <v>#DIV/0!</v>
      </c>
      <c r="H88" s="529"/>
      <c r="I88" s="271"/>
      <c r="J88" s="265">
        <v>2798259.75</v>
      </c>
      <c r="K88" s="313"/>
      <c r="L88" s="296"/>
      <c r="M88" s="332" t="e">
        <f t="shared" si="16"/>
        <v>#DIV/0!</v>
      </c>
      <c r="N88" s="529"/>
      <c r="O88" s="271"/>
      <c r="P88" s="244"/>
    </row>
    <row r="89" spans="1:16" ht="15.75" customHeight="1" x14ac:dyDescent="0.25">
      <c r="A89" s="244"/>
      <c r="B89" s="331"/>
      <c r="C89" s="339" t="s">
        <v>337</v>
      </c>
      <c r="D89" s="482">
        <v>663750</v>
      </c>
      <c r="E89" s="313"/>
      <c r="F89" s="296"/>
      <c r="G89" s="332"/>
      <c r="H89" s="529"/>
      <c r="I89" s="271"/>
      <c r="J89" s="265">
        <f>562500*1.18</f>
        <v>663750</v>
      </c>
      <c r="K89" s="313"/>
      <c r="L89" s="296"/>
      <c r="M89" s="332"/>
      <c r="N89" s="529"/>
      <c r="O89" s="271"/>
      <c r="P89" s="244"/>
    </row>
    <row r="90" spans="1:16" ht="15.75" customHeight="1" x14ac:dyDescent="0.25">
      <c r="A90" s="244"/>
      <c r="B90" s="331"/>
      <c r="C90" s="339" t="s">
        <v>338</v>
      </c>
      <c r="D90" s="482"/>
      <c r="E90" s="313"/>
      <c r="F90" s="296"/>
      <c r="G90" s="332" t="e">
        <f t="shared" ref="G90:G94" si="17">F90/$F$29</f>
        <v>#DIV/0!</v>
      </c>
      <c r="H90" s="529"/>
      <c r="I90" s="271"/>
      <c r="J90" s="265">
        <f>228280+9960</f>
        <v>238240</v>
      </c>
      <c r="K90" s="313"/>
      <c r="L90" s="296"/>
      <c r="M90" s="332" t="e">
        <f t="shared" ref="M90:M94" si="18">L90/$F$29</f>
        <v>#DIV/0!</v>
      </c>
      <c r="N90" s="529"/>
      <c r="O90" s="271"/>
      <c r="P90" s="244"/>
    </row>
    <row r="91" spans="1:16" ht="15.75" customHeight="1" x14ac:dyDescent="0.25">
      <c r="A91" s="244"/>
      <c r="B91" s="331"/>
      <c r="C91" s="339" t="s">
        <v>228</v>
      </c>
      <c r="D91" s="482">
        <v>234179</v>
      </c>
      <c r="E91" s="313"/>
      <c r="F91" s="296"/>
      <c r="G91" s="332" t="e">
        <f t="shared" si="17"/>
        <v>#DIV/0!</v>
      </c>
      <c r="H91" s="529"/>
      <c r="I91" s="271"/>
      <c r="J91" s="265">
        <v>5395.3</v>
      </c>
      <c r="K91" s="313"/>
      <c r="L91" s="296"/>
      <c r="M91" s="332" t="e">
        <f t="shared" si="18"/>
        <v>#DIV/0!</v>
      </c>
      <c r="N91" s="529"/>
      <c r="O91" s="271"/>
      <c r="P91" s="244"/>
    </row>
    <row r="92" spans="1:16" ht="15.75" customHeight="1" x14ac:dyDescent="0.25">
      <c r="A92" s="244"/>
      <c r="B92" s="331"/>
      <c r="C92" s="339" t="s">
        <v>229</v>
      </c>
      <c r="D92" s="482">
        <v>40000</v>
      </c>
      <c r="E92" s="313"/>
      <c r="F92" s="296"/>
      <c r="G92" s="332" t="e">
        <f t="shared" si="17"/>
        <v>#DIV/0!</v>
      </c>
      <c r="H92" s="529"/>
      <c r="I92" s="271"/>
      <c r="J92" s="265">
        <v>40000</v>
      </c>
      <c r="K92" s="313"/>
      <c r="L92" s="296"/>
      <c r="M92" s="332" t="e">
        <f t="shared" si="18"/>
        <v>#DIV/0!</v>
      </c>
      <c r="N92" s="529"/>
      <c r="O92" s="271"/>
      <c r="P92" s="244"/>
    </row>
    <row r="93" spans="1:16" ht="15.75" customHeight="1" x14ac:dyDescent="0.25">
      <c r="A93" s="244"/>
      <c r="B93" s="331"/>
      <c r="C93" s="339" t="s">
        <v>230</v>
      </c>
      <c r="D93" s="482">
        <v>35546</v>
      </c>
      <c r="E93" s="313"/>
      <c r="F93" s="296"/>
      <c r="G93" s="332" t="e">
        <f t="shared" si="17"/>
        <v>#DIV/0!</v>
      </c>
      <c r="H93" s="529"/>
      <c r="I93" s="271"/>
      <c r="J93" s="265">
        <v>51816</v>
      </c>
      <c r="K93" s="313"/>
      <c r="L93" s="296"/>
      <c r="M93" s="332" t="e">
        <f t="shared" si="18"/>
        <v>#DIV/0!</v>
      </c>
      <c r="N93" s="529"/>
      <c r="O93" s="271"/>
      <c r="P93" s="244"/>
    </row>
    <row r="94" spans="1:16" ht="15.75" customHeight="1" x14ac:dyDescent="0.25">
      <c r="A94" s="244"/>
      <c r="B94" s="331"/>
      <c r="C94" s="339" t="s">
        <v>231</v>
      </c>
      <c r="D94" s="482">
        <v>7845</v>
      </c>
      <c r="E94" s="313"/>
      <c r="F94" s="296"/>
      <c r="G94" s="332" t="e">
        <f t="shared" si="17"/>
        <v>#DIV/0!</v>
      </c>
      <c r="H94" s="529"/>
      <c r="I94" s="271"/>
      <c r="J94" s="265">
        <v>0</v>
      </c>
      <c r="K94" s="313"/>
      <c r="L94" s="296"/>
      <c r="M94" s="332" t="e">
        <f t="shared" si="18"/>
        <v>#DIV/0!</v>
      </c>
      <c r="N94" s="529"/>
      <c r="O94" s="271"/>
      <c r="P94" s="244"/>
    </row>
    <row r="95" spans="1:16" ht="15.75" customHeight="1" x14ac:dyDescent="0.25">
      <c r="A95" s="244"/>
      <c r="B95" s="331"/>
      <c r="C95" s="423" t="s">
        <v>232</v>
      </c>
      <c r="D95" s="482"/>
      <c r="E95" s="313"/>
      <c r="F95" s="296"/>
      <c r="G95" s="313"/>
      <c r="H95" s="529"/>
      <c r="I95" s="271"/>
      <c r="J95" s="265"/>
      <c r="K95" s="313"/>
      <c r="L95" s="296"/>
      <c r="M95" s="313"/>
      <c r="N95" s="529"/>
      <c r="O95" s="271"/>
      <c r="P95" s="244"/>
    </row>
    <row r="96" spans="1:16" ht="15.75" customHeight="1" x14ac:dyDescent="0.25">
      <c r="A96" s="244"/>
      <c r="B96" s="346"/>
      <c r="C96" s="563"/>
      <c r="D96" s="725"/>
      <c r="E96" s="316"/>
      <c r="F96" s="317"/>
      <c r="G96" s="316"/>
      <c r="H96" s="726"/>
      <c r="I96" s="318"/>
      <c r="J96" s="265"/>
      <c r="K96" s="316"/>
      <c r="L96" s="317"/>
      <c r="M96" s="316"/>
      <c r="N96" s="726"/>
      <c r="O96" s="318"/>
      <c r="P96" s="244"/>
    </row>
    <row r="97" spans="1:16" ht="15.75" customHeight="1" x14ac:dyDescent="0.25">
      <c r="A97" s="244"/>
      <c r="B97" s="497"/>
      <c r="C97" s="498" t="s">
        <v>38</v>
      </c>
      <c r="D97" s="727">
        <f>SUM(D98)</f>
        <v>34858.620000000003</v>
      </c>
      <c r="E97" s="476"/>
      <c r="F97" s="566">
        <f>SUM(F98)</f>
        <v>0</v>
      </c>
      <c r="G97" s="565" t="e">
        <f>F97/F$29</f>
        <v>#DIV/0!</v>
      </c>
      <c r="H97" s="742" t="e">
        <f>SUM(#REF!)</f>
        <v>#REF!</v>
      </c>
      <c r="I97" s="743"/>
      <c r="J97" s="257">
        <f>SUM(J98)</f>
        <v>2027</v>
      </c>
      <c r="K97" s="476"/>
      <c r="L97" s="566">
        <f>SUM(L98)</f>
        <v>0</v>
      </c>
      <c r="M97" s="565" t="e">
        <f>L97/L$29</f>
        <v>#DIV/0!</v>
      </c>
      <c r="N97" s="742" t="e">
        <f>SUM(#REF!)</f>
        <v>#REF!</v>
      </c>
      <c r="O97" s="743"/>
      <c r="P97" s="246"/>
    </row>
    <row r="98" spans="1:16" ht="15.75" customHeight="1" x14ac:dyDescent="0.25">
      <c r="A98" s="244"/>
      <c r="B98" s="371"/>
      <c r="C98" s="393" t="s">
        <v>339</v>
      </c>
      <c r="D98" s="729">
        <v>34858.620000000003</v>
      </c>
      <c r="E98" s="372"/>
      <c r="F98" s="327"/>
      <c r="G98" s="326"/>
      <c r="H98" s="720"/>
      <c r="I98" s="373"/>
      <c r="J98" s="261">
        <v>2027</v>
      </c>
      <c r="K98" s="372"/>
      <c r="L98" s="327"/>
      <c r="M98" s="326"/>
      <c r="N98" s="720"/>
      <c r="O98" s="373"/>
      <c r="P98" s="244"/>
    </row>
    <row r="99" spans="1:16" ht="15.75" customHeight="1" x14ac:dyDescent="0.25">
      <c r="A99" s="244"/>
      <c r="B99" s="346"/>
      <c r="C99" s="404"/>
      <c r="D99" s="725"/>
      <c r="E99" s="316"/>
      <c r="F99" s="317"/>
      <c r="G99" s="316"/>
      <c r="H99" s="726"/>
      <c r="I99" s="318"/>
      <c r="J99" s="276"/>
      <c r="K99" s="316"/>
      <c r="L99" s="317"/>
      <c r="M99" s="316"/>
      <c r="N99" s="726"/>
      <c r="O99" s="318"/>
      <c r="P99" s="244"/>
    </row>
    <row r="100" spans="1:16" ht="15.75" customHeight="1" x14ac:dyDescent="0.25">
      <c r="A100" s="244"/>
      <c r="B100" s="497"/>
      <c r="C100" s="498" t="s">
        <v>238</v>
      </c>
      <c r="D100" s="727">
        <f>SUM(D101:D102)</f>
        <v>3146.6666666666665</v>
      </c>
      <c r="E100" s="476"/>
      <c r="F100" s="566">
        <f>SUM(F101:F102)</f>
        <v>3146.6666666666665</v>
      </c>
      <c r="G100" s="565" t="e">
        <f>F100/F$29</f>
        <v>#DIV/0!</v>
      </c>
      <c r="H100" s="742">
        <f>SUM(H101:H102)</f>
        <v>3146.6666666666665</v>
      </c>
      <c r="I100" s="743"/>
      <c r="J100" s="257">
        <f>SUM(J101:J102)</f>
        <v>3146.6666666666665</v>
      </c>
      <c r="K100" s="476"/>
      <c r="L100" s="566">
        <f>SUM(L101:L102)</f>
        <v>0</v>
      </c>
      <c r="M100" s="565" t="e">
        <f>L100/L$29</f>
        <v>#DIV/0!</v>
      </c>
      <c r="N100" s="742">
        <f>SUM(N101:N102)</f>
        <v>0</v>
      </c>
      <c r="O100" s="743"/>
      <c r="P100" s="246"/>
    </row>
    <row r="101" spans="1:16" ht="15.75" customHeight="1" x14ac:dyDescent="0.25">
      <c r="A101" s="244"/>
      <c r="B101" s="371"/>
      <c r="C101" s="393" t="s">
        <v>239</v>
      </c>
      <c r="D101" s="729"/>
      <c r="E101" s="372"/>
      <c r="F101" s="327"/>
      <c r="G101" s="372"/>
      <c r="H101" s="720"/>
      <c r="I101" s="373"/>
      <c r="J101" s="261"/>
      <c r="K101" s="372"/>
      <c r="L101" s="327"/>
      <c r="M101" s="372"/>
      <c r="N101" s="720"/>
      <c r="O101" s="373"/>
      <c r="P101" s="244"/>
    </row>
    <row r="102" spans="1:16" ht="15.75" customHeight="1" x14ac:dyDescent="0.25">
      <c r="A102" s="244"/>
      <c r="B102" s="331"/>
      <c r="C102" s="339" t="s">
        <v>301</v>
      </c>
      <c r="D102" s="482">
        <v>3146.6666666666665</v>
      </c>
      <c r="E102" s="482">
        <v>3146.6666666666665</v>
      </c>
      <c r="F102" s="482">
        <v>3146.6666666666665</v>
      </c>
      <c r="G102" s="482">
        <v>3146.6666666666665</v>
      </c>
      <c r="H102" s="482">
        <v>3146.6666666666665</v>
      </c>
      <c r="I102" s="295">
        <v>3146.6666666666665</v>
      </c>
      <c r="J102" s="265">
        <v>3146.6666666666665</v>
      </c>
      <c r="K102" s="313"/>
      <c r="L102" s="296"/>
      <c r="M102" s="332" t="e">
        <f>L102/L$29</f>
        <v>#DIV/0!</v>
      </c>
      <c r="N102" s="529"/>
      <c r="O102" s="271"/>
      <c r="P102" s="244"/>
    </row>
    <row r="103" spans="1:16" ht="15.75" customHeight="1" x14ac:dyDescent="0.25">
      <c r="A103" s="244"/>
      <c r="B103" s="346"/>
      <c r="C103" s="404"/>
      <c r="D103" s="725"/>
      <c r="E103" s="316"/>
      <c r="F103" s="317"/>
      <c r="G103" s="316"/>
      <c r="H103" s="726"/>
      <c r="I103" s="318"/>
      <c r="J103" s="276"/>
      <c r="K103" s="316"/>
      <c r="L103" s="317"/>
      <c r="M103" s="316"/>
      <c r="N103" s="726"/>
      <c r="O103" s="318"/>
      <c r="P103" s="244"/>
    </row>
    <row r="104" spans="1:16" ht="15.75" customHeight="1" x14ac:dyDescent="0.25">
      <c r="A104" s="244"/>
      <c r="B104" s="347"/>
      <c r="C104" s="498" t="s">
        <v>40</v>
      </c>
      <c r="D104" s="727">
        <f>SUM(D105:D125)</f>
        <v>630713.36333333328</v>
      </c>
      <c r="E104" s="348"/>
      <c r="F104" s="322">
        <f>SUM(F105:F125)</f>
        <v>212632.08333333334</v>
      </c>
      <c r="G104" s="321" t="e">
        <f t="shared" ref="G104:G106" si="19">F104/F$29</f>
        <v>#DIV/0!</v>
      </c>
      <c r="H104" s="728">
        <f>SUM(H105:H125)</f>
        <v>212632.08333333334</v>
      </c>
      <c r="I104" s="349"/>
      <c r="J104" s="257">
        <f>SUM(J105:J125)</f>
        <v>363495.08333333337</v>
      </c>
      <c r="K104" s="348"/>
      <c r="L104" s="322">
        <f>SUM(L105:L125)</f>
        <v>0</v>
      </c>
      <c r="M104" s="321" t="e">
        <f t="shared" ref="M104:M110" si="20">L104/L$29</f>
        <v>#DIV/0!</v>
      </c>
      <c r="N104" s="728">
        <f>SUM(N105:N125)</f>
        <v>0</v>
      </c>
      <c r="O104" s="349"/>
      <c r="P104" s="246"/>
    </row>
    <row r="105" spans="1:16" ht="15.75" customHeight="1" x14ac:dyDescent="0.25">
      <c r="A105" s="244"/>
      <c r="B105" s="371"/>
      <c r="C105" s="393" t="s">
        <v>241</v>
      </c>
      <c r="D105" s="729">
        <v>0</v>
      </c>
      <c r="E105" s="372"/>
      <c r="F105" s="327"/>
      <c r="G105" s="326" t="e">
        <f t="shared" si="19"/>
        <v>#DIV/0!</v>
      </c>
      <c r="H105" s="720"/>
      <c r="I105" s="373"/>
      <c r="J105" s="261">
        <v>0</v>
      </c>
      <c r="K105" s="372"/>
      <c r="L105" s="327"/>
      <c r="M105" s="326" t="e">
        <f t="shared" si="20"/>
        <v>#DIV/0!</v>
      </c>
      <c r="N105" s="720"/>
      <c r="O105" s="373"/>
      <c r="P105" s="244"/>
    </row>
    <row r="106" spans="1:16" ht="15.75" customHeight="1" x14ac:dyDescent="0.25">
      <c r="A106" s="244"/>
      <c r="B106" s="331"/>
      <c r="C106" s="339" t="s">
        <v>242</v>
      </c>
      <c r="D106" s="482">
        <v>31088</v>
      </c>
      <c r="E106" s="313"/>
      <c r="F106" s="296"/>
      <c r="G106" s="332" t="e">
        <f t="shared" si="19"/>
        <v>#DIV/0!</v>
      </c>
      <c r="H106" s="529"/>
      <c r="I106" s="271"/>
      <c r="J106" s="265">
        <v>0</v>
      </c>
      <c r="K106" s="313"/>
      <c r="L106" s="296"/>
      <c r="M106" s="332" t="e">
        <f t="shared" si="20"/>
        <v>#DIV/0!</v>
      </c>
      <c r="N106" s="529"/>
      <c r="O106" s="271"/>
      <c r="P106" s="244"/>
    </row>
    <row r="107" spans="1:16" ht="15.75" customHeight="1" x14ac:dyDescent="0.25">
      <c r="A107" s="244"/>
      <c r="B107" s="331"/>
      <c r="C107" s="339" t="s">
        <v>243</v>
      </c>
      <c r="D107" s="482">
        <v>132398.75</v>
      </c>
      <c r="E107" s="482">
        <v>132398.75</v>
      </c>
      <c r="F107" s="482">
        <v>132398.75</v>
      </c>
      <c r="G107" s="482">
        <v>132398.75</v>
      </c>
      <c r="H107" s="482">
        <v>132398.75</v>
      </c>
      <c r="I107" s="295">
        <v>132398.75</v>
      </c>
      <c r="J107" s="265">
        <v>132398.75</v>
      </c>
      <c r="K107" s="313"/>
      <c r="L107" s="296"/>
      <c r="M107" s="332" t="e">
        <f t="shared" si="20"/>
        <v>#DIV/0!</v>
      </c>
      <c r="N107" s="529"/>
      <c r="O107" s="271"/>
      <c r="P107" s="244"/>
    </row>
    <row r="108" spans="1:16" ht="15.75" customHeight="1" x14ac:dyDescent="0.25">
      <c r="A108" s="244"/>
      <c r="B108" s="331"/>
      <c r="C108" s="339" t="s">
        <v>244</v>
      </c>
      <c r="D108" s="482">
        <v>35000</v>
      </c>
      <c r="E108" s="482">
        <v>35000</v>
      </c>
      <c r="F108" s="482">
        <v>35000</v>
      </c>
      <c r="G108" s="482">
        <v>35000</v>
      </c>
      <c r="H108" s="482">
        <v>35000</v>
      </c>
      <c r="I108" s="295">
        <v>35000</v>
      </c>
      <c r="J108" s="265">
        <v>35000</v>
      </c>
      <c r="K108" s="313"/>
      <c r="L108" s="296"/>
      <c r="M108" s="332" t="e">
        <f t="shared" si="20"/>
        <v>#DIV/0!</v>
      </c>
      <c r="N108" s="529"/>
      <c r="O108" s="271"/>
      <c r="P108" s="244"/>
    </row>
    <row r="109" spans="1:16" ht="15.75" customHeight="1" x14ac:dyDescent="0.25">
      <c r="A109" s="244"/>
      <c r="B109" s="331"/>
      <c r="C109" s="339" t="s">
        <v>290</v>
      </c>
      <c r="D109" s="482">
        <v>0</v>
      </c>
      <c r="E109" s="313"/>
      <c r="F109" s="296"/>
      <c r="G109" s="332" t="e">
        <f t="shared" ref="G109:G110" si="21">F109/F$29</f>
        <v>#DIV/0!</v>
      </c>
      <c r="H109" s="529"/>
      <c r="I109" s="271"/>
      <c r="J109" s="265">
        <v>0</v>
      </c>
      <c r="K109" s="313"/>
      <c r="L109" s="296"/>
      <c r="M109" s="332" t="e">
        <f t="shared" si="20"/>
        <v>#DIV/0!</v>
      </c>
      <c r="N109" s="529"/>
      <c r="O109" s="271"/>
      <c r="P109" s="244"/>
    </row>
    <row r="110" spans="1:16" ht="15.75" customHeight="1" x14ac:dyDescent="0.25">
      <c r="A110" s="244"/>
      <c r="B110" s="331"/>
      <c r="C110" s="339" t="s">
        <v>247</v>
      </c>
      <c r="D110" s="482">
        <v>155466</v>
      </c>
      <c r="E110" s="313"/>
      <c r="F110" s="296"/>
      <c r="G110" s="332" t="e">
        <f t="shared" si="21"/>
        <v>#DIV/0!</v>
      </c>
      <c r="H110" s="529"/>
      <c r="I110" s="271"/>
      <c r="J110" s="265">
        <v>39121</v>
      </c>
      <c r="K110" s="313"/>
      <c r="L110" s="296"/>
      <c r="M110" s="332" t="e">
        <f t="shared" si="20"/>
        <v>#DIV/0!</v>
      </c>
      <c r="N110" s="529"/>
      <c r="O110" s="271"/>
      <c r="P110" s="244"/>
    </row>
    <row r="111" spans="1:16" ht="15.75" customHeight="1" x14ac:dyDescent="0.25">
      <c r="A111" s="244"/>
      <c r="B111" s="331"/>
      <c r="C111" s="339" t="s">
        <v>246</v>
      </c>
      <c r="D111" s="482">
        <v>45233.333333333336</v>
      </c>
      <c r="E111" s="482">
        <v>45233.333333333336</v>
      </c>
      <c r="F111" s="482">
        <v>45233.333333333336</v>
      </c>
      <c r="G111" s="482">
        <v>45233.333333333336</v>
      </c>
      <c r="H111" s="482">
        <v>45233.333333333336</v>
      </c>
      <c r="I111" s="295">
        <v>45233.333333333336</v>
      </c>
      <c r="J111" s="265">
        <v>45233.333333333336</v>
      </c>
      <c r="K111" s="313"/>
      <c r="L111" s="296"/>
      <c r="M111" s="332"/>
      <c r="N111" s="529"/>
      <c r="O111" s="271"/>
      <c r="P111" s="244"/>
    </row>
    <row r="112" spans="1:16" ht="15.75" customHeight="1" x14ac:dyDescent="0.25">
      <c r="A112" s="244"/>
      <c r="B112" s="331"/>
      <c r="C112" s="339" t="s">
        <v>249</v>
      </c>
      <c r="D112" s="482">
        <v>0</v>
      </c>
      <c r="E112" s="313"/>
      <c r="F112" s="296"/>
      <c r="G112" s="332" t="e">
        <f>F112/F$29</f>
        <v>#DIV/0!</v>
      </c>
      <c r="H112" s="529"/>
      <c r="I112" s="271"/>
      <c r="J112" s="265">
        <v>3336</v>
      </c>
      <c r="K112" s="313"/>
      <c r="L112" s="296"/>
      <c r="M112" s="332" t="e">
        <f>L112/L$29</f>
        <v>#DIV/0!</v>
      </c>
      <c r="N112" s="529"/>
      <c r="O112" s="271"/>
      <c r="P112" s="244"/>
    </row>
    <row r="113" spans="1:16" ht="15.75" customHeight="1" x14ac:dyDescent="0.25">
      <c r="A113" s="244"/>
      <c r="B113" s="331"/>
      <c r="C113" s="339"/>
      <c r="D113" s="482"/>
      <c r="E113" s="313"/>
      <c r="F113" s="296"/>
      <c r="G113" s="332"/>
      <c r="H113" s="529"/>
      <c r="I113" s="271"/>
      <c r="J113" s="265"/>
      <c r="K113" s="313"/>
      <c r="L113" s="296"/>
      <c r="M113" s="332"/>
      <c r="N113" s="529"/>
      <c r="O113" s="271"/>
      <c r="P113" s="244"/>
    </row>
    <row r="114" spans="1:16" ht="15.75" customHeight="1" x14ac:dyDescent="0.25">
      <c r="A114" s="244"/>
      <c r="B114" s="331"/>
      <c r="C114" s="339" t="s">
        <v>250</v>
      </c>
      <c r="D114" s="482">
        <v>38290</v>
      </c>
      <c r="E114" s="313"/>
      <c r="F114" s="296"/>
      <c r="G114" s="332" t="e">
        <f>F114/F$29</f>
        <v>#DIV/0!</v>
      </c>
      <c r="H114" s="529"/>
      <c r="I114" s="271"/>
      <c r="J114" s="265">
        <v>45321</v>
      </c>
      <c r="K114" s="313"/>
      <c r="L114" s="296"/>
      <c r="M114" s="332" t="e">
        <f>L114/L$29</f>
        <v>#DIV/0!</v>
      </c>
      <c r="N114" s="529"/>
      <c r="O114" s="271"/>
      <c r="P114" s="244"/>
    </row>
    <row r="115" spans="1:16" ht="15.75" customHeight="1" x14ac:dyDescent="0.25">
      <c r="A115" s="244"/>
      <c r="B115" s="331"/>
      <c r="C115" s="339"/>
      <c r="D115" s="482"/>
      <c r="E115" s="313"/>
      <c r="F115" s="296"/>
      <c r="G115" s="332"/>
      <c r="H115" s="529"/>
      <c r="I115" s="271"/>
      <c r="J115" s="265"/>
      <c r="K115" s="313"/>
      <c r="L115" s="296"/>
      <c r="M115" s="332"/>
      <c r="N115" s="529"/>
      <c r="O115" s="271"/>
      <c r="P115" s="244"/>
    </row>
    <row r="116" spans="1:16" ht="15.75" customHeight="1" x14ac:dyDescent="0.25">
      <c r="A116" s="244"/>
      <c r="B116" s="331"/>
      <c r="C116" s="339" t="s">
        <v>251</v>
      </c>
      <c r="D116" s="482">
        <v>193237.28</v>
      </c>
      <c r="E116" s="313"/>
      <c r="F116" s="296"/>
      <c r="G116" s="332" t="e">
        <f>F116/F$29</f>
        <v>#DIV/0!</v>
      </c>
      <c r="H116" s="529"/>
      <c r="I116" s="271"/>
      <c r="J116" s="265">
        <v>63085</v>
      </c>
      <c r="K116" s="313"/>
      <c r="L116" s="296"/>
      <c r="M116" s="332" t="e">
        <f>L116/L$29</f>
        <v>#DIV/0!</v>
      </c>
      <c r="N116" s="529"/>
      <c r="O116" s="271"/>
      <c r="P116" s="244"/>
    </row>
    <row r="117" spans="1:16" ht="15.75" customHeight="1" x14ac:dyDescent="0.25">
      <c r="A117" s="244"/>
      <c r="B117" s="331"/>
      <c r="C117" s="339"/>
      <c r="D117" s="482"/>
      <c r="E117" s="313"/>
      <c r="F117" s="296"/>
      <c r="G117" s="332"/>
      <c r="H117" s="529"/>
      <c r="I117" s="271"/>
      <c r="J117" s="265"/>
      <c r="K117" s="313"/>
      <c r="L117" s="296"/>
      <c r="M117" s="332"/>
      <c r="N117" s="529"/>
      <c r="O117" s="271"/>
      <c r="P117" s="244"/>
    </row>
    <row r="118" spans="1:16" ht="15.75" customHeight="1" x14ac:dyDescent="0.25">
      <c r="A118" s="244"/>
      <c r="B118" s="331"/>
      <c r="C118" s="339" t="s">
        <v>252</v>
      </c>
      <c r="D118" s="482">
        <v>0</v>
      </c>
      <c r="E118" s="313"/>
      <c r="F118" s="296"/>
      <c r="G118" s="332" t="e">
        <f>F118/F$29</f>
        <v>#DIV/0!</v>
      </c>
      <c r="H118" s="529"/>
      <c r="I118" s="271"/>
      <c r="J118" s="265">
        <v>0</v>
      </c>
      <c r="K118" s="313"/>
      <c r="L118" s="296"/>
      <c r="M118" s="332" t="e">
        <f>L118/L$29</f>
        <v>#DIV/0!</v>
      </c>
      <c r="N118" s="529"/>
      <c r="O118" s="271"/>
      <c r="P118" s="244"/>
    </row>
    <row r="119" spans="1:16" ht="15.75" customHeight="1" x14ac:dyDescent="0.25">
      <c r="A119" s="244"/>
      <c r="B119" s="331"/>
      <c r="C119" s="339"/>
      <c r="D119" s="482"/>
      <c r="E119" s="313"/>
      <c r="F119" s="296"/>
      <c r="G119" s="332"/>
      <c r="H119" s="529"/>
      <c r="I119" s="271"/>
      <c r="J119" s="265"/>
      <c r="K119" s="313"/>
      <c r="L119" s="296"/>
      <c r="M119" s="332"/>
      <c r="N119" s="529"/>
      <c r="O119" s="271"/>
      <c r="P119" s="244"/>
    </row>
    <row r="120" spans="1:16" ht="15.75" customHeight="1" x14ac:dyDescent="0.25">
      <c r="A120" s="244"/>
      <c r="B120" s="331"/>
      <c r="C120" s="339" t="s">
        <v>303</v>
      </c>
      <c r="D120" s="482">
        <v>0</v>
      </c>
      <c r="E120" s="313"/>
      <c r="F120" s="296"/>
      <c r="G120" s="332" t="e">
        <f>F120/F$29</f>
        <v>#DIV/0!</v>
      </c>
      <c r="H120" s="529"/>
      <c r="I120" s="271"/>
      <c r="J120" s="265">
        <v>0</v>
      </c>
      <c r="K120" s="313"/>
      <c r="L120" s="296"/>
      <c r="M120" s="332" t="e">
        <f>L120/L$29</f>
        <v>#DIV/0!</v>
      </c>
      <c r="N120" s="529"/>
      <c r="O120" s="271"/>
      <c r="P120" s="244"/>
    </row>
    <row r="121" spans="1:16" ht="15.75" customHeight="1" x14ac:dyDescent="0.25">
      <c r="A121" s="244"/>
      <c r="B121" s="331"/>
      <c r="C121" s="339"/>
      <c r="D121" s="482"/>
      <c r="E121" s="313"/>
      <c r="F121" s="296"/>
      <c r="G121" s="332"/>
      <c r="H121" s="529"/>
      <c r="I121" s="271"/>
      <c r="J121" s="265"/>
      <c r="K121" s="313"/>
      <c r="L121" s="296"/>
      <c r="M121" s="332"/>
      <c r="N121" s="529"/>
      <c r="O121" s="271"/>
      <c r="P121" s="244"/>
    </row>
    <row r="122" spans="1:16" ht="15.75" customHeight="1" x14ac:dyDescent="0.25">
      <c r="A122" s="244"/>
      <c r="B122" s="331"/>
      <c r="C122" s="339" t="s">
        <v>340</v>
      </c>
      <c r="D122" s="482">
        <v>0</v>
      </c>
      <c r="E122" s="313"/>
      <c r="F122" s="296"/>
      <c r="G122" s="332"/>
      <c r="H122" s="529"/>
      <c r="I122" s="271"/>
      <c r="J122" s="265">
        <v>0</v>
      </c>
      <c r="K122" s="313"/>
      <c r="L122" s="296"/>
      <c r="M122" s="332"/>
      <c r="N122" s="529"/>
      <c r="O122" s="271"/>
      <c r="P122" s="244"/>
    </row>
    <row r="123" spans="1:16" ht="15.75" customHeight="1" x14ac:dyDescent="0.25">
      <c r="A123" s="244"/>
      <c r="B123" s="331"/>
      <c r="C123" s="339"/>
      <c r="D123" s="482"/>
      <c r="E123" s="313"/>
      <c r="F123" s="296"/>
      <c r="G123" s="332"/>
      <c r="H123" s="529"/>
      <c r="I123" s="271"/>
      <c r="J123" s="265"/>
      <c r="K123" s="313"/>
      <c r="L123" s="296"/>
      <c r="M123" s="332"/>
      <c r="N123" s="529"/>
      <c r="O123" s="271"/>
      <c r="P123" s="244"/>
    </row>
    <row r="124" spans="1:16" ht="15.75" customHeight="1" x14ac:dyDescent="0.25">
      <c r="A124" s="244"/>
      <c r="B124" s="331"/>
      <c r="C124" s="339" t="s">
        <v>291</v>
      </c>
      <c r="D124" s="482"/>
      <c r="E124" s="313"/>
      <c r="F124" s="296"/>
      <c r="G124" s="332"/>
      <c r="H124" s="529"/>
      <c r="I124" s="271"/>
      <c r="J124" s="265"/>
      <c r="K124" s="313"/>
      <c r="L124" s="296"/>
      <c r="M124" s="332"/>
      <c r="N124" s="529"/>
      <c r="O124" s="271"/>
      <c r="P124" s="244"/>
    </row>
    <row r="125" spans="1:16" ht="15.75" customHeight="1" x14ac:dyDescent="0.25">
      <c r="A125" s="244"/>
      <c r="B125" s="331"/>
      <c r="C125" s="339"/>
      <c r="D125" s="482"/>
      <c r="E125" s="313"/>
      <c r="F125" s="296"/>
      <c r="G125" s="332"/>
      <c r="H125" s="529"/>
      <c r="I125" s="271"/>
      <c r="J125" s="265"/>
      <c r="K125" s="313"/>
      <c r="L125" s="296"/>
      <c r="M125" s="332"/>
      <c r="N125" s="529"/>
      <c r="O125" s="271"/>
      <c r="P125" s="244"/>
    </row>
    <row r="126" spans="1:16" ht="15.75" customHeight="1" x14ac:dyDescent="0.25">
      <c r="A126" s="244"/>
      <c r="B126" s="346"/>
      <c r="C126" s="457"/>
      <c r="D126" s="725"/>
      <c r="E126" s="316"/>
      <c r="F126" s="317"/>
      <c r="G126" s="316"/>
      <c r="H126" s="726"/>
      <c r="I126" s="318"/>
      <c r="J126" s="276"/>
      <c r="K126" s="316"/>
      <c r="L126" s="317"/>
      <c r="M126" s="316"/>
      <c r="N126" s="726"/>
      <c r="O126" s="318"/>
      <c r="P126" s="244"/>
    </row>
    <row r="127" spans="1:16" ht="15.75" customHeight="1" x14ac:dyDescent="0.25">
      <c r="A127" s="244"/>
      <c r="B127" s="497"/>
      <c r="C127" s="498" t="s">
        <v>41</v>
      </c>
      <c r="D127" s="746">
        <f>SUM(D128:D129)</f>
        <v>8260</v>
      </c>
      <c r="E127" s="476"/>
      <c r="F127" s="566">
        <f>SUM(F128:F129)</f>
        <v>8260</v>
      </c>
      <c r="G127" s="476"/>
      <c r="H127" s="742">
        <f>SUM(H128:H129)</f>
        <v>8260</v>
      </c>
      <c r="I127" s="743"/>
      <c r="J127" s="280">
        <f>SUM(J128:J129)</f>
        <v>8260</v>
      </c>
      <c r="K127" s="476"/>
      <c r="L127" s="566">
        <f>SUM(L128:L129)</f>
        <v>0</v>
      </c>
      <c r="M127" s="476"/>
      <c r="N127" s="742">
        <f>SUM(N128:N129)</f>
        <v>0</v>
      </c>
      <c r="O127" s="743"/>
      <c r="P127" s="246"/>
    </row>
    <row r="128" spans="1:16" ht="15.75" customHeight="1" x14ac:dyDescent="0.25">
      <c r="A128" s="244"/>
      <c r="B128" s="371"/>
      <c r="C128" s="393" t="s">
        <v>341</v>
      </c>
      <c r="D128" s="729"/>
      <c r="E128" s="372"/>
      <c r="F128" s="327"/>
      <c r="G128" s="326" t="e">
        <f>F128/F$29</f>
        <v>#DIV/0!</v>
      </c>
      <c r="H128" s="720"/>
      <c r="I128" s="373"/>
      <c r="J128" s="261"/>
      <c r="K128" s="372"/>
      <c r="L128" s="327"/>
      <c r="M128" s="326" t="e">
        <f t="shared" ref="M128:M129" si="22">L128/L$29</f>
        <v>#DIV/0!</v>
      </c>
      <c r="N128" s="720"/>
      <c r="O128" s="373"/>
      <c r="P128" s="244"/>
    </row>
    <row r="129" spans="1:16" ht="15.75" customHeight="1" x14ac:dyDescent="0.25">
      <c r="A129" s="244"/>
      <c r="B129" s="331"/>
      <c r="C129" s="339" t="s">
        <v>41</v>
      </c>
      <c r="D129" s="482">
        <v>8260</v>
      </c>
      <c r="E129" s="482">
        <v>8260</v>
      </c>
      <c r="F129" s="482">
        <v>8260</v>
      </c>
      <c r="G129" s="482">
        <v>8260</v>
      </c>
      <c r="H129" s="482">
        <v>8260</v>
      </c>
      <c r="I129" s="295">
        <v>8260</v>
      </c>
      <c r="J129" s="265">
        <v>8260</v>
      </c>
      <c r="K129" s="313"/>
      <c r="L129" s="296"/>
      <c r="M129" s="332" t="e">
        <f t="shared" si="22"/>
        <v>#DIV/0!</v>
      </c>
      <c r="N129" s="529"/>
      <c r="O129" s="271"/>
      <c r="P129" s="244"/>
    </row>
    <row r="130" spans="1:16" ht="15.75" customHeight="1" x14ac:dyDescent="0.25">
      <c r="A130" s="244"/>
      <c r="B130" s="346"/>
      <c r="C130" s="404"/>
      <c r="D130" s="725"/>
      <c r="E130" s="316"/>
      <c r="F130" s="317"/>
      <c r="G130" s="316"/>
      <c r="H130" s="726"/>
      <c r="I130" s="318"/>
      <c r="J130" s="276"/>
      <c r="K130" s="316"/>
      <c r="L130" s="317"/>
      <c r="M130" s="316"/>
      <c r="N130" s="726"/>
      <c r="O130" s="318"/>
      <c r="P130" s="244"/>
    </row>
    <row r="131" spans="1:16" ht="15.75" customHeight="1" x14ac:dyDescent="0.25">
      <c r="A131" s="244"/>
      <c r="B131" s="347"/>
      <c r="C131" s="498" t="s">
        <v>42</v>
      </c>
      <c r="D131" s="727">
        <f>SUM(D132:D133)</f>
        <v>0</v>
      </c>
      <c r="E131" s="348"/>
      <c r="F131" s="322">
        <f>SUM(F132:F133)</f>
        <v>0</v>
      </c>
      <c r="G131" s="321" t="e">
        <f>F131/F$29</f>
        <v>#DIV/0!</v>
      </c>
      <c r="H131" s="728">
        <f>SUM(H132:H133)</f>
        <v>0</v>
      </c>
      <c r="I131" s="349"/>
      <c r="J131" s="257">
        <f>SUM(J132:J133)</f>
        <v>0</v>
      </c>
      <c r="K131" s="348"/>
      <c r="L131" s="322">
        <f>SUM(L132:L133)</f>
        <v>0</v>
      </c>
      <c r="M131" s="321" t="e">
        <f>L131/L$29</f>
        <v>#DIV/0!</v>
      </c>
      <c r="N131" s="728">
        <f>SUM(N132:N133)</f>
        <v>0</v>
      </c>
      <c r="O131" s="349"/>
      <c r="P131" s="246"/>
    </row>
    <row r="132" spans="1:16" ht="15.75" customHeight="1" x14ac:dyDescent="0.25">
      <c r="A132" s="244"/>
      <c r="B132" s="371"/>
      <c r="C132" s="393" t="s">
        <v>283</v>
      </c>
      <c r="D132" s="729">
        <v>0</v>
      </c>
      <c r="E132" s="372"/>
      <c r="F132" s="327"/>
      <c r="G132" s="372"/>
      <c r="H132" s="720"/>
      <c r="I132" s="373"/>
      <c r="J132" s="261">
        <v>0</v>
      </c>
      <c r="K132" s="372"/>
      <c r="L132" s="327"/>
      <c r="M132" s="372"/>
      <c r="N132" s="720"/>
      <c r="O132" s="373"/>
      <c r="P132" s="244"/>
    </row>
    <row r="133" spans="1:16" ht="15.75" customHeight="1" x14ac:dyDescent="0.25">
      <c r="A133" s="244"/>
      <c r="B133" s="331"/>
      <c r="C133" s="339" t="s">
        <v>256</v>
      </c>
      <c r="D133" s="482">
        <v>0</v>
      </c>
      <c r="E133" s="313"/>
      <c r="F133" s="296">
        <f>G133*F$29</f>
        <v>0</v>
      </c>
      <c r="G133" s="332">
        <v>5.0000000000000001E-3</v>
      </c>
      <c r="H133" s="529"/>
      <c r="I133" s="271"/>
      <c r="J133" s="265">
        <v>0</v>
      </c>
      <c r="K133" s="313"/>
      <c r="L133" s="296">
        <f>M133*L$29</f>
        <v>0</v>
      </c>
      <c r="M133" s="332">
        <v>5.0000000000000001E-3</v>
      </c>
      <c r="N133" s="529"/>
      <c r="O133" s="271"/>
      <c r="P133" s="244"/>
    </row>
    <row r="134" spans="1:16" ht="15.75" customHeight="1" x14ac:dyDescent="0.25">
      <c r="A134" s="244"/>
      <c r="B134" s="331"/>
      <c r="C134" s="339"/>
      <c r="D134" s="482"/>
      <c r="E134" s="313"/>
      <c r="F134" s="296"/>
      <c r="G134" s="313"/>
      <c r="H134" s="529"/>
      <c r="I134" s="271"/>
      <c r="J134" s="265"/>
      <c r="K134" s="313"/>
      <c r="L134" s="296"/>
      <c r="M134" s="313"/>
      <c r="N134" s="529"/>
      <c r="O134" s="271"/>
      <c r="P134" s="244"/>
    </row>
    <row r="135" spans="1:16" ht="15.75" customHeight="1" x14ac:dyDescent="0.25">
      <c r="A135" s="244"/>
      <c r="B135" s="346"/>
      <c r="C135" s="404"/>
      <c r="D135" s="725"/>
      <c r="E135" s="316"/>
      <c r="F135" s="317"/>
      <c r="G135" s="316"/>
      <c r="H135" s="726"/>
      <c r="I135" s="318"/>
      <c r="J135" s="276"/>
      <c r="K135" s="316"/>
      <c r="L135" s="317"/>
      <c r="M135" s="316"/>
      <c r="N135" s="726"/>
      <c r="O135" s="318"/>
      <c r="P135" s="244"/>
    </row>
    <row r="136" spans="1:16" ht="15.75" customHeight="1" x14ac:dyDescent="0.25">
      <c r="A136" s="244"/>
      <c r="B136" s="347"/>
      <c r="C136" s="410" t="s">
        <v>257</v>
      </c>
      <c r="D136" s="727">
        <f>D62+D65+D73+D80+D86+D97+D100+D104+D127+D131</f>
        <v>5737018.2633333337</v>
      </c>
      <c r="E136" s="348"/>
      <c r="F136" s="322">
        <f>F62+F65+F73+F80+F86+F97+F100+F104+F127+F131</f>
        <v>261457.75</v>
      </c>
      <c r="G136" s="321" t="e">
        <f>F136/F$29</f>
        <v>#DIV/0!</v>
      </c>
      <c r="H136" s="728" t="e">
        <f>H62+H65+H73+H80+H86+H97+H100+H104+H127+H131</f>
        <v>#REF!</v>
      </c>
      <c r="I136" s="349"/>
      <c r="J136" s="257">
        <f>J62+J65+J73+J80+J86+J97+J100+J104+J127+J131</f>
        <v>5381547.7999999998</v>
      </c>
      <c r="K136" s="348"/>
      <c r="L136" s="322">
        <f>L62+L65+L73+L80+L86+L97+L100+L104+L127+L131</f>
        <v>0</v>
      </c>
      <c r="M136" s="321" t="e">
        <f>L136/L$29</f>
        <v>#DIV/0!</v>
      </c>
      <c r="N136" s="728" t="e">
        <f>N62+N65+N73+N80+N86+N97+N100+N104+N127+N131</f>
        <v>#REF!</v>
      </c>
      <c r="O136" s="349"/>
      <c r="P136" s="244"/>
    </row>
    <row r="137" spans="1:16" ht="15.75" customHeight="1" x14ac:dyDescent="0.25">
      <c r="A137" s="244"/>
      <c r="B137" s="354"/>
      <c r="C137" s="425"/>
      <c r="D137" s="749"/>
      <c r="E137" s="381"/>
      <c r="F137" s="357"/>
      <c r="G137" s="381"/>
      <c r="H137" s="750"/>
      <c r="I137" s="253"/>
      <c r="J137" s="294"/>
      <c r="K137" s="381"/>
      <c r="L137" s="357"/>
      <c r="M137" s="381"/>
      <c r="N137" s="750"/>
      <c r="O137" s="253"/>
      <c r="P137" s="244"/>
    </row>
    <row r="138" spans="1:16" ht="15.75" customHeight="1" x14ac:dyDescent="0.25">
      <c r="A138" s="244"/>
      <c r="B138" s="347"/>
      <c r="C138" s="410" t="s">
        <v>258</v>
      </c>
      <c r="D138" s="257">
        <f>D50-D136</f>
        <v>1487372.8443460073</v>
      </c>
      <c r="E138" s="348"/>
      <c r="F138" s="322">
        <f>+F29-F136</f>
        <v>-261457.75</v>
      </c>
      <c r="G138" s="321" t="e">
        <f>F138/F$29</f>
        <v>#DIV/0!</v>
      </c>
      <c r="H138" s="728"/>
      <c r="I138" s="349"/>
      <c r="J138" s="257">
        <f>J50-J136</f>
        <v>2018857.3042559549</v>
      </c>
      <c r="K138" s="348"/>
      <c r="L138" s="322">
        <f>+L29-L136</f>
        <v>0</v>
      </c>
      <c r="M138" s="321" t="e">
        <f>L138/L$29</f>
        <v>#DIV/0!</v>
      </c>
      <c r="N138" s="728"/>
      <c r="O138" s="349"/>
      <c r="P138" s="244"/>
    </row>
    <row r="139" spans="1:16" ht="15.75" customHeight="1" x14ac:dyDescent="0.25">
      <c r="A139" s="244"/>
      <c r="B139" s="244"/>
      <c r="C139" s="244"/>
      <c r="D139" s="244"/>
      <c r="E139" s="244"/>
      <c r="F139" s="303"/>
      <c r="G139" s="244"/>
      <c r="H139" s="716"/>
      <c r="I139" s="244"/>
      <c r="J139" s="244"/>
      <c r="K139" s="244"/>
      <c r="L139" s="303"/>
      <c r="M139" s="244"/>
      <c r="N139" s="716"/>
      <c r="O139" s="244"/>
      <c r="P139" s="244"/>
    </row>
    <row r="140" spans="1:16" ht="15.75" customHeight="1" x14ac:dyDescent="0.25">
      <c r="A140" s="244"/>
      <c r="B140" s="244"/>
      <c r="C140" s="244"/>
      <c r="D140" s="244"/>
      <c r="E140" s="244"/>
      <c r="F140" s="303"/>
      <c r="G140" s="244"/>
      <c r="H140" s="716"/>
      <c r="I140" s="244"/>
      <c r="J140" s="244"/>
      <c r="K140" s="244"/>
      <c r="L140" s="303"/>
      <c r="M140" s="244"/>
      <c r="N140" s="716"/>
      <c r="O140" s="244"/>
      <c r="P140" s="244"/>
    </row>
    <row r="141" spans="1:16" ht="15.75" customHeight="1" x14ac:dyDescent="0.25">
      <c r="A141" s="244"/>
      <c r="B141" s="244"/>
      <c r="C141" s="244"/>
      <c r="D141" s="244"/>
      <c r="E141" s="244"/>
      <c r="F141" s="303"/>
      <c r="G141" s="244"/>
      <c r="H141" s="716"/>
      <c r="I141" s="244"/>
      <c r="J141" s="244"/>
      <c r="K141" s="244"/>
      <c r="L141" s="303"/>
      <c r="M141" s="244"/>
      <c r="N141" s="716"/>
      <c r="O141" s="244"/>
      <c r="P141" s="244"/>
    </row>
    <row r="142" spans="1:16" ht="15.75" customHeight="1" x14ac:dyDescent="0.25">
      <c r="A142" s="244"/>
      <c r="B142" s="244"/>
      <c r="C142" s="244"/>
      <c r="D142" s="244"/>
      <c r="E142" s="244"/>
      <c r="F142" s="303"/>
      <c r="G142" s="244"/>
      <c r="H142" s="716"/>
      <c r="I142" s="244"/>
      <c r="J142" s="244"/>
      <c r="K142" s="244"/>
      <c r="L142" s="303"/>
      <c r="M142" s="244"/>
      <c r="N142" s="716"/>
      <c r="O142" s="244"/>
      <c r="P142" s="244"/>
    </row>
    <row r="143" spans="1:16" ht="15.75" customHeight="1" x14ac:dyDescent="0.25">
      <c r="A143" s="244"/>
      <c r="B143" s="244"/>
      <c r="C143" s="244"/>
      <c r="D143" s="244"/>
      <c r="E143" s="244"/>
      <c r="F143" s="303"/>
      <c r="G143" s="244"/>
      <c r="H143" s="716"/>
      <c r="I143" s="244"/>
      <c r="J143" s="244"/>
      <c r="K143" s="244"/>
      <c r="L143" s="303"/>
      <c r="M143" s="244"/>
      <c r="N143" s="716"/>
      <c r="O143" s="244"/>
      <c r="P143" s="244"/>
    </row>
    <row r="144" spans="1:16" ht="15.75" customHeight="1" x14ac:dyDescent="0.25">
      <c r="A144" s="244"/>
      <c r="B144" s="244"/>
      <c r="C144" s="244"/>
      <c r="D144" s="244"/>
      <c r="E144" s="244"/>
      <c r="F144" s="303"/>
      <c r="G144" s="244"/>
      <c r="H144" s="716"/>
      <c r="I144" s="244"/>
      <c r="J144" s="244"/>
      <c r="K144" s="244"/>
      <c r="L144" s="303"/>
      <c r="M144" s="244"/>
      <c r="N144" s="716"/>
      <c r="O144" s="244"/>
      <c r="P144" s="244"/>
    </row>
    <row r="145" spans="1:16" ht="15.75" customHeight="1" x14ac:dyDescent="0.25">
      <c r="A145" s="244"/>
      <c r="B145" s="244"/>
      <c r="C145" s="244"/>
      <c r="D145" s="244"/>
      <c r="E145" s="244"/>
      <c r="F145" s="303"/>
      <c r="G145" s="244"/>
      <c r="H145" s="716"/>
      <c r="I145" s="244"/>
      <c r="J145" s="244"/>
      <c r="K145" s="244"/>
      <c r="L145" s="303"/>
      <c r="M145" s="244"/>
      <c r="N145" s="716"/>
      <c r="O145" s="244"/>
      <c r="P145" s="244"/>
    </row>
    <row r="146" spans="1:16" ht="15.75" customHeight="1" x14ac:dyDescent="0.25">
      <c r="A146" s="244"/>
      <c r="B146" s="244"/>
      <c r="C146" s="244"/>
      <c r="D146" s="244"/>
      <c r="E146" s="244"/>
      <c r="F146" s="303"/>
      <c r="G146" s="244"/>
      <c r="H146" s="716"/>
      <c r="I146" s="244"/>
      <c r="J146" s="244"/>
      <c r="K146" s="244"/>
      <c r="L146" s="303"/>
      <c r="M146" s="244"/>
      <c r="N146" s="716"/>
      <c r="O146" s="244"/>
      <c r="P146" s="244"/>
    </row>
    <row r="147" spans="1:16" ht="15.75" customHeight="1" x14ac:dyDescent="0.25">
      <c r="A147" s="244"/>
      <c r="B147" s="244"/>
      <c r="C147" s="244"/>
      <c r="D147" s="244"/>
      <c r="E147" s="244"/>
      <c r="F147" s="303"/>
      <c r="G147" s="244"/>
      <c r="H147" s="716"/>
      <c r="I147" s="244"/>
      <c r="J147" s="244"/>
      <c r="K147" s="244"/>
      <c r="L147" s="303"/>
      <c r="M147" s="244"/>
      <c r="N147" s="716"/>
      <c r="O147" s="244"/>
      <c r="P147" s="244"/>
    </row>
    <row r="148" spans="1:16" ht="15.75" customHeight="1" x14ac:dyDescent="0.25">
      <c r="A148" s="244"/>
      <c r="B148" s="244"/>
      <c r="C148" s="244"/>
      <c r="D148" s="244"/>
      <c r="E148" s="244"/>
      <c r="F148" s="303"/>
      <c r="G148" s="244"/>
      <c r="H148" s="716"/>
      <c r="I148" s="244"/>
      <c r="J148" s="244"/>
      <c r="K148" s="244"/>
      <c r="L148" s="303"/>
      <c r="M148" s="244"/>
      <c r="N148" s="716"/>
      <c r="O148" s="244"/>
      <c r="P148" s="244"/>
    </row>
    <row r="149" spans="1:16" ht="15.75" customHeight="1" x14ac:dyDescent="0.25">
      <c r="A149" s="244"/>
      <c r="B149" s="244"/>
      <c r="C149" s="244"/>
      <c r="D149" s="244"/>
      <c r="E149" s="244"/>
      <c r="F149" s="303"/>
      <c r="G149" s="244"/>
      <c r="H149" s="716"/>
      <c r="I149" s="244"/>
      <c r="J149" s="244"/>
      <c r="K149" s="244"/>
      <c r="L149" s="303"/>
      <c r="M149" s="244"/>
      <c r="N149" s="716"/>
      <c r="O149" s="244"/>
      <c r="P149" s="244"/>
    </row>
    <row r="150" spans="1:16" ht="15.75" customHeight="1" x14ac:dyDescent="0.25">
      <c r="A150" s="244"/>
      <c r="B150" s="244"/>
      <c r="C150" s="244"/>
      <c r="D150" s="244"/>
      <c r="E150" s="244"/>
      <c r="F150" s="303"/>
      <c r="G150" s="244"/>
      <c r="H150" s="716"/>
      <c r="I150" s="244"/>
      <c r="J150" s="244"/>
      <c r="K150" s="244"/>
      <c r="L150" s="303"/>
      <c r="M150" s="244"/>
      <c r="N150" s="716"/>
      <c r="O150" s="244"/>
      <c r="P150" s="244"/>
    </row>
    <row r="151" spans="1:16" ht="15.75" customHeight="1" x14ac:dyDescent="0.25">
      <c r="A151" s="244"/>
      <c r="B151" s="244"/>
      <c r="C151" s="244"/>
      <c r="D151" s="244"/>
      <c r="E151" s="244"/>
      <c r="F151" s="303"/>
      <c r="G151" s="244"/>
      <c r="H151" s="716"/>
      <c r="I151" s="244"/>
      <c r="J151" s="244"/>
      <c r="K151" s="244"/>
      <c r="L151" s="303"/>
      <c r="M151" s="244"/>
      <c r="N151" s="716"/>
      <c r="O151" s="244"/>
      <c r="P151" s="244"/>
    </row>
    <row r="152" spans="1:16" ht="15.75" customHeight="1" x14ac:dyDescent="0.25">
      <c r="A152" s="244"/>
      <c r="B152" s="244"/>
      <c r="C152" s="244"/>
      <c r="D152" s="244"/>
      <c r="E152" s="244"/>
      <c r="F152" s="303"/>
      <c r="G152" s="244"/>
      <c r="H152" s="716"/>
      <c r="I152" s="244"/>
      <c r="J152" s="244"/>
      <c r="K152" s="244"/>
      <c r="L152" s="303"/>
      <c r="M152" s="244"/>
      <c r="N152" s="716"/>
      <c r="O152" s="244"/>
      <c r="P152" s="244"/>
    </row>
    <row r="153" spans="1:16" ht="15.75" customHeight="1" x14ac:dyDescent="0.25">
      <c r="A153" s="244"/>
      <c r="B153" s="244"/>
      <c r="C153" s="244"/>
      <c r="D153" s="244"/>
      <c r="E153" s="244"/>
      <c r="F153" s="303"/>
      <c r="G153" s="244"/>
      <c r="H153" s="716"/>
      <c r="I153" s="244"/>
      <c r="J153" s="244"/>
      <c r="K153" s="244"/>
      <c r="L153" s="303"/>
      <c r="M153" s="244"/>
      <c r="N153" s="716"/>
      <c r="O153" s="244"/>
      <c r="P153" s="244"/>
    </row>
    <row r="154" spans="1:16" ht="15.75" customHeight="1" x14ac:dyDescent="0.25">
      <c r="A154" s="244"/>
      <c r="B154" s="244"/>
      <c r="C154" s="244"/>
      <c r="D154" s="244"/>
      <c r="E154" s="244"/>
      <c r="F154" s="303"/>
      <c r="G154" s="244"/>
      <c r="H154" s="716"/>
      <c r="I154" s="244"/>
      <c r="J154" s="244"/>
      <c r="K154" s="244"/>
      <c r="L154" s="303"/>
      <c r="M154" s="244"/>
      <c r="N154" s="716"/>
      <c r="O154" s="244"/>
      <c r="P154" s="244"/>
    </row>
    <row r="155" spans="1:16" ht="15.75" customHeight="1" x14ac:dyDescent="0.25">
      <c r="A155" s="244"/>
      <c r="B155" s="244"/>
      <c r="C155" s="244"/>
      <c r="D155" s="244"/>
      <c r="E155" s="244"/>
      <c r="F155" s="303"/>
      <c r="G155" s="244"/>
      <c r="H155" s="716"/>
      <c r="I155" s="244"/>
      <c r="J155" s="244"/>
      <c r="K155" s="244"/>
      <c r="L155" s="303"/>
      <c r="M155" s="244"/>
      <c r="N155" s="716"/>
      <c r="O155" s="244"/>
      <c r="P155" s="244"/>
    </row>
    <row r="156" spans="1:16" ht="15.75" customHeight="1" x14ac:dyDescent="0.25">
      <c r="A156" s="244"/>
      <c r="B156" s="244"/>
      <c r="C156" s="244"/>
      <c r="D156" s="244"/>
      <c r="E156" s="244"/>
      <c r="F156" s="303"/>
      <c r="G156" s="244"/>
      <c r="H156" s="716"/>
      <c r="I156" s="244"/>
      <c r="J156" s="244"/>
      <c r="K156" s="244"/>
      <c r="L156" s="303"/>
      <c r="M156" s="244"/>
      <c r="N156" s="716"/>
      <c r="O156" s="244"/>
      <c r="P156" s="244"/>
    </row>
    <row r="157" spans="1:16" ht="15.75" customHeight="1" x14ac:dyDescent="0.25">
      <c r="A157" s="244"/>
      <c r="B157" s="244"/>
      <c r="C157" s="244"/>
      <c r="D157" s="244"/>
      <c r="E157" s="244"/>
      <c r="F157" s="303"/>
      <c r="G157" s="244"/>
      <c r="H157" s="716"/>
      <c r="I157" s="244"/>
      <c r="J157" s="244"/>
      <c r="K157" s="244"/>
      <c r="L157" s="303"/>
      <c r="M157" s="244"/>
      <c r="N157" s="716"/>
      <c r="O157" s="244"/>
      <c r="P157" s="244"/>
    </row>
    <row r="158" spans="1:16" ht="15.75" customHeight="1" x14ac:dyDescent="0.25">
      <c r="A158" s="244"/>
      <c r="B158" s="244"/>
      <c r="C158" s="244"/>
      <c r="D158" s="244"/>
      <c r="E158" s="244"/>
      <c r="F158" s="303"/>
      <c r="G158" s="244"/>
      <c r="H158" s="716"/>
      <c r="I158" s="244"/>
      <c r="J158" s="244"/>
      <c r="K158" s="244"/>
      <c r="L158" s="303"/>
      <c r="M158" s="244"/>
      <c r="N158" s="716"/>
      <c r="O158" s="244"/>
      <c r="P158" s="244"/>
    </row>
    <row r="159" spans="1:16" ht="15.75" customHeight="1" x14ac:dyDescent="0.25">
      <c r="A159" s="244"/>
      <c r="B159" s="244"/>
      <c r="C159" s="244"/>
      <c r="D159" s="244"/>
      <c r="E159" s="244"/>
      <c r="F159" s="303"/>
      <c r="G159" s="244"/>
      <c r="H159" s="716"/>
      <c r="I159" s="244"/>
      <c r="J159" s="244"/>
      <c r="K159" s="244"/>
      <c r="L159" s="303"/>
      <c r="M159" s="244"/>
      <c r="N159" s="716"/>
      <c r="O159" s="244"/>
      <c r="P159" s="244"/>
    </row>
    <row r="160" spans="1:16" ht="15.75" customHeight="1" x14ac:dyDescent="0.25">
      <c r="A160" s="244"/>
      <c r="B160" s="244"/>
      <c r="C160" s="244"/>
      <c r="D160" s="244"/>
      <c r="E160" s="244"/>
      <c r="F160" s="303"/>
      <c r="G160" s="244"/>
      <c r="H160" s="716"/>
      <c r="I160" s="244"/>
      <c r="J160" s="244"/>
      <c r="K160" s="244"/>
      <c r="L160" s="303"/>
      <c r="M160" s="244"/>
      <c r="N160" s="716"/>
      <c r="O160" s="244"/>
      <c r="P160" s="244"/>
    </row>
    <row r="161" spans="1:16" ht="15.75" customHeight="1" x14ac:dyDescent="0.25">
      <c r="A161" s="244"/>
      <c r="B161" s="244"/>
      <c r="C161" s="244"/>
      <c r="D161" s="244"/>
      <c r="E161" s="244"/>
      <c r="F161" s="303"/>
      <c r="G161" s="244"/>
      <c r="H161" s="716"/>
      <c r="I161" s="244"/>
      <c r="J161" s="244"/>
      <c r="K161" s="244"/>
      <c r="L161" s="303"/>
      <c r="M161" s="244"/>
      <c r="N161" s="716"/>
      <c r="O161" s="244"/>
      <c r="P161" s="244"/>
    </row>
    <row r="162" spans="1:16" ht="15.75" customHeight="1" x14ac:dyDescent="0.25">
      <c r="A162" s="244"/>
      <c r="B162" s="244"/>
      <c r="C162" s="244"/>
      <c r="D162" s="244"/>
      <c r="E162" s="244"/>
      <c r="F162" s="303"/>
      <c r="G162" s="244"/>
      <c r="H162" s="716"/>
      <c r="I162" s="244"/>
      <c r="J162" s="244"/>
      <c r="K162" s="244"/>
      <c r="L162" s="303"/>
      <c r="M162" s="244"/>
      <c r="N162" s="716"/>
      <c r="O162" s="244"/>
      <c r="P162" s="244"/>
    </row>
    <row r="163" spans="1:16" ht="15.75" customHeight="1" x14ac:dyDescent="0.25">
      <c r="A163" s="244"/>
      <c r="B163" s="244"/>
      <c r="C163" s="244"/>
      <c r="D163" s="244"/>
      <c r="E163" s="244"/>
      <c r="F163" s="303"/>
      <c r="G163" s="244"/>
      <c r="H163" s="716"/>
      <c r="I163" s="244"/>
      <c r="J163" s="244"/>
      <c r="K163" s="244"/>
      <c r="L163" s="303"/>
      <c r="M163" s="244"/>
      <c r="N163" s="716"/>
      <c r="O163" s="244"/>
      <c r="P163" s="244"/>
    </row>
    <row r="164" spans="1:16" ht="15.75" customHeight="1" x14ac:dyDescent="0.25">
      <c r="A164" s="244"/>
      <c r="B164" s="244"/>
      <c r="C164" s="244"/>
      <c r="D164" s="244"/>
      <c r="E164" s="244"/>
      <c r="F164" s="303"/>
      <c r="G164" s="244"/>
      <c r="H164" s="716"/>
      <c r="I164" s="244"/>
      <c r="J164" s="244"/>
      <c r="K164" s="244"/>
      <c r="L164" s="303"/>
      <c r="M164" s="244"/>
      <c r="N164" s="716"/>
      <c r="O164" s="244"/>
      <c r="P164" s="244"/>
    </row>
    <row r="165" spans="1:16" ht="15.75" customHeight="1" x14ac:dyDescent="0.25">
      <c r="A165" s="244"/>
      <c r="B165" s="244"/>
      <c r="C165" s="244"/>
      <c r="D165" s="244"/>
      <c r="E165" s="244"/>
      <c r="F165" s="303"/>
      <c r="G165" s="244"/>
      <c r="H165" s="716"/>
      <c r="I165" s="244"/>
      <c r="J165" s="244"/>
      <c r="K165" s="244"/>
      <c r="L165" s="303"/>
      <c r="M165" s="244"/>
      <c r="N165" s="716"/>
      <c r="O165" s="244"/>
      <c r="P165" s="244"/>
    </row>
    <row r="166" spans="1:16" ht="15.75" customHeight="1" x14ac:dyDescent="0.25">
      <c r="A166" s="244"/>
      <c r="B166" s="244"/>
      <c r="C166" s="244"/>
      <c r="D166" s="244"/>
      <c r="E166" s="244"/>
      <c r="F166" s="303"/>
      <c r="G166" s="244"/>
      <c r="H166" s="716"/>
      <c r="I166" s="244"/>
      <c r="J166" s="244"/>
      <c r="K166" s="244"/>
      <c r="L166" s="303"/>
      <c r="M166" s="244"/>
      <c r="N166" s="716"/>
      <c r="O166" s="244"/>
      <c r="P166" s="244"/>
    </row>
    <row r="167" spans="1:16" ht="15.75" customHeight="1" x14ac:dyDescent="0.25">
      <c r="A167" s="244"/>
      <c r="B167" s="244"/>
      <c r="C167" s="244"/>
      <c r="D167" s="244"/>
      <c r="E167" s="244"/>
      <c r="F167" s="303"/>
      <c r="G167" s="244"/>
      <c r="H167" s="716"/>
      <c r="I167" s="244"/>
      <c r="J167" s="244"/>
      <c r="K167" s="244"/>
      <c r="L167" s="303"/>
      <c r="M167" s="244"/>
      <c r="N167" s="716"/>
      <c r="O167" s="244"/>
      <c r="P167" s="244"/>
    </row>
    <row r="168" spans="1:16" ht="15.75" customHeight="1" x14ac:dyDescent="0.25">
      <c r="A168" s="244"/>
      <c r="B168" s="244"/>
      <c r="C168" s="244"/>
      <c r="D168" s="244"/>
      <c r="E168" s="244"/>
      <c r="F168" s="303"/>
      <c r="G168" s="244"/>
      <c r="H168" s="716"/>
      <c r="I168" s="244"/>
      <c r="J168" s="244"/>
      <c r="K168" s="244"/>
      <c r="L168" s="303"/>
      <c r="M168" s="244"/>
      <c r="N168" s="716"/>
      <c r="O168" s="244"/>
      <c r="P168" s="244"/>
    </row>
    <row r="169" spans="1:16" ht="15.75" customHeight="1" x14ac:dyDescent="0.25">
      <c r="A169" s="244"/>
      <c r="B169" s="244"/>
      <c r="C169" s="244"/>
      <c r="D169" s="244"/>
      <c r="E169" s="244"/>
      <c r="F169" s="303"/>
      <c r="G169" s="244"/>
      <c r="H169" s="716"/>
      <c r="I169" s="244"/>
      <c r="J169" s="244"/>
      <c r="K169" s="244"/>
      <c r="L169" s="303"/>
      <c r="M169" s="244"/>
      <c r="N169" s="716"/>
      <c r="O169" s="244"/>
      <c r="P169" s="244"/>
    </row>
    <row r="170" spans="1:16" ht="15.75" customHeight="1" x14ac:dyDescent="0.25">
      <c r="A170" s="244"/>
      <c r="B170" s="244"/>
      <c r="C170" s="244"/>
      <c r="D170" s="244"/>
      <c r="E170" s="244"/>
      <c r="F170" s="303"/>
      <c r="G170" s="244"/>
      <c r="H170" s="716"/>
      <c r="I170" s="244"/>
      <c r="J170" s="244"/>
      <c r="K170" s="244"/>
      <c r="L170" s="303"/>
      <c r="M170" s="244"/>
      <c r="N170" s="716"/>
      <c r="O170" s="244"/>
      <c r="P170" s="244"/>
    </row>
    <row r="171" spans="1:16" ht="15.75" customHeight="1" x14ac:dyDescent="0.25">
      <c r="A171" s="244"/>
      <c r="B171" s="244"/>
      <c r="C171" s="244"/>
      <c r="D171" s="244"/>
      <c r="E171" s="244"/>
      <c r="F171" s="303"/>
      <c r="G171" s="244"/>
      <c r="H171" s="716"/>
      <c r="I171" s="244"/>
      <c r="J171" s="244"/>
      <c r="K171" s="244"/>
      <c r="L171" s="303"/>
      <c r="M171" s="244"/>
      <c r="N171" s="716"/>
      <c r="O171" s="244"/>
      <c r="P171" s="244"/>
    </row>
    <row r="172" spans="1:16" ht="15.75" customHeight="1" x14ac:dyDescent="0.25">
      <c r="A172" s="244"/>
      <c r="B172" s="244"/>
      <c r="C172" s="244"/>
      <c r="D172" s="244"/>
      <c r="E172" s="244"/>
      <c r="F172" s="303"/>
      <c r="G172" s="244"/>
      <c r="H172" s="716"/>
      <c r="I172" s="244"/>
      <c r="J172" s="244"/>
      <c r="K172" s="244"/>
      <c r="L172" s="303"/>
      <c r="M172" s="244"/>
      <c r="N172" s="716"/>
      <c r="O172" s="244"/>
      <c r="P172" s="244"/>
    </row>
    <row r="173" spans="1:16" ht="15.75" customHeight="1" x14ac:dyDescent="0.25">
      <c r="A173" s="244"/>
      <c r="B173" s="244"/>
      <c r="C173" s="244"/>
      <c r="D173" s="244"/>
      <c r="E173" s="244"/>
      <c r="F173" s="303"/>
      <c r="G173" s="244"/>
      <c r="H173" s="716"/>
      <c r="I173" s="244"/>
      <c r="J173" s="244"/>
      <c r="K173" s="244"/>
      <c r="L173" s="303"/>
      <c r="M173" s="244"/>
      <c r="N173" s="716"/>
      <c r="O173" s="244"/>
      <c r="P173" s="244"/>
    </row>
    <row r="174" spans="1:16" ht="15.75" customHeight="1" x14ac:dyDescent="0.25">
      <c r="A174" s="244"/>
      <c r="B174" s="244"/>
      <c r="C174" s="244"/>
      <c r="D174" s="244"/>
      <c r="E174" s="244"/>
      <c r="F174" s="303"/>
      <c r="G174" s="244"/>
      <c r="H174" s="716"/>
      <c r="I174" s="244"/>
      <c r="J174" s="244"/>
      <c r="K174" s="244"/>
      <c r="L174" s="303"/>
      <c r="M174" s="244"/>
      <c r="N174" s="716"/>
      <c r="O174" s="244"/>
      <c r="P174" s="244"/>
    </row>
    <row r="175" spans="1:16" ht="15.75" customHeight="1" x14ac:dyDescent="0.25">
      <c r="A175" s="244"/>
      <c r="B175" s="244"/>
      <c r="C175" s="244"/>
      <c r="D175" s="244"/>
      <c r="E175" s="244"/>
      <c r="F175" s="303"/>
      <c r="G175" s="244"/>
      <c r="H175" s="716"/>
      <c r="I175" s="244"/>
      <c r="J175" s="244"/>
      <c r="K175" s="244"/>
      <c r="L175" s="303"/>
      <c r="M175" s="244"/>
      <c r="N175" s="716"/>
      <c r="O175" s="244"/>
      <c r="P175" s="244"/>
    </row>
    <row r="176" spans="1:16" ht="15.75" customHeight="1" x14ac:dyDescent="0.25">
      <c r="A176" s="244"/>
      <c r="B176" s="244"/>
      <c r="C176" s="244"/>
      <c r="D176" s="244"/>
      <c r="E176" s="244"/>
      <c r="F176" s="303"/>
      <c r="G176" s="244"/>
      <c r="H176" s="716"/>
      <c r="I176" s="244"/>
      <c r="J176" s="244"/>
      <c r="K176" s="244"/>
      <c r="L176" s="303"/>
      <c r="M176" s="244"/>
      <c r="N176" s="716"/>
      <c r="O176" s="244"/>
      <c r="P176" s="244"/>
    </row>
    <row r="177" spans="1:16" ht="15.75" customHeight="1" x14ac:dyDescent="0.25">
      <c r="A177" s="244"/>
      <c r="B177" s="244"/>
      <c r="C177" s="244"/>
      <c r="D177" s="244"/>
      <c r="E177" s="244"/>
      <c r="F177" s="303"/>
      <c r="G177" s="244"/>
      <c r="H177" s="716"/>
      <c r="I177" s="244"/>
      <c r="J177" s="244"/>
      <c r="K177" s="244"/>
      <c r="L177" s="303"/>
      <c r="M177" s="244"/>
      <c r="N177" s="716"/>
      <c r="O177" s="244"/>
      <c r="P177" s="244"/>
    </row>
    <row r="178" spans="1:16" ht="15.75" customHeight="1" x14ac:dyDescent="0.25">
      <c r="A178" s="244"/>
      <c r="B178" s="244"/>
      <c r="C178" s="244"/>
      <c r="D178" s="244"/>
      <c r="E178" s="244"/>
      <c r="F178" s="303"/>
      <c r="G178" s="244"/>
      <c r="H178" s="716"/>
      <c r="I178" s="244"/>
      <c r="J178" s="244"/>
      <c r="K178" s="244"/>
      <c r="L178" s="303"/>
      <c r="M178" s="244"/>
      <c r="N178" s="716"/>
      <c r="O178" s="244"/>
      <c r="P178" s="244"/>
    </row>
    <row r="179" spans="1:16" ht="15.75" customHeight="1" x14ac:dyDescent="0.25">
      <c r="A179" s="244"/>
      <c r="B179" s="244"/>
      <c r="C179" s="244"/>
      <c r="D179" s="244"/>
      <c r="E179" s="244"/>
      <c r="F179" s="303"/>
      <c r="G179" s="244"/>
      <c r="H179" s="716"/>
      <c r="I179" s="244"/>
      <c r="J179" s="244"/>
      <c r="K179" s="244"/>
      <c r="L179" s="303"/>
      <c r="M179" s="244"/>
      <c r="N179" s="716"/>
      <c r="O179" s="244"/>
      <c r="P179" s="244"/>
    </row>
    <row r="180" spans="1:16" ht="15.75" customHeight="1" x14ac:dyDescent="0.25">
      <c r="A180" s="244"/>
      <c r="B180" s="244"/>
      <c r="C180" s="244"/>
      <c r="D180" s="244"/>
      <c r="E180" s="244"/>
      <c r="F180" s="303"/>
      <c r="G180" s="244"/>
      <c r="H180" s="716"/>
      <c r="I180" s="244"/>
      <c r="J180" s="244"/>
      <c r="K180" s="244"/>
      <c r="L180" s="303"/>
      <c r="M180" s="244"/>
      <c r="N180" s="716"/>
      <c r="O180" s="244"/>
      <c r="P180" s="244"/>
    </row>
    <row r="181" spans="1:16" ht="15.75" customHeight="1" x14ac:dyDescent="0.25">
      <c r="A181" s="244"/>
      <c r="B181" s="244"/>
      <c r="C181" s="244"/>
      <c r="D181" s="244"/>
      <c r="E181" s="244"/>
      <c r="F181" s="303"/>
      <c r="G181" s="244"/>
      <c r="H181" s="716"/>
      <c r="I181" s="244"/>
      <c r="J181" s="244"/>
      <c r="K181" s="244"/>
      <c r="L181" s="303"/>
      <c r="M181" s="244"/>
      <c r="N181" s="716"/>
      <c r="O181" s="244"/>
      <c r="P181" s="244"/>
    </row>
    <row r="182" spans="1:16" ht="15.75" customHeight="1" x14ac:dyDescent="0.25">
      <c r="A182" s="244"/>
      <c r="B182" s="244"/>
      <c r="C182" s="244"/>
      <c r="D182" s="244"/>
      <c r="E182" s="244"/>
      <c r="F182" s="303"/>
      <c r="G182" s="244"/>
      <c r="H182" s="716"/>
      <c r="I182" s="244"/>
      <c r="J182" s="244"/>
      <c r="K182" s="244"/>
      <c r="L182" s="303"/>
      <c r="M182" s="244"/>
      <c r="N182" s="716"/>
      <c r="O182" s="244"/>
      <c r="P182" s="244"/>
    </row>
    <row r="183" spans="1:16" ht="15.75" customHeight="1" x14ac:dyDescent="0.25">
      <c r="A183" s="244"/>
      <c r="B183" s="244"/>
      <c r="C183" s="244"/>
      <c r="D183" s="244"/>
      <c r="E183" s="244"/>
      <c r="F183" s="303"/>
      <c r="G183" s="244"/>
      <c r="H183" s="716"/>
      <c r="I183" s="244"/>
      <c r="J183" s="244"/>
      <c r="K183" s="244"/>
      <c r="L183" s="303"/>
      <c r="M183" s="244"/>
      <c r="N183" s="716"/>
      <c r="O183" s="244"/>
      <c r="P183" s="244"/>
    </row>
    <row r="184" spans="1:16" ht="15.75" customHeight="1" x14ac:dyDescent="0.25">
      <c r="A184" s="244"/>
      <c r="B184" s="244"/>
      <c r="C184" s="244"/>
      <c r="D184" s="244"/>
      <c r="E184" s="244"/>
      <c r="F184" s="303"/>
      <c r="G184" s="244"/>
      <c r="H184" s="716"/>
      <c r="I184" s="244"/>
      <c r="J184" s="244"/>
      <c r="K184" s="244"/>
      <c r="L184" s="303"/>
      <c r="M184" s="244"/>
      <c r="N184" s="716"/>
      <c r="O184" s="244"/>
      <c r="P184" s="244"/>
    </row>
    <row r="185" spans="1:16" ht="15.75" customHeight="1" x14ac:dyDescent="0.25">
      <c r="A185" s="244"/>
      <c r="B185" s="244"/>
      <c r="C185" s="244"/>
      <c r="D185" s="244"/>
      <c r="E185" s="244"/>
      <c r="F185" s="303"/>
      <c r="G185" s="244"/>
      <c r="H185" s="716"/>
      <c r="I185" s="244"/>
      <c r="J185" s="244"/>
      <c r="K185" s="244"/>
      <c r="L185" s="303"/>
      <c r="M185" s="244"/>
      <c r="N185" s="716"/>
      <c r="O185" s="244"/>
      <c r="P185" s="244"/>
    </row>
    <row r="186" spans="1:16" ht="15.75" customHeight="1" x14ac:dyDescent="0.25">
      <c r="A186" s="244"/>
      <c r="B186" s="244"/>
      <c r="C186" s="244"/>
      <c r="D186" s="244"/>
      <c r="E186" s="244"/>
      <c r="F186" s="303"/>
      <c r="G186" s="244"/>
      <c r="H186" s="716"/>
      <c r="I186" s="244"/>
      <c r="J186" s="244"/>
      <c r="K186" s="244"/>
      <c r="L186" s="303"/>
      <c r="M186" s="244"/>
      <c r="N186" s="716"/>
      <c r="O186" s="244"/>
      <c r="P186" s="244"/>
    </row>
    <row r="187" spans="1:16" ht="15.75" customHeight="1" x14ac:dyDescent="0.25">
      <c r="A187" s="244"/>
      <c r="B187" s="244"/>
      <c r="C187" s="244"/>
      <c r="D187" s="244"/>
      <c r="E187" s="244"/>
      <c r="F187" s="303"/>
      <c r="G187" s="244"/>
      <c r="H187" s="716"/>
      <c r="I187" s="244"/>
      <c r="J187" s="244"/>
      <c r="K187" s="244"/>
      <c r="L187" s="303"/>
      <c r="M187" s="244"/>
      <c r="N187" s="716"/>
      <c r="O187" s="244"/>
      <c r="P187" s="244"/>
    </row>
    <row r="188" spans="1:16" ht="15.75" customHeight="1" x14ac:dyDescent="0.25">
      <c r="A188" s="244"/>
      <c r="B188" s="244"/>
      <c r="C188" s="244"/>
      <c r="D188" s="244"/>
      <c r="E188" s="244"/>
      <c r="F188" s="303"/>
      <c r="G188" s="244"/>
      <c r="H188" s="716"/>
      <c r="I188" s="244"/>
      <c r="J188" s="244"/>
      <c r="K188" s="244"/>
      <c r="L188" s="303"/>
      <c r="M188" s="244"/>
      <c r="N188" s="716"/>
      <c r="O188" s="244"/>
      <c r="P188" s="244"/>
    </row>
    <row r="189" spans="1:16" ht="15.75" customHeight="1" x14ac:dyDescent="0.25">
      <c r="A189" s="244"/>
      <c r="B189" s="244"/>
      <c r="C189" s="244"/>
      <c r="D189" s="244"/>
      <c r="E189" s="244"/>
      <c r="F189" s="303"/>
      <c r="G189" s="244"/>
      <c r="H189" s="716"/>
      <c r="I189" s="244"/>
      <c r="J189" s="244"/>
      <c r="K189" s="244"/>
      <c r="L189" s="303"/>
      <c r="M189" s="244"/>
      <c r="N189" s="716"/>
      <c r="O189" s="244"/>
      <c r="P189" s="244"/>
    </row>
    <row r="190" spans="1:16" ht="15.75" customHeight="1" x14ac:dyDescent="0.25">
      <c r="A190" s="244"/>
      <c r="B190" s="244"/>
      <c r="C190" s="244"/>
      <c r="D190" s="244"/>
      <c r="E190" s="244"/>
      <c r="F190" s="303"/>
      <c r="G190" s="244"/>
      <c r="H190" s="716"/>
      <c r="I190" s="244"/>
      <c r="J190" s="244"/>
      <c r="K190" s="244"/>
      <c r="L190" s="303"/>
      <c r="M190" s="244"/>
      <c r="N190" s="716"/>
      <c r="O190" s="244"/>
      <c r="P190" s="244"/>
    </row>
    <row r="191" spans="1:16" ht="15.75" customHeight="1" x14ac:dyDescent="0.25">
      <c r="A191" s="244"/>
      <c r="B191" s="244"/>
      <c r="C191" s="244"/>
      <c r="D191" s="244"/>
      <c r="E191" s="244"/>
      <c r="F191" s="303"/>
      <c r="G191" s="244"/>
      <c r="H191" s="716"/>
      <c r="I191" s="244"/>
      <c r="J191" s="244"/>
      <c r="K191" s="244"/>
      <c r="L191" s="303"/>
      <c r="M191" s="244"/>
      <c r="N191" s="716"/>
      <c r="O191" s="244"/>
      <c r="P191" s="244"/>
    </row>
    <row r="192" spans="1:16" ht="15.75" customHeight="1" x14ac:dyDescent="0.25">
      <c r="A192" s="244"/>
      <c r="B192" s="244"/>
      <c r="C192" s="244"/>
      <c r="D192" s="244"/>
      <c r="E192" s="244"/>
      <c r="F192" s="303"/>
      <c r="G192" s="244"/>
      <c r="H192" s="716"/>
      <c r="I192" s="244"/>
      <c r="J192" s="244"/>
      <c r="K192" s="244"/>
      <c r="L192" s="303"/>
      <c r="M192" s="244"/>
      <c r="N192" s="716"/>
      <c r="O192" s="244"/>
      <c r="P192" s="244"/>
    </row>
    <row r="193" spans="1:16" ht="15.75" customHeight="1" x14ac:dyDescent="0.25">
      <c r="A193" s="244"/>
      <c r="B193" s="244"/>
      <c r="C193" s="244"/>
      <c r="D193" s="244"/>
      <c r="E193" s="244"/>
      <c r="F193" s="303"/>
      <c r="G193" s="244"/>
      <c r="H193" s="716"/>
      <c r="I193" s="244"/>
      <c r="J193" s="244"/>
      <c r="K193" s="244"/>
      <c r="L193" s="303"/>
      <c r="M193" s="244"/>
      <c r="N193" s="716"/>
      <c r="O193" s="244"/>
      <c r="P193" s="244"/>
    </row>
    <row r="194" spans="1:16" ht="15.75" customHeight="1" x14ac:dyDescent="0.25">
      <c r="A194" s="244"/>
      <c r="B194" s="244"/>
      <c r="C194" s="244"/>
      <c r="D194" s="244"/>
      <c r="E194" s="244"/>
      <c r="F194" s="303"/>
      <c r="G194" s="244"/>
      <c r="H194" s="716"/>
      <c r="I194" s="244"/>
      <c r="J194" s="244"/>
      <c r="K194" s="244"/>
      <c r="L194" s="303"/>
      <c r="M194" s="244"/>
      <c r="N194" s="716"/>
      <c r="O194" s="244"/>
      <c r="P194" s="244"/>
    </row>
    <row r="195" spans="1:16" ht="15.75" customHeight="1" x14ac:dyDescent="0.25">
      <c r="A195" s="244"/>
      <c r="B195" s="244"/>
      <c r="C195" s="244"/>
      <c r="D195" s="244"/>
      <c r="E195" s="244"/>
      <c r="F195" s="303"/>
      <c r="G195" s="244"/>
      <c r="H195" s="716"/>
      <c r="I195" s="244"/>
      <c r="J195" s="244"/>
      <c r="K195" s="244"/>
      <c r="L195" s="303"/>
      <c r="M195" s="244"/>
      <c r="N195" s="716"/>
      <c r="O195" s="244"/>
      <c r="P195" s="244"/>
    </row>
    <row r="196" spans="1:16" ht="15.75" customHeight="1" x14ac:dyDescent="0.25">
      <c r="A196" s="244"/>
      <c r="B196" s="244"/>
      <c r="C196" s="244"/>
      <c r="D196" s="244"/>
      <c r="E196" s="244"/>
      <c r="F196" s="303"/>
      <c r="G196" s="244"/>
      <c r="H196" s="716"/>
      <c r="I196" s="244"/>
      <c r="J196" s="244"/>
      <c r="K196" s="244"/>
      <c r="L196" s="303"/>
      <c r="M196" s="244"/>
      <c r="N196" s="716"/>
      <c r="O196" s="244"/>
      <c r="P196" s="244"/>
    </row>
    <row r="197" spans="1:16" ht="15.75" customHeight="1" x14ac:dyDescent="0.25">
      <c r="A197" s="244"/>
      <c r="B197" s="244"/>
      <c r="C197" s="244"/>
      <c r="D197" s="244"/>
      <c r="E197" s="244"/>
      <c r="F197" s="303"/>
      <c r="G197" s="244"/>
      <c r="H197" s="716"/>
      <c r="I197" s="244"/>
      <c r="J197" s="244"/>
      <c r="K197" s="244"/>
      <c r="L197" s="303"/>
      <c r="M197" s="244"/>
      <c r="N197" s="716"/>
      <c r="O197" s="244"/>
      <c r="P197" s="244"/>
    </row>
    <row r="198" spans="1:16" ht="15.75" customHeight="1" x14ac:dyDescent="0.25">
      <c r="A198" s="244"/>
      <c r="B198" s="244"/>
      <c r="C198" s="244"/>
      <c r="D198" s="244"/>
      <c r="E198" s="244"/>
      <c r="F198" s="303"/>
      <c r="G198" s="244"/>
      <c r="H198" s="716"/>
      <c r="I198" s="244"/>
      <c r="J198" s="244"/>
      <c r="K198" s="244"/>
      <c r="L198" s="303"/>
      <c r="M198" s="244"/>
      <c r="N198" s="716"/>
      <c r="O198" s="244"/>
      <c r="P198" s="244"/>
    </row>
    <row r="199" spans="1:16" ht="15.75" customHeight="1" x14ac:dyDescent="0.25">
      <c r="A199" s="244"/>
      <c r="B199" s="244"/>
      <c r="C199" s="244"/>
      <c r="D199" s="244"/>
      <c r="E199" s="244"/>
      <c r="F199" s="303"/>
      <c r="G199" s="244"/>
      <c r="H199" s="716"/>
      <c r="I199" s="244"/>
      <c r="J199" s="244"/>
      <c r="K199" s="244"/>
      <c r="L199" s="303"/>
      <c r="M199" s="244"/>
      <c r="N199" s="716"/>
      <c r="O199" s="244"/>
      <c r="P199" s="244"/>
    </row>
    <row r="200" spans="1:16" ht="15.75" customHeight="1" x14ac:dyDescent="0.25">
      <c r="A200" s="244"/>
      <c r="B200" s="244"/>
      <c r="C200" s="244"/>
      <c r="D200" s="244"/>
      <c r="E200" s="244"/>
      <c r="F200" s="303"/>
      <c r="G200" s="244"/>
      <c r="H200" s="716"/>
      <c r="I200" s="244"/>
      <c r="J200" s="244"/>
      <c r="K200" s="244"/>
      <c r="L200" s="303"/>
      <c r="M200" s="244"/>
      <c r="N200" s="716"/>
      <c r="O200" s="244"/>
      <c r="P200" s="244"/>
    </row>
    <row r="201" spans="1:16" ht="15.75" customHeight="1" x14ac:dyDescent="0.25">
      <c r="A201" s="244"/>
      <c r="B201" s="244"/>
      <c r="C201" s="244"/>
      <c r="D201" s="244"/>
      <c r="E201" s="244"/>
      <c r="F201" s="303"/>
      <c r="G201" s="244"/>
      <c r="H201" s="716"/>
      <c r="I201" s="244"/>
      <c r="J201" s="244"/>
      <c r="K201" s="244"/>
      <c r="L201" s="303"/>
      <c r="M201" s="244"/>
      <c r="N201" s="716"/>
      <c r="O201" s="244"/>
      <c r="P201" s="244"/>
    </row>
    <row r="202" spans="1:16" ht="15.75" customHeight="1" x14ac:dyDescent="0.25">
      <c r="A202" s="244"/>
      <c r="B202" s="244"/>
      <c r="C202" s="244"/>
      <c r="D202" s="244"/>
      <c r="E202" s="244"/>
      <c r="F202" s="303"/>
      <c r="G202" s="244"/>
      <c r="H202" s="716"/>
      <c r="I202" s="244"/>
      <c r="J202" s="244"/>
      <c r="K202" s="244"/>
      <c r="L202" s="303"/>
      <c r="M202" s="244"/>
      <c r="N202" s="716"/>
      <c r="O202" s="244"/>
      <c r="P202" s="244"/>
    </row>
    <row r="203" spans="1:16" ht="15.75" customHeight="1" x14ac:dyDescent="0.25">
      <c r="A203" s="244"/>
      <c r="B203" s="244"/>
      <c r="C203" s="244"/>
      <c r="D203" s="244"/>
      <c r="E203" s="244"/>
      <c r="F203" s="303"/>
      <c r="G203" s="244"/>
      <c r="H203" s="716"/>
      <c r="I203" s="244"/>
      <c r="J203" s="244"/>
      <c r="K203" s="244"/>
      <c r="L203" s="303"/>
      <c r="M203" s="244"/>
      <c r="N203" s="716"/>
      <c r="O203" s="244"/>
      <c r="P203" s="244"/>
    </row>
    <row r="204" spans="1:16" ht="15.75" customHeight="1" x14ac:dyDescent="0.25">
      <c r="A204" s="244"/>
      <c r="B204" s="244"/>
      <c r="C204" s="244"/>
      <c r="D204" s="244"/>
      <c r="E204" s="244"/>
      <c r="F204" s="303"/>
      <c r="G204" s="244"/>
      <c r="H204" s="716"/>
      <c r="I204" s="244"/>
      <c r="J204" s="244"/>
      <c r="K204" s="244"/>
      <c r="L204" s="303"/>
      <c r="M204" s="244"/>
      <c r="N204" s="716"/>
      <c r="O204" s="244"/>
      <c r="P204" s="244"/>
    </row>
    <row r="205" spans="1:16" ht="15.75" customHeight="1" x14ac:dyDescent="0.25">
      <c r="A205" s="244"/>
      <c r="B205" s="244"/>
      <c r="C205" s="244"/>
      <c r="D205" s="244"/>
      <c r="E205" s="244"/>
      <c r="F205" s="303"/>
      <c r="G205" s="244"/>
      <c r="H205" s="716"/>
      <c r="I205" s="244"/>
      <c r="J205" s="244"/>
      <c r="K205" s="244"/>
      <c r="L205" s="303"/>
      <c r="M205" s="244"/>
      <c r="N205" s="716"/>
      <c r="O205" s="244"/>
      <c r="P205" s="244"/>
    </row>
    <row r="206" spans="1:16" ht="15.75" customHeight="1" x14ac:dyDescent="0.25">
      <c r="A206" s="244"/>
      <c r="B206" s="244"/>
      <c r="C206" s="244"/>
      <c r="D206" s="244"/>
      <c r="E206" s="244"/>
      <c r="F206" s="303"/>
      <c r="G206" s="244"/>
      <c r="H206" s="716"/>
      <c r="I206" s="244"/>
      <c r="J206" s="244"/>
      <c r="K206" s="244"/>
      <c r="L206" s="303"/>
      <c r="M206" s="244"/>
      <c r="N206" s="716"/>
      <c r="O206" s="244"/>
      <c r="P206" s="244"/>
    </row>
    <row r="207" spans="1:16" ht="15.75" customHeight="1" x14ac:dyDescent="0.25">
      <c r="A207" s="244"/>
      <c r="B207" s="244"/>
      <c r="C207" s="244"/>
      <c r="D207" s="244"/>
      <c r="E207" s="244"/>
      <c r="F207" s="303"/>
      <c r="G207" s="244"/>
      <c r="H207" s="716"/>
      <c r="I207" s="244"/>
      <c r="J207" s="244"/>
      <c r="K207" s="244"/>
      <c r="L207" s="303"/>
      <c r="M207" s="244"/>
      <c r="N207" s="716"/>
      <c r="O207" s="244"/>
      <c r="P207" s="244"/>
    </row>
    <row r="208" spans="1:16" ht="15.75" customHeight="1" x14ac:dyDescent="0.25">
      <c r="A208" s="244"/>
      <c r="B208" s="244"/>
      <c r="C208" s="244"/>
      <c r="D208" s="244"/>
      <c r="E208" s="244"/>
      <c r="F208" s="303"/>
      <c r="G208" s="244"/>
      <c r="H208" s="716"/>
      <c r="I208" s="244"/>
      <c r="J208" s="244"/>
      <c r="K208" s="244"/>
      <c r="L208" s="303"/>
      <c r="M208" s="244"/>
      <c r="N208" s="716"/>
      <c r="O208" s="244"/>
      <c r="P208" s="244"/>
    </row>
    <row r="209" spans="1:16" ht="15.75" customHeight="1" x14ac:dyDescent="0.25">
      <c r="A209" s="244"/>
      <c r="B209" s="244"/>
      <c r="C209" s="244"/>
      <c r="D209" s="244"/>
      <c r="E209" s="244"/>
      <c r="F209" s="303"/>
      <c r="G209" s="244"/>
      <c r="H209" s="716"/>
      <c r="I209" s="244"/>
      <c r="J209" s="244"/>
      <c r="K209" s="244"/>
      <c r="L209" s="303"/>
      <c r="M209" s="244"/>
      <c r="N209" s="716"/>
      <c r="O209" s="244"/>
      <c r="P209" s="244"/>
    </row>
    <row r="210" spans="1:16" ht="15.75" customHeight="1" x14ac:dyDescent="0.25">
      <c r="A210" s="244"/>
      <c r="B210" s="244"/>
      <c r="C210" s="244"/>
      <c r="D210" s="244"/>
      <c r="E210" s="244"/>
      <c r="F210" s="303"/>
      <c r="G210" s="244"/>
      <c r="H210" s="716"/>
      <c r="I210" s="244"/>
      <c r="J210" s="244"/>
      <c r="K210" s="244"/>
      <c r="L210" s="303"/>
      <c r="M210" s="244"/>
      <c r="N210" s="716"/>
      <c r="O210" s="244"/>
      <c r="P210" s="244"/>
    </row>
    <row r="211" spans="1:16" ht="15.75" customHeight="1" x14ac:dyDescent="0.25">
      <c r="A211" s="244"/>
      <c r="B211" s="244"/>
      <c r="C211" s="244"/>
      <c r="D211" s="244"/>
      <c r="E211" s="244"/>
      <c r="F211" s="303"/>
      <c r="G211" s="244"/>
      <c r="H211" s="716"/>
      <c r="I211" s="244"/>
      <c r="J211" s="244"/>
      <c r="K211" s="244"/>
      <c r="L211" s="303"/>
      <c r="M211" s="244"/>
      <c r="N211" s="716"/>
      <c r="O211" s="244"/>
      <c r="P211" s="244"/>
    </row>
    <row r="212" spans="1:16" ht="15.75" customHeight="1" x14ac:dyDescent="0.25">
      <c r="A212" s="244"/>
      <c r="B212" s="244"/>
      <c r="C212" s="244"/>
      <c r="D212" s="244"/>
      <c r="E212" s="244"/>
      <c r="F212" s="303"/>
      <c r="G212" s="244"/>
      <c r="H212" s="716"/>
      <c r="I212" s="244"/>
      <c r="J212" s="244"/>
      <c r="K212" s="244"/>
      <c r="L212" s="303"/>
      <c r="M212" s="244"/>
      <c r="N212" s="716"/>
      <c r="O212" s="244"/>
      <c r="P212" s="244"/>
    </row>
    <row r="213" spans="1:16" ht="15.75" customHeight="1" x14ac:dyDescent="0.25">
      <c r="A213" s="244"/>
      <c r="B213" s="244"/>
      <c r="C213" s="244"/>
      <c r="D213" s="244"/>
      <c r="E213" s="244"/>
      <c r="F213" s="303"/>
      <c r="G213" s="244"/>
      <c r="H213" s="716"/>
      <c r="I213" s="244"/>
      <c r="J213" s="244"/>
      <c r="K213" s="244"/>
      <c r="L213" s="303"/>
      <c r="M213" s="244"/>
      <c r="N213" s="716"/>
      <c r="O213" s="244"/>
      <c r="P213" s="244"/>
    </row>
    <row r="214" spans="1:16" ht="15.75" customHeight="1" x14ac:dyDescent="0.25">
      <c r="A214" s="244"/>
      <c r="B214" s="244"/>
      <c r="C214" s="244"/>
      <c r="D214" s="244"/>
      <c r="E214" s="244"/>
      <c r="F214" s="303"/>
      <c r="G214" s="244"/>
      <c r="H214" s="716"/>
      <c r="I214" s="244"/>
      <c r="J214" s="244"/>
      <c r="K214" s="244"/>
      <c r="L214" s="303"/>
      <c r="M214" s="244"/>
      <c r="N214" s="716"/>
      <c r="O214" s="244"/>
      <c r="P214" s="244"/>
    </row>
    <row r="215" spans="1:16" ht="15.75" customHeight="1" x14ac:dyDescent="0.25">
      <c r="A215" s="244"/>
      <c r="B215" s="244"/>
      <c r="C215" s="244"/>
      <c r="D215" s="244"/>
      <c r="E215" s="244"/>
      <c r="F215" s="303"/>
      <c r="G215" s="244"/>
      <c r="H215" s="716"/>
      <c r="I215" s="244"/>
      <c r="J215" s="244"/>
      <c r="K215" s="244"/>
      <c r="L215" s="303"/>
      <c r="M215" s="244"/>
      <c r="N215" s="716"/>
      <c r="O215" s="244"/>
      <c r="P215" s="244"/>
    </row>
    <row r="216" spans="1:16" ht="15.75" customHeight="1" x14ac:dyDescent="0.25">
      <c r="A216" s="244"/>
      <c r="B216" s="244"/>
      <c r="C216" s="244"/>
      <c r="D216" s="244"/>
      <c r="E216" s="244"/>
      <c r="F216" s="303"/>
      <c r="G216" s="244"/>
      <c r="H216" s="716"/>
      <c r="I216" s="244"/>
      <c r="J216" s="244"/>
      <c r="K216" s="244"/>
      <c r="L216" s="303"/>
      <c r="M216" s="244"/>
      <c r="N216" s="716"/>
      <c r="O216" s="244"/>
      <c r="P216" s="244"/>
    </row>
    <row r="217" spans="1:16" ht="15.75" customHeight="1" x14ac:dyDescent="0.25">
      <c r="A217" s="244"/>
      <c r="B217" s="244"/>
      <c r="C217" s="244"/>
      <c r="D217" s="244"/>
      <c r="E217" s="244"/>
      <c r="F217" s="303"/>
      <c r="G217" s="244"/>
      <c r="H217" s="716"/>
      <c r="I217" s="244"/>
      <c r="J217" s="244"/>
      <c r="K217" s="244"/>
      <c r="L217" s="303"/>
      <c r="M217" s="244"/>
      <c r="N217" s="716"/>
      <c r="O217" s="244"/>
      <c r="P217" s="244"/>
    </row>
    <row r="218" spans="1:16" ht="15.75" customHeight="1" x14ac:dyDescent="0.25">
      <c r="A218" s="244"/>
      <c r="B218" s="244"/>
      <c r="C218" s="244"/>
      <c r="D218" s="244"/>
      <c r="E218" s="244"/>
      <c r="F218" s="303"/>
      <c r="G218" s="244"/>
      <c r="H218" s="716"/>
      <c r="I218" s="244"/>
      <c r="J218" s="244"/>
      <c r="K218" s="244"/>
      <c r="L218" s="303"/>
      <c r="M218" s="244"/>
      <c r="N218" s="716"/>
      <c r="O218" s="244"/>
      <c r="P218" s="244"/>
    </row>
    <row r="219" spans="1:16" ht="15.75" customHeight="1" x14ac:dyDescent="0.25">
      <c r="A219" s="244"/>
      <c r="B219" s="244"/>
      <c r="C219" s="244"/>
      <c r="D219" s="244"/>
      <c r="E219" s="244"/>
      <c r="F219" s="303"/>
      <c r="G219" s="244"/>
      <c r="H219" s="716"/>
      <c r="I219" s="244"/>
      <c r="J219" s="244"/>
      <c r="K219" s="244"/>
      <c r="L219" s="303"/>
      <c r="M219" s="244"/>
      <c r="N219" s="716"/>
      <c r="O219" s="244"/>
      <c r="P219" s="244"/>
    </row>
    <row r="220" spans="1:16" ht="15.75" customHeight="1" x14ac:dyDescent="0.25">
      <c r="A220" s="244"/>
      <c r="B220" s="244"/>
      <c r="C220" s="244"/>
      <c r="D220" s="244"/>
      <c r="E220" s="244"/>
      <c r="F220" s="303"/>
      <c r="G220" s="244"/>
      <c r="H220" s="716"/>
      <c r="I220" s="244"/>
      <c r="J220" s="244"/>
      <c r="K220" s="244"/>
      <c r="L220" s="303"/>
      <c r="M220" s="244"/>
      <c r="N220" s="716"/>
      <c r="O220" s="244"/>
      <c r="P220" s="244"/>
    </row>
    <row r="221" spans="1:16" ht="15.75" customHeight="1" x14ac:dyDescent="0.25">
      <c r="A221" s="244"/>
      <c r="B221" s="244"/>
      <c r="C221" s="244"/>
      <c r="D221" s="244"/>
      <c r="E221" s="244"/>
      <c r="F221" s="303"/>
      <c r="G221" s="244"/>
      <c r="H221" s="716"/>
      <c r="I221" s="244"/>
      <c r="J221" s="244"/>
      <c r="K221" s="244"/>
      <c r="L221" s="303"/>
      <c r="M221" s="244"/>
      <c r="N221" s="716"/>
      <c r="O221" s="244"/>
      <c r="P221" s="244"/>
    </row>
    <row r="222" spans="1:16" ht="15.75" customHeight="1" x14ac:dyDescent="0.25">
      <c r="A222" s="244"/>
      <c r="B222" s="244"/>
      <c r="C222" s="244"/>
      <c r="D222" s="244"/>
      <c r="E222" s="244"/>
      <c r="F222" s="303"/>
      <c r="G222" s="244"/>
      <c r="H222" s="716"/>
      <c r="I222" s="244"/>
      <c r="J222" s="244"/>
      <c r="K222" s="244"/>
      <c r="L222" s="303"/>
      <c r="M222" s="244"/>
      <c r="N222" s="716"/>
      <c r="O222" s="244"/>
      <c r="P222" s="244"/>
    </row>
    <row r="223" spans="1:16" ht="15.75" customHeight="1" x14ac:dyDescent="0.25">
      <c r="A223" s="244"/>
      <c r="B223" s="244"/>
      <c r="C223" s="244"/>
      <c r="D223" s="244"/>
      <c r="E223" s="244"/>
      <c r="F223" s="303"/>
      <c r="G223" s="244"/>
      <c r="H223" s="716"/>
      <c r="I223" s="244"/>
      <c r="J223" s="244"/>
      <c r="K223" s="244"/>
      <c r="L223" s="303"/>
      <c r="M223" s="244"/>
      <c r="N223" s="716"/>
      <c r="O223" s="244"/>
      <c r="P223" s="244"/>
    </row>
    <row r="224" spans="1:16" ht="15.75" customHeight="1" x14ac:dyDescent="0.25">
      <c r="A224" s="244"/>
      <c r="B224" s="244"/>
      <c r="C224" s="244"/>
      <c r="D224" s="244"/>
      <c r="E224" s="244"/>
      <c r="F224" s="303"/>
      <c r="G224" s="244"/>
      <c r="H224" s="716"/>
      <c r="I224" s="244"/>
      <c r="J224" s="244"/>
      <c r="K224" s="244"/>
      <c r="L224" s="303"/>
      <c r="M224" s="244"/>
      <c r="N224" s="716"/>
      <c r="O224" s="244"/>
      <c r="P224" s="244"/>
    </row>
    <row r="225" spans="1:16" ht="15.75" customHeight="1" x14ac:dyDescent="0.25">
      <c r="A225" s="244"/>
      <c r="B225" s="244"/>
      <c r="C225" s="244"/>
      <c r="D225" s="244"/>
      <c r="E225" s="244"/>
      <c r="F225" s="303"/>
      <c r="G225" s="244"/>
      <c r="H225" s="716"/>
      <c r="I225" s="244"/>
      <c r="J225" s="244"/>
      <c r="K225" s="244"/>
      <c r="L225" s="303"/>
      <c r="M225" s="244"/>
      <c r="N225" s="716"/>
      <c r="O225" s="244"/>
      <c r="P225" s="244"/>
    </row>
    <row r="226" spans="1:16" ht="15.75" customHeight="1" x14ac:dyDescent="0.25">
      <c r="A226" s="244"/>
      <c r="B226" s="244"/>
      <c r="C226" s="244"/>
      <c r="D226" s="244"/>
      <c r="E226" s="244"/>
      <c r="F226" s="303"/>
      <c r="G226" s="244"/>
      <c r="H226" s="716"/>
      <c r="I226" s="244"/>
      <c r="J226" s="244"/>
      <c r="K226" s="244"/>
      <c r="L226" s="303"/>
      <c r="M226" s="244"/>
      <c r="N226" s="716"/>
      <c r="O226" s="244"/>
      <c r="P226" s="244"/>
    </row>
    <row r="227" spans="1:16" ht="15.75" customHeight="1" x14ac:dyDescent="0.25">
      <c r="A227" s="244"/>
      <c r="B227" s="244"/>
      <c r="C227" s="244"/>
      <c r="D227" s="244"/>
      <c r="E227" s="244"/>
      <c r="F227" s="303"/>
      <c r="G227" s="244"/>
      <c r="H227" s="716"/>
      <c r="I227" s="244"/>
      <c r="J227" s="244"/>
      <c r="K227" s="244"/>
      <c r="L227" s="303"/>
      <c r="M227" s="244"/>
      <c r="N227" s="716"/>
      <c r="O227" s="244"/>
      <c r="P227" s="244"/>
    </row>
    <row r="228" spans="1:16" ht="15.75" customHeight="1" x14ac:dyDescent="0.25">
      <c r="A228" s="244"/>
      <c r="B228" s="244"/>
      <c r="C228" s="244"/>
      <c r="D228" s="244"/>
      <c r="E228" s="244"/>
      <c r="F228" s="303"/>
      <c r="G228" s="244"/>
      <c r="H228" s="716"/>
      <c r="I228" s="244"/>
      <c r="J228" s="244"/>
      <c r="K228" s="244"/>
      <c r="L228" s="303"/>
      <c r="M228" s="244"/>
      <c r="N228" s="716"/>
      <c r="O228" s="244"/>
      <c r="P228" s="244"/>
    </row>
    <row r="229" spans="1:16" ht="15.75" customHeight="1" x14ac:dyDescent="0.25">
      <c r="A229" s="244"/>
      <c r="B229" s="244"/>
      <c r="C229" s="244"/>
      <c r="D229" s="244"/>
      <c r="E229" s="244"/>
      <c r="F229" s="303"/>
      <c r="G229" s="244"/>
      <c r="H229" s="716"/>
      <c r="I229" s="244"/>
      <c r="J229" s="244"/>
      <c r="K229" s="244"/>
      <c r="L229" s="303"/>
      <c r="M229" s="244"/>
      <c r="N229" s="716"/>
      <c r="O229" s="244"/>
      <c r="P229" s="244"/>
    </row>
    <row r="230" spans="1:16" ht="15.75" customHeight="1" x14ac:dyDescent="0.25">
      <c r="A230" s="244"/>
      <c r="B230" s="244"/>
      <c r="C230" s="244"/>
      <c r="D230" s="244"/>
      <c r="E230" s="244"/>
      <c r="F230" s="303"/>
      <c r="G230" s="244"/>
      <c r="H230" s="716"/>
      <c r="I230" s="244"/>
      <c r="J230" s="244"/>
      <c r="K230" s="244"/>
      <c r="L230" s="303"/>
      <c r="M230" s="244"/>
      <c r="N230" s="716"/>
      <c r="O230" s="244"/>
      <c r="P230" s="244"/>
    </row>
    <row r="231" spans="1:16" ht="15.75" customHeight="1" x14ac:dyDescent="0.25">
      <c r="A231" s="244"/>
      <c r="B231" s="244"/>
      <c r="C231" s="244"/>
      <c r="D231" s="244"/>
      <c r="E231" s="244"/>
      <c r="F231" s="303"/>
      <c r="G231" s="244"/>
      <c r="H231" s="716"/>
      <c r="I231" s="244"/>
      <c r="J231" s="244"/>
      <c r="K231" s="244"/>
      <c r="L231" s="303"/>
      <c r="M231" s="244"/>
      <c r="N231" s="716"/>
      <c r="O231" s="244"/>
      <c r="P231" s="244"/>
    </row>
    <row r="232" spans="1:16" ht="15.75" customHeight="1" x14ac:dyDescent="0.25">
      <c r="A232" s="244"/>
      <c r="B232" s="244"/>
      <c r="C232" s="244"/>
      <c r="D232" s="244"/>
      <c r="E232" s="244"/>
      <c r="F232" s="303"/>
      <c r="G232" s="244"/>
      <c r="H232" s="716"/>
      <c r="I232" s="244"/>
      <c r="J232" s="244"/>
      <c r="K232" s="244"/>
      <c r="L232" s="303"/>
      <c r="M232" s="244"/>
      <c r="N232" s="716"/>
      <c r="O232" s="244"/>
      <c r="P232" s="244"/>
    </row>
    <row r="233" spans="1:16" ht="15.75" customHeight="1" x14ac:dyDescent="0.25">
      <c r="A233" s="244"/>
      <c r="B233" s="244"/>
      <c r="C233" s="244"/>
      <c r="D233" s="244"/>
      <c r="E233" s="244"/>
      <c r="F233" s="303"/>
      <c r="G233" s="244"/>
      <c r="H233" s="716"/>
      <c r="I233" s="244"/>
      <c r="J233" s="244"/>
      <c r="K233" s="244"/>
      <c r="L233" s="303"/>
      <c r="M233" s="244"/>
      <c r="N233" s="716"/>
      <c r="O233" s="244"/>
      <c r="P233" s="244"/>
    </row>
    <row r="234" spans="1:16" ht="15.75" customHeight="1" x14ac:dyDescent="0.25">
      <c r="A234" s="244"/>
      <c r="B234" s="244"/>
      <c r="C234" s="244"/>
      <c r="D234" s="244"/>
      <c r="E234" s="244"/>
      <c r="F234" s="303"/>
      <c r="G234" s="244"/>
      <c r="H234" s="716"/>
      <c r="I234" s="244"/>
      <c r="J234" s="244"/>
      <c r="K234" s="244"/>
      <c r="L234" s="303"/>
      <c r="M234" s="244"/>
      <c r="N234" s="716"/>
      <c r="O234" s="244"/>
      <c r="P234" s="244"/>
    </row>
    <row r="235" spans="1:16" ht="15.75" customHeight="1" x14ac:dyDescent="0.25">
      <c r="A235" s="244"/>
      <c r="B235" s="244"/>
      <c r="C235" s="244"/>
      <c r="D235" s="244"/>
      <c r="E235" s="244"/>
      <c r="F235" s="303"/>
      <c r="G235" s="244"/>
      <c r="H235" s="716"/>
      <c r="I235" s="244"/>
      <c r="J235" s="244"/>
      <c r="K235" s="244"/>
      <c r="L235" s="303"/>
      <c r="M235" s="244"/>
      <c r="N235" s="716"/>
      <c r="O235" s="244"/>
      <c r="P235" s="244"/>
    </row>
    <row r="236" spans="1:16" ht="15.75" customHeight="1" x14ac:dyDescent="0.25">
      <c r="A236" s="244"/>
      <c r="B236" s="244"/>
      <c r="C236" s="244"/>
      <c r="D236" s="244"/>
      <c r="E236" s="244"/>
      <c r="F236" s="303"/>
      <c r="G236" s="244"/>
      <c r="H236" s="716"/>
      <c r="I236" s="244"/>
      <c r="J236" s="244"/>
      <c r="K236" s="244"/>
      <c r="L236" s="303"/>
      <c r="M236" s="244"/>
      <c r="N236" s="716"/>
      <c r="O236" s="244"/>
      <c r="P236" s="244"/>
    </row>
    <row r="237" spans="1:16" ht="15.75" customHeight="1" x14ac:dyDescent="0.25">
      <c r="A237" s="244"/>
      <c r="B237" s="244"/>
      <c r="C237" s="244"/>
      <c r="D237" s="244"/>
      <c r="E237" s="244"/>
      <c r="F237" s="303"/>
      <c r="G237" s="244"/>
      <c r="H237" s="716"/>
      <c r="I237" s="244"/>
      <c r="J237" s="244"/>
      <c r="K237" s="244"/>
      <c r="L237" s="303"/>
      <c r="M237" s="244"/>
      <c r="N237" s="716"/>
      <c r="O237" s="244"/>
      <c r="P237" s="244"/>
    </row>
    <row r="238" spans="1:16" ht="15.75" customHeight="1" x14ac:dyDescent="0.25">
      <c r="A238" s="244"/>
      <c r="B238" s="244"/>
      <c r="C238" s="244"/>
      <c r="D238" s="244"/>
      <c r="E238" s="244"/>
      <c r="F238" s="303"/>
      <c r="G238" s="244"/>
      <c r="H238" s="716"/>
      <c r="I238" s="244"/>
      <c r="J238" s="244"/>
      <c r="K238" s="244"/>
      <c r="L238" s="303"/>
      <c r="M238" s="244"/>
      <c r="N238" s="716"/>
      <c r="O238" s="244"/>
      <c r="P238" s="244"/>
    </row>
    <row r="239" spans="1:16" ht="15.75" customHeight="1" x14ac:dyDescent="0.25">
      <c r="A239" s="244"/>
      <c r="B239" s="244"/>
      <c r="C239" s="244"/>
      <c r="D239" s="244"/>
      <c r="E239" s="244"/>
      <c r="F239" s="303"/>
      <c r="G239" s="244"/>
      <c r="H239" s="716"/>
      <c r="I239" s="244"/>
      <c r="J239" s="244"/>
      <c r="K239" s="244"/>
      <c r="L239" s="303"/>
      <c r="M239" s="244"/>
      <c r="N239" s="716"/>
      <c r="O239" s="244"/>
      <c r="P239" s="244"/>
    </row>
    <row r="240" spans="1:16" ht="15.75" customHeight="1" x14ac:dyDescent="0.25">
      <c r="A240" s="244"/>
      <c r="B240" s="244"/>
      <c r="C240" s="244"/>
      <c r="D240" s="244"/>
      <c r="E240" s="244"/>
      <c r="F240" s="303"/>
      <c r="G240" s="244"/>
      <c r="H240" s="716"/>
      <c r="I240" s="244"/>
      <c r="J240" s="244"/>
      <c r="K240" s="244"/>
      <c r="L240" s="303"/>
      <c r="M240" s="244"/>
      <c r="N240" s="716"/>
      <c r="O240" s="244"/>
      <c r="P240" s="244"/>
    </row>
    <row r="241" spans="1:16" ht="15.75" customHeight="1" x14ac:dyDescent="0.25">
      <c r="A241" s="244"/>
      <c r="B241" s="244"/>
      <c r="C241" s="244"/>
      <c r="D241" s="244"/>
      <c r="E241" s="244"/>
      <c r="F241" s="303"/>
      <c r="G241" s="244"/>
      <c r="H241" s="716"/>
      <c r="I241" s="244"/>
      <c r="J241" s="244"/>
      <c r="K241" s="244"/>
      <c r="L241" s="303"/>
      <c r="M241" s="244"/>
      <c r="N241" s="716"/>
      <c r="O241" s="244"/>
      <c r="P241" s="244"/>
    </row>
    <row r="242" spans="1:16" ht="15.75" customHeight="1" x14ac:dyDescent="0.25">
      <c r="A242" s="244"/>
      <c r="B242" s="244"/>
      <c r="C242" s="244"/>
      <c r="D242" s="244"/>
      <c r="E242" s="244"/>
      <c r="F242" s="303"/>
      <c r="G242" s="244"/>
      <c r="H242" s="716"/>
      <c r="I242" s="244"/>
      <c r="J242" s="244"/>
      <c r="K242" s="244"/>
      <c r="L242" s="303"/>
      <c r="M242" s="244"/>
      <c r="N242" s="716"/>
      <c r="O242" s="244"/>
      <c r="P242" s="244"/>
    </row>
    <row r="243" spans="1:16" ht="15.75" customHeight="1" x14ac:dyDescent="0.25">
      <c r="A243" s="244"/>
      <c r="B243" s="244"/>
      <c r="C243" s="244"/>
      <c r="D243" s="244"/>
      <c r="E243" s="244"/>
      <c r="F243" s="303"/>
      <c r="G243" s="244"/>
      <c r="H243" s="716"/>
      <c r="I243" s="244"/>
      <c r="J243" s="244"/>
      <c r="K243" s="244"/>
      <c r="L243" s="303"/>
      <c r="M243" s="244"/>
      <c r="N243" s="716"/>
      <c r="O243" s="244"/>
      <c r="P243" s="244"/>
    </row>
    <row r="244" spans="1:16" ht="15.75" customHeight="1" x14ac:dyDescent="0.25">
      <c r="A244" s="244"/>
      <c r="B244" s="244"/>
      <c r="C244" s="244"/>
      <c r="D244" s="244"/>
      <c r="E244" s="244"/>
      <c r="F244" s="303"/>
      <c r="G244" s="244"/>
      <c r="H244" s="716"/>
      <c r="I244" s="244"/>
      <c r="J244" s="244"/>
      <c r="K244" s="244"/>
      <c r="L244" s="303"/>
      <c r="M244" s="244"/>
      <c r="N244" s="716"/>
      <c r="O244" s="244"/>
      <c r="P244" s="244"/>
    </row>
    <row r="245" spans="1:16" ht="15.75" customHeight="1" x14ac:dyDescent="0.25">
      <c r="A245" s="244"/>
      <c r="B245" s="244"/>
      <c r="C245" s="244"/>
      <c r="D245" s="244"/>
      <c r="E245" s="244"/>
      <c r="F245" s="303"/>
      <c r="G245" s="244"/>
      <c r="H245" s="716"/>
      <c r="I245" s="244"/>
      <c r="J245" s="244"/>
      <c r="K245" s="244"/>
      <c r="L245" s="303"/>
      <c r="M245" s="244"/>
      <c r="N245" s="716"/>
      <c r="O245" s="244"/>
      <c r="P245" s="244"/>
    </row>
    <row r="246" spans="1:16" ht="15.75" customHeight="1" x14ac:dyDescent="0.25">
      <c r="A246" s="244"/>
      <c r="B246" s="244"/>
      <c r="C246" s="244"/>
      <c r="D246" s="244"/>
      <c r="E246" s="244"/>
      <c r="F246" s="303"/>
      <c r="G246" s="244"/>
      <c r="H246" s="716"/>
      <c r="I246" s="244"/>
      <c r="J246" s="244"/>
      <c r="K246" s="244"/>
      <c r="L246" s="303"/>
      <c r="M246" s="244"/>
      <c r="N246" s="716"/>
      <c r="O246" s="244"/>
      <c r="P246" s="244"/>
    </row>
    <row r="247" spans="1:16" ht="15.75" customHeight="1" x14ac:dyDescent="0.25">
      <c r="A247" s="244"/>
      <c r="B247" s="244"/>
      <c r="C247" s="244"/>
      <c r="D247" s="244"/>
      <c r="E247" s="244"/>
      <c r="F247" s="303"/>
      <c r="G247" s="244"/>
      <c r="H247" s="716"/>
      <c r="I247" s="244"/>
      <c r="J247" s="244"/>
      <c r="K247" s="244"/>
      <c r="L247" s="303"/>
      <c r="M247" s="244"/>
      <c r="N247" s="716"/>
      <c r="O247" s="244"/>
      <c r="P247" s="244"/>
    </row>
    <row r="248" spans="1:16" ht="15.75" customHeight="1" x14ac:dyDescent="0.25">
      <c r="A248" s="244"/>
      <c r="B248" s="244"/>
      <c r="C248" s="244"/>
      <c r="D248" s="244"/>
      <c r="E248" s="244"/>
      <c r="F248" s="303"/>
      <c r="G248" s="244"/>
      <c r="H248" s="716"/>
      <c r="I248" s="244"/>
      <c r="J248" s="244"/>
      <c r="K248" s="244"/>
      <c r="L248" s="303"/>
      <c r="M248" s="244"/>
      <c r="N248" s="716"/>
      <c r="O248" s="244"/>
      <c r="P248" s="244"/>
    </row>
    <row r="249" spans="1:16" ht="15.75" customHeight="1" x14ac:dyDescent="0.25">
      <c r="A249" s="244"/>
      <c r="B249" s="244"/>
      <c r="C249" s="244"/>
      <c r="D249" s="244"/>
      <c r="E249" s="244"/>
      <c r="F249" s="303"/>
      <c r="G249" s="244"/>
      <c r="H249" s="716"/>
      <c r="I249" s="244"/>
      <c r="J249" s="244"/>
      <c r="K249" s="244"/>
      <c r="L249" s="303"/>
      <c r="M249" s="244"/>
      <c r="N249" s="716"/>
      <c r="O249" s="244"/>
      <c r="P249" s="244"/>
    </row>
    <row r="250" spans="1:16" ht="15.75" customHeight="1" x14ac:dyDescent="0.25">
      <c r="A250" s="244"/>
      <c r="B250" s="244"/>
      <c r="C250" s="244"/>
      <c r="D250" s="244"/>
      <c r="E250" s="244"/>
      <c r="F250" s="303"/>
      <c r="G250" s="244"/>
      <c r="H250" s="716"/>
      <c r="I250" s="244"/>
      <c r="J250" s="244"/>
      <c r="K250" s="244"/>
      <c r="L250" s="303"/>
      <c r="M250" s="244"/>
      <c r="N250" s="716"/>
      <c r="O250" s="244"/>
      <c r="P250" s="244"/>
    </row>
    <row r="251" spans="1:16" ht="15.75" customHeight="1" x14ac:dyDescent="0.25">
      <c r="A251" s="244"/>
      <c r="B251" s="244"/>
      <c r="C251" s="244"/>
      <c r="D251" s="244"/>
      <c r="E251" s="244"/>
      <c r="F251" s="303"/>
      <c r="G251" s="244"/>
      <c r="H251" s="716"/>
      <c r="I251" s="244"/>
      <c r="J251" s="244"/>
      <c r="K251" s="244"/>
      <c r="L251" s="303"/>
      <c r="M251" s="244"/>
      <c r="N251" s="716"/>
      <c r="O251" s="244"/>
      <c r="P251" s="244"/>
    </row>
    <row r="252" spans="1:16" ht="15.75" customHeight="1" x14ac:dyDescent="0.25">
      <c r="A252" s="244"/>
      <c r="B252" s="244"/>
      <c r="C252" s="244"/>
      <c r="D252" s="244"/>
      <c r="E252" s="244"/>
      <c r="F252" s="303"/>
      <c r="G252" s="244"/>
      <c r="H252" s="716"/>
      <c r="I252" s="244"/>
      <c r="J252" s="244"/>
      <c r="K252" s="244"/>
      <c r="L252" s="303"/>
      <c r="M252" s="244"/>
      <c r="N252" s="716"/>
      <c r="O252" s="244"/>
      <c r="P252" s="244"/>
    </row>
    <row r="253" spans="1:16" ht="15.75" customHeight="1" x14ac:dyDescent="0.25">
      <c r="A253" s="244"/>
      <c r="B253" s="244"/>
      <c r="C253" s="244"/>
      <c r="D253" s="244"/>
      <c r="E253" s="244"/>
      <c r="F253" s="303"/>
      <c r="G253" s="244"/>
      <c r="H253" s="716"/>
      <c r="I253" s="244"/>
      <c r="J253" s="244"/>
      <c r="K253" s="244"/>
      <c r="L253" s="303"/>
      <c r="M253" s="244"/>
      <c r="N253" s="716"/>
      <c r="O253" s="244"/>
      <c r="P253" s="244"/>
    </row>
    <row r="254" spans="1:16" ht="15.75" customHeight="1" x14ac:dyDescent="0.25">
      <c r="A254" s="244"/>
      <c r="B254" s="244"/>
      <c r="C254" s="244"/>
      <c r="D254" s="244"/>
      <c r="E254" s="244"/>
      <c r="F254" s="303"/>
      <c r="G254" s="244"/>
      <c r="H254" s="716"/>
      <c r="I254" s="244"/>
      <c r="J254" s="244"/>
      <c r="K254" s="244"/>
      <c r="L254" s="303"/>
      <c r="M254" s="244"/>
      <c r="N254" s="716"/>
      <c r="O254" s="244"/>
      <c r="P254" s="244"/>
    </row>
    <row r="255" spans="1:16" ht="15.75" customHeight="1" x14ac:dyDescent="0.25">
      <c r="A255" s="244"/>
      <c r="B255" s="244"/>
      <c r="C255" s="244"/>
      <c r="D255" s="244"/>
      <c r="E255" s="244"/>
      <c r="F255" s="303"/>
      <c r="G255" s="244"/>
      <c r="H255" s="716"/>
      <c r="I255" s="244"/>
      <c r="J255" s="244"/>
      <c r="K255" s="244"/>
      <c r="L255" s="303"/>
      <c r="M255" s="244"/>
      <c r="N255" s="716"/>
      <c r="O255" s="244"/>
      <c r="P255" s="244"/>
    </row>
    <row r="256" spans="1:16" ht="15.75" customHeight="1" x14ac:dyDescent="0.25">
      <c r="A256" s="244"/>
      <c r="B256" s="244"/>
      <c r="C256" s="244"/>
      <c r="D256" s="244"/>
      <c r="E256" s="244"/>
      <c r="F256" s="303"/>
      <c r="G256" s="244"/>
      <c r="H256" s="716"/>
      <c r="I256" s="244"/>
      <c r="J256" s="244"/>
      <c r="K256" s="244"/>
      <c r="L256" s="303"/>
      <c r="M256" s="244"/>
      <c r="N256" s="716"/>
      <c r="O256" s="244"/>
      <c r="P256" s="244"/>
    </row>
    <row r="257" spans="1:16" ht="15.75" customHeight="1" x14ac:dyDescent="0.25">
      <c r="A257" s="244"/>
      <c r="B257" s="244"/>
      <c r="C257" s="244"/>
      <c r="D257" s="244"/>
      <c r="E257" s="244"/>
      <c r="F257" s="303"/>
      <c r="G257" s="244"/>
      <c r="H257" s="716"/>
      <c r="I257" s="244"/>
      <c r="J257" s="244"/>
      <c r="K257" s="244"/>
      <c r="L257" s="303"/>
      <c r="M257" s="244"/>
      <c r="N257" s="716"/>
      <c r="O257" s="244"/>
      <c r="P257" s="244"/>
    </row>
    <row r="258" spans="1:16" ht="15.75" customHeight="1" x14ac:dyDescent="0.25">
      <c r="A258" s="244"/>
      <c r="B258" s="244"/>
      <c r="C258" s="244"/>
      <c r="D258" s="244"/>
      <c r="E258" s="244"/>
      <c r="F258" s="303"/>
      <c r="G258" s="244"/>
      <c r="H258" s="716"/>
      <c r="I258" s="244"/>
      <c r="J258" s="244"/>
      <c r="K258" s="244"/>
      <c r="L258" s="303"/>
      <c r="M258" s="244"/>
      <c r="N258" s="716"/>
      <c r="O258" s="244"/>
      <c r="P258" s="244"/>
    </row>
    <row r="259" spans="1:16" ht="15.75" customHeight="1" x14ac:dyDescent="0.25">
      <c r="A259" s="244"/>
      <c r="B259" s="244"/>
      <c r="C259" s="244"/>
      <c r="D259" s="244"/>
      <c r="E259" s="244"/>
      <c r="F259" s="303"/>
      <c r="G259" s="244"/>
      <c r="H259" s="716"/>
      <c r="I259" s="244"/>
      <c r="J259" s="244"/>
      <c r="K259" s="244"/>
      <c r="L259" s="303"/>
      <c r="M259" s="244"/>
      <c r="N259" s="716"/>
      <c r="O259" s="244"/>
      <c r="P259" s="244"/>
    </row>
    <row r="260" spans="1:16" ht="15.75" customHeight="1" x14ac:dyDescent="0.25">
      <c r="A260" s="244"/>
      <c r="B260" s="244"/>
      <c r="C260" s="244"/>
      <c r="D260" s="244"/>
      <c r="E260" s="244"/>
      <c r="F260" s="303"/>
      <c r="G260" s="244"/>
      <c r="H260" s="716"/>
      <c r="I260" s="244"/>
      <c r="J260" s="244"/>
      <c r="K260" s="244"/>
      <c r="L260" s="303"/>
      <c r="M260" s="244"/>
      <c r="N260" s="716"/>
      <c r="O260" s="244"/>
      <c r="P260" s="244"/>
    </row>
    <row r="261" spans="1:16" ht="15.75" customHeight="1" x14ac:dyDescent="0.25">
      <c r="A261" s="244"/>
      <c r="B261" s="244"/>
      <c r="C261" s="244"/>
      <c r="D261" s="244"/>
      <c r="E261" s="244"/>
      <c r="F261" s="303"/>
      <c r="G261" s="244"/>
      <c r="H261" s="716"/>
      <c r="I261" s="244"/>
      <c r="J261" s="244"/>
      <c r="K261" s="244"/>
      <c r="L261" s="303"/>
      <c r="M261" s="244"/>
      <c r="N261" s="716"/>
      <c r="O261" s="244"/>
      <c r="P261" s="244"/>
    </row>
    <row r="262" spans="1:16" ht="15.75" customHeight="1" x14ac:dyDescent="0.25">
      <c r="A262" s="244"/>
      <c r="B262" s="244"/>
      <c r="C262" s="244"/>
      <c r="D262" s="244"/>
      <c r="E262" s="244"/>
      <c r="F262" s="303"/>
      <c r="G262" s="244"/>
      <c r="H262" s="716"/>
      <c r="I262" s="244"/>
      <c r="J262" s="244"/>
      <c r="K262" s="244"/>
      <c r="L262" s="303"/>
      <c r="M262" s="244"/>
      <c r="N262" s="716"/>
      <c r="O262" s="244"/>
      <c r="P262" s="244"/>
    </row>
    <row r="263" spans="1:16" ht="15.75" customHeight="1" x14ac:dyDescent="0.25">
      <c r="A263" s="244"/>
      <c r="B263" s="244"/>
      <c r="C263" s="244"/>
      <c r="D263" s="244"/>
      <c r="E263" s="244"/>
      <c r="F263" s="303"/>
      <c r="G263" s="244"/>
      <c r="H263" s="716"/>
      <c r="I263" s="244"/>
      <c r="J263" s="244"/>
      <c r="K263" s="244"/>
      <c r="L263" s="303"/>
      <c r="M263" s="244"/>
      <c r="N263" s="716"/>
      <c r="O263" s="244"/>
      <c r="P263" s="244"/>
    </row>
    <row r="264" spans="1:16" ht="15.75" customHeight="1" x14ac:dyDescent="0.25">
      <c r="A264" s="244"/>
      <c r="B264" s="244"/>
      <c r="C264" s="244"/>
      <c r="D264" s="244"/>
      <c r="E264" s="244"/>
      <c r="F264" s="303"/>
      <c r="G264" s="244"/>
      <c r="H264" s="716"/>
      <c r="I264" s="244"/>
      <c r="J264" s="244"/>
      <c r="K264" s="244"/>
      <c r="L264" s="303"/>
      <c r="M264" s="244"/>
      <c r="N264" s="716"/>
      <c r="O264" s="244"/>
      <c r="P264" s="244"/>
    </row>
    <row r="265" spans="1:16" ht="15.75" customHeight="1" x14ac:dyDescent="0.25">
      <c r="A265" s="244"/>
      <c r="B265" s="244"/>
      <c r="C265" s="244"/>
      <c r="D265" s="244"/>
      <c r="E265" s="244"/>
      <c r="F265" s="303"/>
      <c r="G265" s="244"/>
      <c r="H265" s="716"/>
      <c r="I265" s="244"/>
      <c r="J265" s="244"/>
      <c r="K265" s="244"/>
      <c r="L265" s="303"/>
      <c r="M265" s="244"/>
      <c r="N265" s="716"/>
      <c r="O265" s="244"/>
      <c r="P265" s="244"/>
    </row>
    <row r="266" spans="1:16" ht="15.75" customHeight="1" x14ac:dyDescent="0.25">
      <c r="A266" s="244"/>
      <c r="B266" s="244"/>
      <c r="C266" s="244"/>
      <c r="D266" s="244"/>
      <c r="E266" s="244"/>
      <c r="F266" s="303"/>
      <c r="G266" s="244"/>
      <c r="H266" s="716"/>
      <c r="I266" s="244"/>
      <c r="J266" s="244"/>
      <c r="K266" s="244"/>
      <c r="L266" s="303"/>
      <c r="M266" s="244"/>
      <c r="N266" s="716"/>
      <c r="O266" s="244"/>
      <c r="P266" s="244"/>
    </row>
    <row r="267" spans="1:16" ht="15.75" customHeight="1" x14ac:dyDescent="0.25">
      <c r="A267" s="244"/>
      <c r="B267" s="244"/>
      <c r="C267" s="244"/>
      <c r="D267" s="244"/>
      <c r="E267" s="244"/>
      <c r="F267" s="303"/>
      <c r="G267" s="244"/>
      <c r="H267" s="716"/>
      <c r="I267" s="244"/>
      <c r="J267" s="244"/>
      <c r="K267" s="244"/>
      <c r="L267" s="303"/>
      <c r="M267" s="244"/>
      <c r="N267" s="716"/>
      <c r="O267" s="244"/>
      <c r="P267" s="244"/>
    </row>
    <row r="268" spans="1:16" ht="15.75" customHeight="1" x14ac:dyDescent="0.25">
      <c r="A268" s="244"/>
      <c r="B268" s="244"/>
      <c r="C268" s="244"/>
      <c r="D268" s="244"/>
      <c r="E268" s="244"/>
      <c r="F268" s="303"/>
      <c r="G268" s="244"/>
      <c r="H268" s="716"/>
      <c r="I268" s="244"/>
      <c r="J268" s="244"/>
      <c r="K268" s="244"/>
      <c r="L268" s="303"/>
      <c r="M268" s="244"/>
      <c r="N268" s="716"/>
      <c r="O268" s="244"/>
      <c r="P268" s="244"/>
    </row>
    <row r="269" spans="1:16" ht="15.75" customHeight="1" x14ac:dyDescent="0.25">
      <c r="A269" s="244"/>
      <c r="B269" s="244"/>
      <c r="C269" s="244"/>
      <c r="D269" s="244"/>
      <c r="E269" s="244"/>
      <c r="F269" s="303"/>
      <c r="G269" s="244"/>
      <c r="H269" s="716"/>
      <c r="I269" s="244"/>
      <c r="J269" s="244"/>
      <c r="K269" s="244"/>
      <c r="L269" s="303"/>
      <c r="M269" s="244"/>
      <c r="N269" s="716"/>
      <c r="O269" s="244"/>
      <c r="P269" s="244"/>
    </row>
    <row r="270" spans="1:16" ht="15.75" customHeight="1" x14ac:dyDescent="0.25">
      <c r="A270" s="244"/>
      <c r="B270" s="244"/>
      <c r="C270" s="244"/>
      <c r="D270" s="244"/>
      <c r="E270" s="244"/>
      <c r="F270" s="303"/>
      <c r="G270" s="244"/>
      <c r="H270" s="716"/>
      <c r="I270" s="244"/>
      <c r="J270" s="244"/>
      <c r="K270" s="244"/>
      <c r="L270" s="303"/>
      <c r="M270" s="244"/>
      <c r="N270" s="716"/>
      <c r="O270" s="244"/>
      <c r="P270" s="244"/>
    </row>
    <row r="271" spans="1:16" ht="15.75" customHeight="1" x14ac:dyDescent="0.25">
      <c r="A271" s="244"/>
      <c r="B271" s="244"/>
      <c r="C271" s="244"/>
      <c r="D271" s="244"/>
      <c r="E271" s="244"/>
      <c r="F271" s="303"/>
      <c r="G271" s="244"/>
      <c r="H271" s="716"/>
      <c r="I271" s="244"/>
      <c r="J271" s="244"/>
      <c r="K271" s="244"/>
      <c r="L271" s="303"/>
      <c r="M271" s="244"/>
      <c r="N271" s="716"/>
      <c r="O271" s="244"/>
      <c r="P271" s="244"/>
    </row>
    <row r="272" spans="1:16" ht="15.75" customHeight="1" x14ac:dyDescent="0.25">
      <c r="A272" s="244"/>
      <c r="B272" s="244"/>
      <c r="C272" s="244"/>
      <c r="D272" s="244"/>
      <c r="E272" s="244"/>
      <c r="F272" s="303"/>
      <c r="G272" s="244"/>
      <c r="H272" s="716"/>
      <c r="I272" s="244"/>
      <c r="J272" s="244"/>
      <c r="K272" s="244"/>
      <c r="L272" s="303"/>
      <c r="M272" s="244"/>
      <c r="N272" s="716"/>
      <c r="O272" s="244"/>
      <c r="P272" s="244"/>
    </row>
    <row r="273" spans="1:16" ht="15.75" customHeight="1" x14ac:dyDescent="0.25">
      <c r="A273" s="244"/>
      <c r="B273" s="244"/>
      <c r="C273" s="244"/>
      <c r="D273" s="244"/>
      <c r="E273" s="244"/>
      <c r="F273" s="303"/>
      <c r="G273" s="244"/>
      <c r="H273" s="716"/>
      <c r="I273" s="244"/>
      <c r="J273" s="244"/>
      <c r="K273" s="244"/>
      <c r="L273" s="303"/>
      <c r="M273" s="244"/>
      <c r="N273" s="716"/>
      <c r="O273" s="244"/>
      <c r="P273" s="244"/>
    </row>
    <row r="274" spans="1:16" ht="15.75" customHeight="1" x14ac:dyDescent="0.25">
      <c r="A274" s="244"/>
      <c r="B274" s="244"/>
      <c r="C274" s="244"/>
      <c r="D274" s="244"/>
      <c r="E274" s="244"/>
      <c r="F274" s="303"/>
      <c r="G274" s="244"/>
      <c r="H274" s="716"/>
      <c r="I274" s="244"/>
      <c r="J274" s="244"/>
      <c r="K274" s="244"/>
      <c r="L274" s="303"/>
      <c r="M274" s="244"/>
      <c r="N274" s="716"/>
      <c r="O274" s="244"/>
      <c r="P274" s="244"/>
    </row>
    <row r="275" spans="1:16" ht="15.75" customHeight="1" x14ac:dyDescent="0.25">
      <c r="A275" s="244"/>
      <c r="B275" s="244"/>
      <c r="C275" s="244"/>
      <c r="D275" s="244"/>
      <c r="E275" s="244"/>
      <c r="F275" s="303"/>
      <c r="G275" s="244"/>
      <c r="H275" s="716"/>
      <c r="I275" s="244"/>
      <c r="J275" s="244"/>
      <c r="K275" s="244"/>
      <c r="L275" s="303"/>
      <c r="M275" s="244"/>
      <c r="N275" s="716"/>
      <c r="O275" s="244"/>
      <c r="P275" s="244"/>
    </row>
    <row r="276" spans="1:16" ht="15.75" customHeight="1" x14ac:dyDescent="0.25">
      <c r="A276" s="244"/>
      <c r="B276" s="244"/>
      <c r="C276" s="244"/>
      <c r="D276" s="244"/>
      <c r="E276" s="244"/>
      <c r="F276" s="303"/>
      <c r="G276" s="244"/>
      <c r="H276" s="716"/>
      <c r="I276" s="244"/>
      <c r="J276" s="244"/>
      <c r="K276" s="244"/>
      <c r="L276" s="303"/>
      <c r="M276" s="244"/>
      <c r="N276" s="716"/>
      <c r="O276" s="244"/>
      <c r="P276" s="244"/>
    </row>
    <row r="277" spans="1:16" ht="15.75" customHeight="1" x14ac:dyDescent="0.25">
      <c r="A277" s="244"/>
      <c r="B277" s="244"/>
      <c r="C277" s="244"/>
      <c r="D277" s="244"/>
      <c r="E277" s="244"/>
      <c r="F277" s="303"/>
      <c r="G277" s="244"/>
      <c r="H277" s="716"/>
      <c r="I277" s="244"/>
      <c r="J277" s="244"/>
      <c r="K277" s="244"/>
      <c r="L277" s="303"/>
      <c r="M277" s="244"/>
      <c r="N277" s="716"/>
      <c r="O277" s="244"/>
      <c r="P277" s="244"/>
    </row>
    <row r="278" spans="1:16" ht="15.75" customHeight="1" x14ac:dyDescent="0.25">
      <c r="A278" s="244"/>
      <c r="B278" s="244"/>
      <c r="C278" s="244"/>
      <c r="D278" s="244"/>
      <c r="E278" s="244"/>
      <c r="F278" s="303"/>
      <c r="G278" s="244"/>
      <c r="H278" s="716"/>
      <c r="I278" s="244"/>
      <c r="J278" s="244"/>
      <c r="K278" s="244"/>
      <c r="L278" s="303"/>
      <c r="M278" s="244"/>
      <c r="N278" s="716"/>
      <c r="O278" s="244"/>
      <c r="P278" s="244"/>
    </row>
    <row r="279" spans="1:16" ht="15.75" customHeight="1" x14ac:dyDescent="0.25">
      <c r="A279" s="244"/>
      <c r="B279" s="244"/>
      <c r="C279" s="244"/>
      <c r="D279" s="244"/>
      <c r="E279" s="244"/>
      <c r="F279" s="303"/>
      <c r="G279" s="244"/>
      <c r="H279" s="716"/>
      <c r="I279" s="244"/>
      <c r="J279" s="244"/>
      <c r="K279" s="244"/>
      <c r="L279" s="303"/>
      <c r="M279" s="244"/>
      <c r="N279" s="716"/>
      <c r="O279" s="244"/>
      <c r="P279" s="244"/>
    </row>
    <row r="280" spans="1:16" ht="15.75" customHeight="1" x14ac:dyDescent="0.25">
      <c r="A280" s="244"/>
      <c r="B280" s="244"/>
      <c r="C280" s="244"/>
      <c r="D280" s="244"/>
      <c r="E280" s="244"/>
      <c r="F280" s="303"/>
      <c r="G280" s="244"/>
      <c r="H280" s="716"/>
      <c r="I280" s="244"/>
      <c r="J280" s="244"/>
      <c r="K280" s="244"/>
      <c r="L280" s="303"/>
      <c r="M280" s="244"/>
      <c r="N280" s="716"/>
      <c r="O280" s="244"/>
      <c r="P280" s="244"/>
    </row>
    <row r="281" spans="1:16" ht="15.75" customHeight="1" x14ac:dyDescent="0.25">
      <c r="A281" s="244"/>
      <c r="B281" s="244"/>
      <c r="C281" s="244"/>
      <c r="D281" s="244"/>
      <c r="E281" s="244"/>
      <c r="F281" s="303"/>
      <c r="G281" s="244"/>
      <c r="H281" s="716"/>
      <c r="I281" s="244"/>
      <c r="J281" s="244"/>
      <c r="K281" s="244"/>
      <c r="L281" s="303"/>
      <c r="M281" s="244"/>
      <c r="N281" s="716"/>
      <c r="O281" s="244"/>
      <c r="P281" s="244"/>
    </row>
    <row r="282" spans="1:16" ht="15.75" customHeight="1" x14ac:dyDescent="0.25">
      <c r="A282" s="244"/>
      <c r="B282" s="244"/>
      <c r="C282" s="244"/>
      <c r="D282" s="244"/>
      <c r="E282" s="244"/>
      <c r="F282" s="303"/>
      <c r="G282" s="244"/>
      <c r="H282" s="716"/>
      <c r="I282" s="244"/>
      <c r="J282" s="244"/>
      <c r="K282" s="244"/>
      <c r="L282" s="303"/>
      <c r="M282" s="244"/>
      <c r="N282" s="716"/>
      <c r="O282" s="244"/>
      <c r="P282" s="244"/>
    </row>
    <row r="283" spans="1:16" ht="15.75" customHeight="1" x14ac:dyDescent="0.25">
      <c r="A283" s="244"/>
      <c r="B283" s="244"/>
      <c r="C283" s="244"/>
      <c r="D283" s="244"/>
      <c r="E283" s="244"/>
      <c r="F283" s="303"/>
      <c r="G283" s="244"/>
      <c r="H283" s="716"/>
      <c r="I283" s="244"/>
      <c r="J283" s="244"/>
      <c r="K283" s="244"/>
      <c r="L283" s="303"/>
      <c r="M283" s="244"/>
      <c r="N283" s="716"/>
      <c r="O283" s="244"/>
      <c r="P283" s="244"/>
    </row>
    <row r="284" spans="1:16" ht="15.75" customHeight="1" x14ac:dyDescent="0.25">
      <c r="A284" s="244"/>
      <c r="B284" s="244"/>
      <c r="C284" s="244"/>
      <c r="D284" s="244"/>
      <c r="E284" s="244"/>
      <c r="F284" s="303"/>
      <c r="G284" s="244"/>
      <c r="H284" s="716"/>
      <c r="I284" s="244"/>
      <c r="J284" s="244"/>
      <c r="K284" s="244"/>
      <c r="L284" s="303"/>
      <c r="M284" s="244"/>
      <c r="N284" s="716"/>
      <c r="O284" s="244"/>
      <c r="P284" s="244"/>
    </row>
    <row r="285" spans="1:16" ht="15.75" customHeight="1" x14ac:dyDescent="0.25">
      <c r="A285" s="244"/>
      <c r="B285" s="244"/>
      <c r="C285" s="244"/>
      <c r="D285" s="244"/>
      <c r="E285" s="244"/>
      <c r="F285" s="303"/>
      <c r="G285" s="244"/>
      <c r="H285" s="716"/>
      <c r="I285" s="244"/>
      <c r="J285" s="244"/>
      <c r="K285" s="244"/>
      <c r="L285" s="303"/>
      <c r="M285" s="244"/>
      <c r="N285" s="716"/>
      <c r="O285" s="244"/>
      <c r="P285" s="244"/>
    </row>
    <row r="286" spans="1:16" ht="15.75" customHeight="1" x14ac:dyDescent="0.25">
      <c r="A286" s="244"/>
      <c r="B286" s="244"/>
      <c r="C286" s="244"/>
      <c r="D286" s="244"/>
      <c r="E286" s="244"/>
      <c r="F286" s="303"/>
      <c r="G286" s="244"/>
      <c r="H286" s="716"/>
      <c r="I286" s="244"/>
      <c r="J286" s="244"/>
      <c r="K286" s="244"/>
      <c r="L286" s="303"/>
      <c r="M286" s="244"/>
      <c r="N286" s="716"/>
      <c r="O286" s="244"/>
      <c r="P286" s="244"/>
    </row>
    <row r="287" spans="1:16" ht="15.75" customHeight="1" x14ac:dyDescent="0.25">
      <c r="A287" s="244"/>
      <c r="B287" s="244"/>
      <c r="C287" s="244"/>
      <c r="D287" s="244"/>
      <c r="E287" s="244"/>
      <c r="F287" s="303"/>
      <c r="G287" s="244"/>
      <c r="H287" s="716"/>
      <c r="I287" s="244"/>
      <c r="J287" s="244"/>
      <c r="K287" s="244"/>
      <c r="L287" s="303"/>
      <c r="M287" s="244"/>
      <c r="N287" s="716"/>
      <c r="O287" s="244"/>
      <c r="P287" s="244"/>
    </row>
    <row r="288" spans="1:16" ht="15.75" customHeight="1" x14ac:dyDescent="0.25">
      <c r="A288" s="244"/>
      <c r="B288" s="244"/>
      <c r="C288" s="244"/>
      <c r="D288" s="244"/>
      <c r="E288" s="244"/>
      <c r="F288" s="303"/>
      <c r="G288" s="244"/>
      <c r="H288" s="716"/>
      <c r="I288" s="244"/>
      <c r="J288" s="244"/>
      <c r="K288" s="244"/>
      <c r="L288" s="303"/>
      <c r="M288" s="244"/>
      <c r="N288" s="716"/>
      <c r="O288" s="244"/>
      <c r="P288" s="244"/>
    </row>
    <row r="289" spans="1:16" ht="15.75" customHeight="1" x14ac:dyDescent="0.25">
      <c r="A289" s="244"/>
      <c r="B289" s="244"/>
      <c r="C289" s="244"/>
      <c r="D289" s="244"/>
      <c r="E289" s="244"/>
      <c r="F289" s="303"/>
      <c r="G289" s="244"/>
      <c r="H289" s="716"/>
      <c r="I289" s="244"/>
      <c r="J289" s="244"/>
      <c r="K289" s="244"/>
      <c r="L289" s="303"/>
      <c r="M289" s="244"/>
      <c r="N289" s="716"/>
      <c r="O289" s="244"/>
      <c r="P289" s="244"/>
    </row>
    <row r="290" spans="1:16" ht="15.75" customHeight="1" x14ac:dyDescent="0.25">
      <c r="A290" s="244"/>
      <c r="B290" s="244"/>
      <c r="C290" s="244"/>
      <c r="D290" s="244"/>
      <c r="E290" s="244"/>
      <c r="F290" s="303"/>
      <c r="G290" s="244"/>
      <c r="H290" s="716"/>
      <c r="I290" s="244"/>
      <c r="J290" s="244"/>
      <c r="K290" s="244"/>
      <c r="L290" s="303"/>
      <c r="M290" s="244"/>
      <c r="N290" s="716"/>
      <c r="O290" s="244"/>
      <c r="P290" s="244"/>
    </row>
    <row r="291" spans="1:16" ht="15.75" customHeight="1" x14ac:dyDescent="0.25">
      <c r="A291" s="244"/>
      <c r="B291" s="244"/>
      <c r="C291" s="244"/>
      <c r="D291" s="244"/>
      <c r="E291" s="244"/>
      <c r="F291" s="303"/>
      <c r="G291" s="244"/>
      <c r="H291" s="716"/>
      <c r="I291" s="244"/>
      <c r="J291" s="244"/>
      <c r="K291" s="244"/>
      <c r="L291" s="303"/>
      <c r="M291" s="244"/>
      <c r="N291" s="716"/>
      <c r="O291" s="244"/>
      <c r="P291" s="244"/>
    </row>
    <row r="292" spans="1:16" ht="15.75" customHeight="1" x14ac:dyDescent="0.25">
      <c r="A292" s="244"/>
      <c r="B292" s="244"/>
      <c r="C292" s="244"/>
      <c r="D292" s="244"/>
      <c r="E292" s="244"/>
      <c r="F292" s="303"/>
      <c r="G292" s="244"/>
      <c r="H292" s="716"/>
      <c r="I292" s="244"/>
      <c r="J292" s="244"/>
      <c r="K292" s="244"/>
      <c r="L292" s="303"/>
      <c r="M292" s="244"/>
      <c r="N292" s="716"/>
      <c r="O292" s="244"/>
      <c r="P292" s="244"/>
    </row>
    <row r="293" spans="1:16" ht="15.75" customHeight="1" x14ac:dyDescent="0.25">
      <c r="A293" s="244"/>
      <c r="B293" s="244"/>
      <c r="C293" s="244"/>
      <c r="D293" s="244"/>
      <c r="E293" s="244"/>
      <c r="F293" s="303"/>
      <c r="G293" s="244"/>
      <c r="H293" s="716"/>
      <c r="I293" s="244"/>
      <c r="J293" s="244"/>
      <c r="K293" s="244"/>
      <c r="L293" s="303"/>
      <c r="M293" s="244"/>
      <c r="N293" s="716"/>
      <c r="O293" s="244"/>
      <c r="P293" s="244"/>
    </row>
    <row r="294" spans="1:16" ht="15.75" customHeight="1" x14ac:dyDescent="0.25">
      <c r="A294" s="244"/>
      <c r="B294" s="244"/>
      <c r="C294" s="244"/>
      <c r="D294" s="244"/>
      <c r="E294" s="244"/>
      <c r="F294" s="303"/>
      <c r="G294" s="244"/>
      <c r="H294" s="716"/>
      <c r="I294" s="244"/>
      <c r="J294" s="244"/>
      <c r="K294" s="244"/>
      <c r="L294" s="303"/>
      <c r="M294" s="244"/>
      <c r="N294" s="716"/>
      <c r="O294" s="244"/>
      <c r="P294" s="244"/>
    </row>
    <row r="295" spans="1:16" ht="15.75" customHeight="1" x14ac:dyDescent="0.25">
      <c r="A295" s="244"/>
      <c r="B295" s="244"/>
      <c r="C295" s="244"/>
      <c r="D295" s="244"/>
      <c r="E295" s="244"/>
      <c r="F295" s="303"/>
      <c r="G295" s="244"/>
      <c r="H295" s="716"/>
      <c r="I295" s="244"/>
      <c r="J295" s="244"/>
      <c r="K295" s="244"/>
      <c r="L295" s="303"/>
      <c r="M295" s="244"/>
      <c r="N295" s="716"/>
      <c r="O295" s="244"/>
      <c r="P295" s="244"/>
    </row>
    <row r="296" spans="1:16" ht="15.75" customHeight="1" x14ac:dyDescent="0.25">
      <c r="A296" s="244"/>
      <c r="B296" s="244"/>
      <c r="C296" s="244"/>
      <c r="D296" s="244"/>
      <c r="E296" s="244"/>
      <c r="F296" s="303"/>
      <c r="G296" s="244"/>
      <c r="H296" s="716"/>
      <c r="I296" s="244"/>
      <c r="J296" s="244"/>
      <c r="K296" s="244"/>
      <c r="L296" s="303"/>
      <c r="M296" s="244"/>
      <c r="N296" s="716"/>
      <c r="O296" s="244"/>
      <c r="P296" s="244"/>
    </row>
    <row r="297" spans="1:16" ht="15.75" customHeight="1" x14ac:dyDescent="0.25">
      <c r="A297" s="244"/>
      <c r="B297" s="244"/>
      <c r="C297" s="244"/>
      <c r="D297" s="244"/>
      <c r="E297" s="244"/>
      <c r="F297" s="303"/>
      <c r="G297" s="244"/>
      <c r="H297" s="716"/>
      <c r="I297" s="244"/>
      <c r="J297" s="244"/>
      <c r="K297" s="244"/>
      <c r="L297" s="303"/>
      <c r="M297" s="244"/>
      <c r="N297" s="716"/>
      <c r="O297" s="244"/>
      <c r="P297" s="244"/>
    </row>
    <row r="298" spans="1:16" ht="15.75" customHeight="1" x14ac:dyDescent="0.25">
      <c r="A298" s="244"/>
      <c r="B298" s="244"/>
      <c r="C298" s="244"/>
      <c r="D298" s="244"/>
      <c r="E298" s="244"/>
      <c r="F298" s="303"/>
      <c r="G298" s="244"/>
      <c r="H298" s="716"/>
      <c r="I298" s="244"/>
      <c r="J298" s="244"/>
      <c r="K298" s="244"/>
      <c r="L298" s="303"/>
      <c r="M298" s="244"/>
      <c r="N298" s="716"/>
      <c r="O298" s="244"/>
      <c r="P298" s="244"/>
    </row>
    <row r="299" spans="1:16" ht="15.75" customHeight="1" x14ac:dyDescent="0.25">
      <c r="A299" s="244"/>
      <c r="B299" s="244"/>
      <c r="C299" s="244"/>
      <c r="D299" s="244"/>
      <c r="E299" s="244"/>
      <c r="F299" s="303"/>
      <c r="G299" s="244"/>
      <c r="H299" s="716"/>
      <c r="I299" s="244"/>
      <c r="J299" s="244"/>
      <c r="K299" s="244"/>
      <c r="L299" s="303"/>
      <c r="M299" s="244"/>
      <c r="N299" s="716"/>
      <c r="O299" s="244"/>
      <c r="P299" s="244"/>
    </row>
    <row r="300" spans="1:16" ht="15.75" customHeight="1" x14ac:dyDescent="0.25">
      <c r="A300" s="244"/>
      <c r="B300" s="244"/>
      <c r="C300" s="244"/>
      <c r="D300" s="244"/>
      <c r="E300" s="244"/>
      <c r="F300" s="303"/>
      <c r="G300" s="244"/>
      <c r="H300" s="716"/>
      <c r="I300" s="244"/>
      <c r="J300" s="244"/>
      <c r="K300" s="244"/>
      <c r="L300" s="303"/>
      <c r="M300" s="244"/>
      <c r="N300" s="716"/>
      <c r="O300" s="244"/>
      <c r="P300" s="244"/>
    </row>
    <row r="301" spans="1:16" ht="15.75" customHeight="1" x14ac:dyDescent="0.25">
      <c r="A301" s="244"/>
      <c r="B301" s="244"/>
      <c r="C301" s="244"/>
      <c r="D301" s="244"/>
      <c r="E301" s="244"/>
      <c r="F301" s="303"/>
      <c r="G301" s="244"/>
      <c r="H301" s="716"/>
      <c r="I301" s="244"/>
      <c r="J301" s="244"/>
      <c r="K301" s="244"/>
      <c r="L301" s="303"/>
      <c r="M301" s="244"/>
      <c r="N301" s="716"/>
      <c r="O301" s="244"/>
      <c r="P301" s="244"/>
    </row>
    <row r="302" spans="1:16" ht="15.75" customHeight="1" x14ac:dyDescent="0.25">
      <c r="A302" s="244"/>
      <c r="B302" s="244"/>
      <c r="C302" s="244"/>
      <c r="D302" s="244"/>
      <c r="E302" s="244"/>
      <c r="F302" s="303"/>
      <c r="G302" s="244"/>
      <c r="H302" s="716"/>
      <c r="I302" s="244"/>
      <c r="J302" s="244"/>
      <c r="K302" s="244"/>
      <c r="L302" s="303"/>
      <c r="M302" s="244"/>
      <c r="N302" s="716"/>
      <c r="O302" s="244"/>
      <c r="P302" s="244"/>
    </row>
    <row r="303" spans="1:16" ht="15.75" customHeight="1" x14ac:dyDescent="0.25">
      <c r="A303" s="244"/>
      <c r="B303" s="244"/>
      <c r="C303" s="244"/>
      <c r="D303" s="244"/>
      <c r="E303" s="244"/>
      <c r="F303" s="303"/>
      <c r="G303" s="244"/>
      <c r="H303" s="716"/>
      <c r="I303" s="244"/>
      <c r="J303" s="244"/>
      <c r="K303" s="244"/>
      <c r="L303" s="303"/>
      <c r="M303" s="244"/>
      <c r="N303" s="716"/>
      <c r="O303" s="244"/>
      <c r="P303" s="244"/>
    </row>
    <row r="304" spans="1:16" ht="15.75" customHeight="1" x14ac:dyDescent="0.25">
      <c r="A304" s="244"/>
      <c r="B304" s="244"/>
      <c r="C304" s="244"/>
      <c r="D304" s="244"/>
      <c r="E304" s="244"/>
      <c r="F304" s="303"/>
      <c r="G304" s="244"/>
      <c r="H304" s="716"/>
      <c r="I304" s="244"/>
      <c r="J304" s="244"/>
      <c r="K304" s="244"/>
      <c r="L304" s="303"/>
      <c r="M304" s="244"/>
      <c r="N304" s="716"/>
      <c r="O304" s="244"/>
      <c r="P304" s="244"/>
    </row>
    <row r="305" spans="1:16" ht="15.75" customHeight="1" x14ac:dyDescent="0.25">
      <c r="A305" s="244"/>
      <c r="B305" s="244"/>
      <c r="C305" s="244"/>
      <c r="D305" s="244"/>
      <c r="E305" s="244"/>
      <c r="F305" s="303"/>
      <c r="G305" s="244"/>
      <c r="H305" s="716"/>
      <c r="I305" s="244"/>
      <c r="J305" s="244"/>
      <c r="K305" s="244"/>
      <c r="L305" s="303"/>
      <c r="M305" s="244"/>
      <c r="N305" s="716"/>
      <c r="O305" s="244"/>
      <c r="P305" s="244"/>
    </row>
    <row r="306" spans="1:16" ht="15.75" customHeight="1" x14ac:dyDescent="0.25">
      <c r="A306" s="244"/>
      <c r="B306" s="244"/>
      <c r="C306" s="244"/>
      <c r="D306" s="244"/>
      <c r="E306" s="244"/>
      <c r="F306" s="303"/>
      <c r="G306" s="244"/>
      <c r="H306" s="716"/>
      <c r="I306" s="244"/>
      <c r="J306" s="244"/>
      <c r="K306" s="244"/>
      <c r="L306" s="303"/>
      <c r="M306" s="244"/>
      <c r="N306" s="716"/>
      <c r="O306" s="244"/>
      <c r="P306" s="244"/>
    </row>
    <row r="307" spans="1:16" ht="15.75" customHeight="1" x14ac:dyDescent="0.25">
      <c r="A307" s="244"/>
      <c r="B307" s="244"/>
      <c r="C307" s="244"/>
      <c r="D307" s="244"/>
      <c r="E307" s="244"/>
      <c r="F307" s="303"/>
      <c r="G307" s="244"/>
      <c r="H307" s="716"/>
      <c r="I307" s="244"/>
      <c r="J307" s="244"/>
      <c r="K307" s="244"/>
      <c r="L307" s="303"/>
      <c r="M307" s="244"/>
      <c r="N307" s="716"/>
      <c r="O307" s="244"/>
      <c r="P307" s="244"/>
    </row>
    <row r="308" spans="1:16" ht="15.75" customHeight="1" x14ac:dyDescent="0.25">
      <c r="A308" s="244"/>
      <c r="B308" s="244"/>
      <c r="C308" s="244"/>
      <c r="D308" s="244"/>
      <c r="E308" s="244"/>
      <c r="F308" s="303"/>
      <c r="G308" s="244"/>
      <c r="H308" s="716"/>
      <c r="I308" s="244"/>
      <c r="J308" s="244"/>
      <c r="K308" s="244"/>
      <c r="L308" s="303"/>
      <c r="M308" s="244"/>
      <c r="N308" s="716"/>
      <c r="O308" s="244"/>
      <c r="P308" s="244"/>
    </row>
    <row r="309" spans="1:16" ht="15.75" customHeight="1" x14ac:dyDescent="0.25">
      <c r="A309" s="244"/>
      <c r="B309" s="244"/>
      <c r="C309" s="244"/>
      <c r="D309" s="244"/>
      <c r="E309" s="244"/>
      <c r="F309" s="303"/>
      <c r="G309" s="244"/>
      <c r="H309" s="716"/>
      <c r="I309" s="244"/>
      <c r="J309" s="244"/>
      <c r="K309" s="244"/>
      <c r="L309" s="303"/>
      <c r="M309" s="244"/>
      <c r="N309" s="716"/>
      <c r="O309" s="244"/>
      <c r="P309" s="244"/>
    </row>
    <row r="310" spans="1:16" ht="15.75" customHeight="1" x14ac:dyDescent="0.25">
      <c r="A310" s="244"/>
      <c r="B310" s="244"/>
      <c r="C310" s="244"/>
      <c r="D310" s="244"/>
      <c r="E310" s="244"/>
      <c r="F310" s="303"/>
      <c r="G310" s="244"/>
      <c r="H310" s="716"/>
      <c r="I310" s="244"/>
      <c r="J310" s="244"/>
      <c r="K310" s="244"/>
      <c r="L310" s="303"/>
      <c r="M310" s="244"/>
      <c r="N310" s="716"/>
      <c r="O310" s="244"/>
      <c r="P310" s="244"/>
    </row>
    <row r="311" spans="1:16" ht="15.75" customHeight="1" x14ac:dyDescent="0.25">
      <c r="A311" s="244"/>
      <c r="B311" s="244"/>
      <c r="C311" s="244"/>
      <c r="D311" s="244"/>
      <c r="E311" s="244"/>
      <c r="F311" s="303"/>
      <c r="G311" s="244"/>
      <c r="H311" s="716"/>
      <c r="I311" s="244"/>
      <c r="J311" s="244"/>
      <c r="K311" s="244"/>
      <c r="L311" s="303"/>
      <c r="M311" s="244"/>
      <c r="N311" s="716"/>
      <c r="O311" s="244"/>
      <c r="P311" s="244"/>
    </row>
    <row r="312" spans="1:16" ht="15.75" customHeight="1" x14ac:dyDescent="0.25">
      <c r="A312" s="244"/>
      <c r="B312" s="244"/>
      <c r="C312" s="244"/>
      <c r="D312" s="244"/>
      <c r="E312" s="244"/>
      <c r="F312" s="303"/>
      <c r="G312" s="244"/>
      <c r="H312" s="716"/>
      <c r="I312" s="244"/>
      <c r="J312" s="244"/>
      <c r="K312" s="244"/>
      <c r="L312" s="303"/>
      <c r="M312" s="244"/>
      <c r="N312" s="716"/>
      <c r="O312" s="244"/>
      <c r="P312" s="244"/>
    </row>
    <row r="313" spans="1:16" ht="15.75" customHeight="1" x14ac:dyDescent="0.25">
      <c r="A313" s="244"/>
      <c r="B313" s="244"/>
      <c r="C313" s="244"/>
      <c r="D313" s="244"/>
      <c r="E313" s="244"/>
      <c r="F313" s="303"/>
      <c r="G313" s="244"/>
      <c r="H313" s="716"/>
      <c r="I313" s="244"/>
      <c r="J313" s="244"/>
      <c r="K313" s="244"/>
      <c r="L313" s="303"/>
      <c r="M313" s="244"/>
      <c r="N313" s="716"/>
      <c r="O313" s="244"/>
      <c r="P313" s="244"/>
    </row>
    <row r="314" spans="1:16" ht="15.75" customHeight="1" x14ac:dyDescent="0.25">
      <c r="A314" s="244"/>
      <c r="B314" s="244"/>
      <c r="C314" s="244"/>
      <c r="D314" s="244"/>
      <c r="E314" s="244"/>
      <c r="F314" s="303"/>
      <c r="G314" s="244"/>
      <c r="H314" s="716"/>
      <c r="I314" s="244"/>
      <c r="J314" s="244"/>
      <c r="K314" s="244"/>
      <c r="L314" s="303"/>
      <c r="M314" s="244"/>
      <c r="N314" s="716"/>
      <c r="O314" s="244"/>
      <c r="P314" s="244"/>
    </row>
    <row r="315" spans="1:16" ht="15.75" customHeight="1" x14ac:dyDescent="0.25">
      <c r="A315" s="244"/>
      <c r="B315" s="244"/>
      <c r="C315" s="244"/>
      <c r="D315" s="244"/>
      <c r="E315" s="244"/>
      <c r="F315" s="303"/>
      <c r="G315" s="244"/>
      <c r="H315" s="716"/>
      <c r="I315" s="244"/>
      <c r="J315" s="244"/>
      <c r="K315" s="244"/>
      <c r="L315" s="303"/>
      <c r="M315" s="244"/>
      <c r="N315" s="716"/>
      <c r="O315" s="244"/>
      <c r="P315" s="244"/>
    </row>
    <row r="316" spans="1:16" ht="15.75" customHeight="1" x14ac:dyDescent="0.25">
      <c r="A316" s="244"/>
      <c r="B316" s="244"/>
      <c r="C316" s="244"/>
      <c r="D316" s="244"/>
      <c r="E316" s="244"/>
      <c r="F316" s="303"/>
      <c r="G316" s="244"/>
      <c r="H316" s="716"/>
      <c r="I316" s="244"/>
      <c r="J316" s="244"/>
      <c r="K316" s="244"/>
      <c r="L316" s="303"/>
      <c r="M316" s="244"/>
      <c r="N316" s="716"/>
      <c r="O316" s="244"/>
      <c r="P316" s="244"/>
    </row>
    <row r="317" spans="1:16" ht="15.75" customHeight="1" x14ac:dyDescent="0.25">
      <c r="A317" s="244"/>
      <c r="B317" s="244"/>
      <c r="C317" s="244"/>
      <c r="D317" s="244"/>
      <c r="E317" s="244"/>
      <c r="F317" s="303"/>
      <c r="G317" s="244"/>
      <c r="H317" s="716"/>
      <c r="I317" s="244"/>
      <c r="J317" s="244"/>
      <c r="K317" s="244"/>
      <c r="L317" s="303"/>
      <c r="M317" s="244"/>
      <c r="N317" s="716"/>
      <c r="O317" s="244"/>
      <c r="P317" s="244"/>
    </row>
    <row r="318" spans="1:16" ht="15.75" customHeight="1" x14ac:dyDescent="0.25">
      <c r="A318" s="244"/>
      <c r="B318" s="244"/>
      <c r="C318" s="244"/>
      <c r="D318" s="244"/>
      <c r="E318" s="244"/>
      <c r="F318" s="303"/>
      <c r="G318" s="244"/>
      <c r="H318" s="716"/>
      <c r="I318" s="244"/>
      <c r="J318" s="244"/>
      <c r="K318" s="244"/>
      <c r="L318" s="303"/>
      <c r="M318" s="244"/>
      <c r="N318" s="716"/>
      <c r="O318" s="244"/>
      <c r="P318" s="244"/>
    </row>
    <row r="319" spans="1:16" ht="15.75" customHeight="1" x14ac:dyDescent="0.25">
      <c r="A319" s="244"/>
      <c r="B319" s="244"/>
      <c r="C319" s="244"/>
      <c r="D319" s="244"/>
      <c r="E319" s="244"/>
      <c r="F319" s="303"/>
      <c r="G319" s="244"/>
      <c r="H319" s="716"/>
      <c r="I319" s="244"/>
      <c r="J319" s="244"/>
      <c r="K319" s="244"/>
      <c r="L319" s="303"/>
      <c r="M319" s="244"/>
      <c r="N319" s="716"/>
      <c r="O319" s="244"/>
      <c r="P319" s="244"/>
    </row>
    <row r="320" spans="1:16" ht="15.75" customHeight="1" x14ac:dyDescent="0.25">
      <c r="A320" s="244"/>
      <c r="B320" s="244"/>
      <c r="C320" s="244"/>
      <c r="D320" s="244"/>
      <c r="E320" s="244"/>
      <c r="F320" s="303"/>
      <c r="G320" s="244"/>
      <c r="H320" s="716"/>
      <c r="I320" s="244"/>
      <c r="J320" s="244"/>
      <c r="K320" s="244"/>
      <c r="L320" s="303"/>
      <c r="M320" s="244"/>
      <c r="N320" s="716"/>
      <c r="O320" s="244"/>
      <c r="P320" s="244"/>
    </row>
    <row r="321" spans="1:16" ht="15.75" customHeight="1" x14ac:dyDescent="0.25">
      <c r="A321" s="244"/>
      <c r="B321" s="244"/>
      <c r="C321" s="244"/>
      <c r="D321" s="244"/>
      <c r="E321" s="244"/>
      <c r="F321" s="303"/>
      <c r="G321" s="244"/>
      <c r="H321" s="716"/>
      <c r="I321" s="244"/>
      <c r="J321" s="244"/>
      <c r="K321" s="244"/>
      <c r="L321" s="303"/>
      <c r="M321" s="244"/>
      <c r="N321" s="716"/>
      <c r="O321" s="244"/>
      <c r="P321" s="244"/>
    </row>
    <row r="322" spans="1:16" ht="15.75" customHeight="1" x14ac:dyDescent="0.25">
      <c r="A322" s="244"/>
      <c r="B322" s="244"/>
      <c r="C322" s="244"/>
      <c r="D322" s="244"/>
      <c r="E322" s="244"/>
      <c r="F322" s="303"/>
      <c r="G322" s="244"/>
      <c r="H322" s="716"/>
      <c r="I322" s="244"/>
      <c r="J322" s="244"/>
      <c r="K322" s="244"/>
      <c r="L322" s="303"/>
      <c r="M322" s="244"/>
      <c r="N322" s="716"/>
      <c r="O322" s="244"/>
      <c r="P322" s="244"/>
    </row>
    <row r="323" spans="1:16" ht="15.75" customHeight="1" x14ac:dyDescent="0.25">
      <c r="A323" s="244"/>
      <c r="B323" s="244"/>
      <c r="C323" s="244"/>
      <c r="D323" s="244"/>
      <c r="E323" s="244"/>
      <c r="F323" s="303"/>
      <c r="G323" s="244"/>
      <c r="H323" s="716"/>
      <c r="I323" s="244"/>
      <c r="J323" s="244"/>
      <c r="K323" s="244"/>
      <c r="L323" s="303"/>
      <c r="M323" s="244"/>
      <c r="N323" s="716"/>
      <c r="O323" s="244"/>
      <c r="P323" s="244"/>
    </row>
    <row r="324" spans="1:16" ht="15.75" customHeight="1" x14ac:dyDescent="0.25">
      <c r="A324" s="244"/>
      <c r="B324" s="244"/>
      <c r="C324" s="244"/>
      <c r="D324" s="244"/>
      <c r="E324" s="244"/>
      <c r="F324" s="303"/>
      <c r="G324" s="244"/>
      <c r="H324" s="716"/>
      <c r="I324" s="244"/>
      <c r="J324" s="244"/>
      <c r="K324" s="244"/>
      <c r="L324" s="303"/>
      <c r="M324" s="244"/>
      <c r="N324" s="716"/>
      <c r="O324" s="244"/>
      <c r="P324" s="244"/>
    </row>
    <row r="325" spans="1:16" ht="15.75" customHeight="1" x14ac:dyDescent="0.25">
      <c r="A325" s="244"/>
      <c r="B325" s="244"/>
      <c r="C325" s="244"/>
      <c r="D325" s="244"/>
      <c r="E325" s="244"/>
      <c r="F325" s="303"/>
      <c r="G325" s="244"/>
      <c r="H325" s="716"/>
      <c r="I325" s="244"/>
      <c r="J325" s="244"/>
      <c r="K325" s="244"/>
      <c r="L325" s="303"/>
      <c r="M325" s="244"/>
      <c r="N325" s="716"/>
      <c r="O325" s="244"/>
      <c r="P325" s="244"/>
    </row>
    <row r="326" spans="1:16" ht="15.75" customHeight="1" x14ac:dyDescent="0.25">
      <c r="A326" s="244"/>
      <c r="B326" s="244"/>
      <c r="C326" s="244"/>
      <c r="D326" s="244"/>
      <c r="E326" s="244"/>
      <c r="F326" s="303"/>
      <c r="G326" s="244"/>
      <c r="H326" s="716"/>
      <c r="I326" s="244"/>
      <c r="J326" s="244"/>
      <c r="K326" s="244"/>
      <c r="L326" s="303"/>
      <c r="M326" s="244"/>
      <c r="N326" s="716"/>
      <c r="O326" s="244"/>
      <c r="P326" s="244"/>
    </row>
    <row r="327" spans="1:16" ht="15.75" customHeight="1" x14ac:dyDescent="0.25">
      <c r="A327" s="244"/>
      <c r="B327" s="244"/>
      <c r="C327" s="244"/>
      <c r="D327" s="244"/>
      <c r="E327" s="244"/>
      <c r="F327" s="303"/>
      <c r="G327" s="244"/>
      <c r="H327" s="716"/>
      <c r="I327" s="244"/>
      <c r="J327" s="244"/>
      <c r="K327" s="244"/>
      <c r="L327" s="303"/>
      <c r="M327" s="244"/>
      <c r="N327" s="716"/>
      <c r="O327" s="244"/>
      <c r="P327" s="244"/>
    </row>
    <row r="328" spans="1:16" ht="15.75" customHeight="1" x14ac:dyDescent="0.25">
      <c r="A328" s="244"/>
      <c r="B328" s="244"/>
      <c r="C328" s="244"/>
      <c r="D328" s="244"/>
      <c r="E328" s="244"/>
      <c r="F328" s="303"/>
      <c r="G328" s="244"/>
      <c r="H328" s="716"/>
      <c r="I328" s="244"/>
      <c r="J328" s="244"/>
      <c r="K328" s="244"/>
      <c r="L328" s="303"/>
      <c r="M328" s="244"/>
      <c r="N328" s="716"/>
      <c r="O328" s="244"/>
      <c r="P328" s="244"/>
    </row>
    <row r="329" spans="1:16" ht="15.75" customHeight="1" x14ac:dyDescent="0.25">
      <c r="A329" s="244"/>
      <c r="B329" s="244"/>
      <c r="C329" s="244"/>
      <c r="D329" s="244"/>
      <c r="E329" s="244"/>
      <c r="F329" s="303"/>
      <c r="G329" s="244"/>
      <c r="H329" s="716"/>
      <c r="I329" s="244"/>
      <c r="J329" s="244"/>
      <c r="K329" s="244"/>
      <c r="L329" s="303"/>
      <c r="M329" s="244"/>
      <c r="N329" s="716"/>
      <c r="O329" s="244"/>
      <c r="P329" s="244"/>
    </row>
    <row r="330" spans="1:16" ht="15.75" customHeight="1" x14ac:dyDescent="0.25">
      <c r="A330" s="244"/>
      <c r="B330" s="244"/>
      <c r="C330" s="244"/>
      <c r="D330" s="244"/>
      <c r="E330" s="244"/>
      <c r="F330" s="303"/>
      <c r="G330" s="244"/>
      <c r="H330" s="716"/>
      <c r="I330" s="244"/>
      <c r="J330" s="244"/>
      <c r="K330" s="244"/>
      <c r="L330" s="303"/>
      <c r="M330" s="244"/>
      <c r="N330" s="716"/>
      <c r="O330" s="244"/>
      <c r="P330" s="244"/>
    </row>
    <row r="331" spans="1:16" ht="15.75" customHeight="1" x14ac:dyDescent="0.25">
      <c r="A331" s="244"/>
      <c r="B331" s="244"/>
      <c r="C331" s="244"/>
      <c r="D331" s="244"/>
      <c r="E331" s="244"/>
      <c r="F331" s="303"/>
      <c r="G331" s="244"/>
      <c r="H331" s="716"/>
      <c r="I331" s="244"/>
      <c r="J331" s="244"/>
      <c r="K331" s="244"/>
      <c r="L331" s="303"/>
      <c r="M331" s="244"/>
      <c r="N331" s="716"/>
      <c r="O331" s="244"/>
      <c r="P331" s="244"/>
    </row>
    <row r="332" spans="1:16" ht="15.75" customHeight="1" x14ac:dyDescent="0.25">
      <c r="A332" s="244"/>
      <c r="B332" s="244"/>
      <c r="C332" s="244"/>
      <c r="D332" s="244"/>
      <c r="E332" s="244"/>
      <c r="F332" s="303"/>
      <c r="G332" s="244"/>
      <c r="H332" s="716"/>
      <c r="I332" s="244"/>
      <c r="J332" s="244"/>
      <c r="K332" s="244"/>
      <c r="L332" s="303"/>
      <c r="M332" s="244"/>
      <c r="N332" s="716"/>
      <c r="O332" s="244"/>
      <c r="P332" s="244"/>
    </row>
    <row r="333" spans="1:16" ht="15.75" customHeight="1" x14ac:dyDescent="0.25">
      <c r="A333" s="244"/>
      <c r="B333" s="244"/>
      <c r="C333" s="244"/>
      <c r="D333" s="244"/>
      <c r="E333" s="244"/>
      <c r="F333" s="303"/>
      <c r="G333" s="244"/>
      <c r="H333" s="716"/>
      <c r="I333" s="244"/>
      <c r="J333" s="244"/>
      <c r="K333" s="244"/>
      <c r="L333" s="303"/>
      <c r="M333" s="244"/>
      <c r="N333" s="716"/>
      <c r="O333" s="244"/>
      <c r="P333" s="244"/>
    </row>
    <row r="334" spans="1:16" ht="15.75" customHeight="1" x14ac:dyDescent="0.25">
      <c r="A334" s="244"/>
      <c r="B334" s="244"/>
      <c r="C334" s="244"/>
      <c r="D334" s="244"/>
      <c r="E334" s="244"/>
      <c r="F334" s="303"/>
      <c r="G334" s="244"/>
      <c r="H334" s="716"/>
      <c r="I334" s="244"/>
      <c r="J334" s="244"/>
      <c r="K334" s="244"/>
      <c r="L334" s="303"/>
      <c r="M334" s="244"/>
      <c r="N334" s="716"/>
      <c r="O334" s="244"/>
      <c r="P334" s="244"/>
    </row>
    <row r="335" spans="1:16" ht="15.75" customHeight="1" x14ac:dyDescent="0.25">
      <c r="A335" s="244"/>
      <c r="B335" s="244"/>
      <c r="C335" s="244"/>
      <c r="D335" s="244"/>
      <c r="E335" s="244"/>
      <c r="F335" s="303"/>
      <c r="G335" s="244"/>
      <c r="H335" s="716"/>
      <c r="I335" s="244"/>
      <c r="J335" s="244"/>
      <c r="K335" s="244"/>
      <c r="L335" s="303"/>
      <c r="M335" s="244"/>
      <c r="N335" s="716"/>
      <c r="O335" s="244"/>
      <c r="P335" s="244"/>
    </row>
    <row r="336" spans="1:16" ht="15.75" customHeight="1" x14ac:dyDescent="0.25">
      <c r="A336" s="244"/>
      <c r="B336" s="244"/>
      <c r="C336" s="244"/>
      <c r="D336" s="244"/>
      <c r="E336" s="244"/>
      <c r="F336" s="303"/>
      <c r="G336" s="244"/>
      <c r="H336" s="716"/>
      <c r="I336" s="244"/>
      <c r="J336" s="244"/>
      <c r="K336" s="244"/>
      <c r="L336" s="303"/>
      <c r="M336" s="244"/>
      <c r="N336" s="716"/>
      <c r="O336" s="244"/>
      <c r="P336" s="244"/>
    </row>
    <row r="337" spans="1:16" ht="15.75" customHeight="1" x14ac:dyDescent="0.25">
      <c r="A337" s="244"/>
      <c r="B337" s="244"/>
      <c r="C337" s="244"/>
      <c r="D337" s="244"/>
      <c r="E337" s="244"/>
      <c r="F337" s="303"/>
      <c r="G337" s="244"/>
      <c r="H337" s="716"/>
      <c r="I337" s="244"/>
      <c r="J337" s="244"/>
      <c r="K337" s="244"/>
      <c r="L337" s="303"/>
      <c r="M337" s="244"/>
      <c r="N337" s="716"/>
      <c r="O337" s="244"/>
      <c r="P337" s="244"/>
    </row>
    <row r="338" spans="1:16" ht="15.75" customHeight="1" x14ac:dyDescent="0.25">
      <c r="A338" s="244"/>
      <c r="B338" s="244"/>
      <c r="C338" s="244"/>
      <c r="D338" s="244"/>
      <c r="E338" s="244"/>
      <c r="F338" s="303"/>
      <c r="G338" s="244"/>
      <c r="H338" s="716"/>
      <c r="I338" s="244"/>
      <c r="J338" s="244"/>
      <c r="K338" s="244"/>
      <c r="L338" s="303"/>
      <c r="M338" s="244"/>
      <c r="N338" s="716"/>
      <c r="O338" s="244"/>
      <c r="P338" s="244"/>
    </row>
    <row r="339" spans="1:16" ht="15.75" customHeight="1" x14ac:dyDescent="0.2"/>
    <row r="340" spans="1:16" ht="15.75" customHeight="1" x14ac:dyDescent="0.2"/>
    <row r="341" spans="1:16" ht="15.75" customHeight="1" x14ac:dyDescent="0.2"/>
    <row r="342" spans="1:16" ht="15.75" customHeight="1" x14ac:dyDescent="0.2"/>
    <row r="343" spans="1:16" ht="15.75" customHeight="1" x14ac:dyDescent="0.2"/>
    <row r="344" spans="1:16" ht="15.75" customHeight="1" x14ac:dyDescent="0.2"/>
    <row r="345" spans="1:16" ht="15.75" customHeight="1" x14ac:dyDescent="0.2"/>
    <row r="346" spans="1:16" ht="15.75" customHeight="1" x14ac:dyDescent="0.2"/>
    <row r="347" spans="1:16" ht="15.75" customHeight="1" x14ac:dyDescent="0.2"/>
    <row r="348" spans="1:16" ht="15.75" customHeight="1" x14ac:dyDescent="0.2"/>
    <row r="349" spans="1:16" ht="15.75" customHeight="1" x14ac:dyDescent="0.2"/>
    <row r="350" spans="1:16" ht="15.75" customHeight="1" x14ac:dyDescent="0.2"/>
    <row r="351" spans="1:16" ht="15.75" customHeight="1" x14ac:dyDescent="0.2"/>
    <row r="352" spans="1:16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5">
    <mergeCell ref="B4:B5"/>
    <mergeCell ref="C4:C5"/>
    <mergeCell ref="D4:I4"/>
    <mergeCell ref="J4:O4"/>
    <mergeCell ref="B64:C64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Q986"/>
  <sheetViews>
    <sheetView workbookViewId="0">
      <pane xSplit="3" ySplit="15" topLeftCell="D125" activePane="bottomRight" state="frozen"/>
      <selection pane="topRight" activeCell="D1" sqref="D1"/>
      <selection pane="bottomLeft" activeCell="A16" sqref="A16"/>
      <selection pane="bottomRight" activeCell="D16" sqref="D16"/>
    </sheetView>
  </sheetViews>
  <sheetFormatPr defaultColWidth="12.5703125" defaultRowHeight="15" customHeight="1" x14ac:dyDescent="0.2"/>
  <cols>
    <col min="1" max="1" width="5.5703125" customWidth="1"/>
    <col min="2" max="2" width="9.7109375" customWidth="1"/>
    <col min="3" max="3" width="42.5703125" customWidth="1"/>
    <col min="4" max="4" width="13.140625" customWidth="1"/>
    <col min="5" max="5" width="9" hidden="1" customWidth="1"/>
    <col min="6" max="6" width="12.42578125" hidden="1" customWidth="1"/>
    <col min="7" max="7" width="8.28515625" hidden="1" customWidth="1"/>
    <col min="8" max="9" width="12.5703125" hidden="1"/>
    <col min="10" max="10" width="13.140625" customWidth="1"/>
    <col min="11" max="11" width="9" hidden="1" customWidth="1"/>
    <col min="12" max="12" width="12.42578125" hidden="1" customWidth="1"/>
    <col min="13" max="13" width="8.28515625" hidden="1" customWidth="1"/>
    <col min="14" max="15" width="12.5703125" hidden="1"/>
    <col min="16" max="17" width="12.5703125" customWidth="1"/>
  </cols>
  <sheetData>
    <row r="1" spans="1:17" ht="15.75" customHeight="1" x14ac:dyDescent="0.25">
      <c r="A1" s="244"/>
      <c r="B1" s="245" t="s">
        <v>0</v>
      </c>
      <c r="C1" s="244"/>
      <c r="D1" s="244"/>
      <c r="E1" s="179"/>
      <c r="F1" s="244"/>
      <c r="G1" s="244"/>
      <c r="H1" s="244"/>
      <c r="I1" s="244"/>
      <c r="J1" s="244"/>
      <c r="K1" s="179"/>
      <c r="L1" s="244"/>
      <c r="M1" s="244"/>
      <c r="N1" s="244"/>
      <c r="O1" s="244"/>
      <c r="P1" s="244"/>
      <c r="Q1" s="244"/>
    </row>
    <row r="2" spans="1:17" ht="15.75" customHeight="1" x14ac:dyDescent="0.25">
      <c r="A2" s="244"/>
      <c r="B2" s="246" t="s">
        <v>342</v>
      </c>
      <c r="C2" s="244"/>
      <c r="D2" s="244"/>
      <c r="E2" s="179"/>
      <c r="F2" s="244"/>
      <c r="G2" s="244"/>
      <c r="H2" s="244"/>
      <c r="I2" s="244"/>
      <c r="J2" s="244"/>
      <c r="K2" s="179"/>
      <c r="L2" s="244"/>
      <c r="M2" s="244"/>
      <c r="N2" s="244"/>
      <c r="O2" s="244"/>
      <c r="P2" s="244"/>
      <c r="Q2" s="244"/>
    </row>
    <row r="3" spans="1:17" ht="15.75" customHeight="1" x14ac:dyDescent="0.25">
      <c r="A3" s="244"/>
      <c r="B3" s="244"/>
      <c r="C3" s="244"/>
      <c r="D3" s="244"/>
      <c r="E3" s="179"/>
      <c r="F3" s="244"/>
      <c r="G3" s="244"/>
      <c r="H3" s="244"/>
      <c r="I3" s="244"/>
      <c r="J3" s="244"/>
      <c r="K3" s="179"/>
      <c r="L3" s="244"/>
      <c r="M3" s="244"/>
      <c r="N3" s="244"/>
      <c r="O3" s="244"/>
      <c r="P3" s="244"/>
      <c r="Q3" s="244"/>
    </row>
    <row r="4" spans="1:17" ht="15.75" customHeight="1" x14ac:dyDescent="0.25">
      <c r="A4" s="244"/>
      <c r="B4" s="980" t="s">
        <v>167</v>
      </c>
      <c r="C4" s="981" t="s">
        <v>46</v>
      </c>
      <c r="D4" s="982" t="s">
        <v>168</v>
      </c>
      <c r="E4" s="969"/>
      <c r="F4" s="969"/>
      <c r="G4" s="969"/>
      <c r="H4" s="969"/>
      <c r="I4" s="983"/>
      <c r="J4" s="982" t="s">
        <v>169</v>
      </c>
      <c r="K4" s="969"/>
      <c r="L4" s="969"/>
      <c r="M4" s="969"/>
      <c r="N4" s="969"/>
      <c r="O4" s="983"/>
      <c r="P4" s="305"/>
      <c r="Q4" s="305"/>
    </row>
    <row r="5" spans="1:17" ht="15.75" customHeight="1" x14ac:dyDescent="0.2">
      <c r="A5" s="306"/>
      <c r="B5" s="957"/>
      <c r="C5" s="959"/>
      <c r="D5" s="751" t="s">
        <v>170</v>
      </c>
      <c r="E5" s="752" t="s">
        <v>18</v>
      </c>
      <c r="F5" s="752" t="s">
        <v>171</v>
      </c>
      <c r="G5" s="752" t="s">
        <v>18</v>
      </c>
      <c r="H5" s="752" t="s">
        <v>172</v>
      </c>
      <c r="I5" s="753" t="s">
        <v>260</v>
      </c>
      <c r="J5" s="751" t="s">
        <v>170</v>
      </c>
      <c r="K5" s="752" t="s">
        <v>18</v>
      </c>
      <c r="L5" s="752" t="s">
        <v>171</v>
      </c>
      <c r="M5" s="752" t="s">
        <v>18</v>
      </c>
      <c r="N5" s="752" t="s">
        <v>172</v>
      </c>
      <c r="O5" s="753" t="s">
        <v>260</v>
      </c>
      <c r="P5" s="311"/>
      <c r="Q5" s="311"/>
    </row>
    <row r="6" spans="1:17" ht="15.75" hidden="1" customHeight="1" x14ac:dyDescent="0.25">
      <c r="A6" s="244"/>
      <c r="B6" s="324"/>
      <c r="C6" s="393" t="s">
        <v>78</v>
      </c>
      <c r="D6" s="466">
        <v>0</v>
      </c>
      <c r="E6" s="372"/>
      <c r="F6" s="412"/>
      <c r="G6" s="372"/>
      <c r="H6" s="412"/>
      <c r="I6" s="373"/>
      <c r="J6" s="466">
        <v>0</v>
      </c>
      <c r="K6" s="372"/>
      <c r="L6" s="412"/>
      <c r="M6" s="372"/>
      <c r="N6" s="412"/>
      <c r="O6" s="373"/>
      <c r="P6" s="244"/>
      <c r="Q6" s="244"/>
    </row>
    <row r="7" spans="1:17" ht="15.75" hidden="1" customHeight="1" x14ac:dyDescent="0.25">
      <c r="A7" s="244"/>
      <c r="B7" s="270"/>
      <c r="C7" s="339" t="s">
        <v>85</v>
      </c>
      <c r="D7" s="467">
        <v>0</v>
      </c>
      <c r="E7" s="313"/>
      <c r="F7" s="415"/>
      <c r="G7" s="313"/>
      <c r="H7" s="415"/>
      <c r="I7" s="271"/>
      <c r="J7" s="467">
        <v>0</v>
      </c>
      <c r="K7" s="313"/>
      <c r="L7" s="415"/>
      <c r="M7" s="313"/>
      <c r="N7" s="415"/>
      <c r="O7" s="271"/>
      <c r="P7" s="244"/>
      <c r="Q7" s="244"/>
    </row>
    <row r="8" spans="1:17" ht="15.75" hidden="1" customHeight="1" x14ac:dyDescent="0.25">
      <c r="A8" s="244"/>
      <c r="B8" s="270"/>
      <c r="C8" s="339" t="s">
        <v>92</v>
      </c>
      <c r="D8" s="467">
        <v>0</v>
      </c>
      <c r="E8" s="313"/>
      <c r="F8" s="415"/>
      <c r="G8" s="313"/>
      <c r="H8" s="415"/>
      <c r="I8" s="271"/>
      <c r="J8" s="467">
        <v>0</v>
      </c>
      <c r="K8" s="313"/>
      <c r="L8" s="415"/>
      <c r="M8" s="313"/>
      <c r="N8" s="415"/>
      <c r="O8" s="271"/>
      <c r="P8" s="244"/>
      <c r="Q8" s="244"/>
    </row>
    <row r="9" spans="1:17" ht="15.75" hidden="1" customHeight="1" x14ac:dyDescent="0.25">
      <c r="A9" s="244"/>
      <c r="B9" s="270"/>
      <c r="C9" s="339" t="s">
        <v>99</v>
      </c>
      <c r="D9" s="467">
        <v>0</v>
      </c>
      <c r="E9" s="313"/>
      <c r="F9" s="415"/>
      <c r="G9" s="313"/>
      <c r="H9" s="415"/>
      <c r="I9" s="271"/>
      <c r="J9" s="467">
        <v>0</v>
      </c>
      <c r="K9" s="313"/>
      <c r="L9" s="415"/>
      <c r="M9" s="313"/>
      <c r="N9" s="415"/>
      <c r="O9" s="271"/>
      <c r="P9" s="244"/>
      <c r="Q9" s="244"/>
    </row>
    <row r="10" spans="1:17" ht="15.75" hidden="1" customHeight="1" x14ac:dyDescent="0.25">
      <c r="A10" s="244"/>
      <c r="B10" s="270"/>
      <c r="C10" s="339" t="s">
        <v>106</v>
      </c>
      <c r="D10" s="467">
        <f>SUM(D8:D9)-D29</f>
        <v>-334509.99</v>
      </c>
      <c r="E10" s="313"/>
      <c r="F10" s="415"/>
      <c r="G10" s="313"/>
      <c r="H10" s="415"/>
      <c r="I10" s="271"/>
      <c r="J10" s="467">
        <f>SUM(J8:J9)-J29</f>
        <v>-332317</v>
      </c>
      <c r="K10" s="313"/>
      <c r="L10" s="415"/>
      <c r="M10" s="313"/>
      <c r="N10" s="415"/>
      <c r="O10" s="271"/>
      <c r="P10" s="244"/>
      <c r="Q10" s="244"/>
    </row>
    <row r="11" spans="1:17" ht="15.75" hidden="1" customHeight="1" x14ac:dyDescent="0.25">
      <c r="A11" s="244"/>
      <c r="B11" s="270"/>
      <c r="C11" s="339" t="s">
        <v>113</v>
      </c>
      <c r="D11" s="467"/>
      <c r="E11" s="313"/>
      <c r="F11" s="415"/>
      <c r="G11" s="313"/>
      <c r="H11" s="415"/>
      <c r="I11" s="271"/>
      <c r="J11" s="467"/>
      <c r="K11" s="313"/>
      <c r="L11" s="415"/>
      <c r="M11" s="313"/>
      <c r="N11" s="415"/>
      <c r="O11" s="271"/>
      <c r="P11" s="244"/>
      <c r="Q11" s="244"/>
    </row>
    <row r="12" spans="1:17" ht="15.75" hidden="1" customHeight="1" x14ac:dyDescent="0.25">
      <c r="A12" s="244"/>
      <c r="B12" s="270"/>
      <c r="C12" s="339" t="s">
        <v>120</v>
      </c>
      <c r="D12" s="467"/>
      <c r="E12" s="313"/>
      <c r="F12" s="415"/>
      <c r="G12" s="313"/>
      <c r="H12" s="415"/>
      <c r="I12" s="271"/>
      <c r="J12" s="467"/>
      <c r="K12" s="313"/>
      <c r="L12" s="415"/>
      <c r="M12" s="313"/>
      <c r="N12" s="415"/>
      <c r="O12" s="271"/>
      <c r="P12" s="244"/>
      <c r="Q12" s="244"/>
    </row>
    <row r="13" spans="1:17" ht="15.75" hidden="1" customHeight="1" x14ac:dyDescent="0.25">
      <c r="A13" s="244"/>
      <c r="B13" s="270"/>
      <c r="C13" s="339"/>
      <c r="D13" s="467"/>
      <c r="E13" s="313"/>
      <c r="F13" s="415"/>
      <c r="G13" s="186"/>
      <c r="H13" s="415"/>
      <c r="I13" s="339"/>
      <c r="J13" s="467"/>
      <c r="K13" s="313"/>
      <c r="L13" s="415"/>
      <c r="M13" s="186"/>
      <c r="N13" s="415"/>
      <c r="O13" s="339"/>
      <c r="P13" s="244"/>
      <c r="Q13" s="244"/>
    </row>
    <row r="14" spans="1:17" ht="15.75" hidden="1" customHeight="1" x14ac:dyDescent="0.25">
      <c r="A14" s="244"/>
      <c r="B14" s="270"/>
      <c r="C14" s="339"/>
      <c r="D14" s="467"/>
      <c r="E14" s="313"/>
      <c r="F14" s="415"/>
      <c r="G14" s="186"/>
      <c r="H14" s="415"/>
      <c r="I14" s="339"/>
      <c r="J14" s="467"/>
      <c r="K14" s="313"/>
      <c r="L14" s="415"/>
      <c r="M14" s="186"/>
      <c r="N14" s="415"/>
      <c r="O14" s="339"/>
      <c r="P14" s="244"/>
      <c r="Q14" s="244"/>
    </row>
    <row r="15" spans="1:17" ht="15.75" customHeight="1" x14ac:dyDescent="0.25">
      <c r="A15" s="244"/>
      <c r="B15" s="549" t="s">
        <v>173</v>
      </c>
      <c r="C15" s="754" t="s">
        <v>322</v>
      </c>
      <c r="D15" s="509">
        <f>SUM(D18:D21)</f>
        <v>334509.99</v>
      </c>
      <c r="E15" s="733"/>
      <c r="F15" s="448"/>
      <c r="G15" s="454"/>
      <c r="H15" s="448"/>
      <c r="I15" s="455"/>
      <c r="J15" s="509">
        <f>SUM(J18:J21)</f>
        <v>332317</v>
      </c>
      <c r="K15" s="313"/>
      <c r="L15" s="415"/>
      <c r="M15" s="186"/>
      <c r="N15" s="415"/>
      <c r="O15" s="339"/>
      <c r="P15" s="244"/>
      <c r="Q15" s="244"/>
    </row>
    <row r="16" spans="1:17" ht="15.75" customHeight="1" x14ac:dyDescent="0.25">
      <c r="A16" s="244"/>
      <c r="B16" s="270"/>
      <c r="C16" s="339"/>
      <c r="D16" s="467"/>
      <c r="E16" s="313"/>
      <c r="F16" s="415"/>
      <c r="G16" s="186"/>
      <c r="H16" s="415">
        <f>SUM(H17:H21)</f>
        <v>149247.29999999999</v>
      </c>
      <c r="I16" s="339"/>
      <c r="J16" s="467"/>
      <c r="K16" s="313"/>
      <c r="L16" s="415"/>
      <c r="M16" s="186"/>
      <c r="N16" s="415">
        <f>SUM(N17:N21)</f>
        <v>179110</v>
      </c>
      <c r="O16" s="339"/>
      <c r="P16" s="246"/>
      <c r="Q16" s="246"/>
    </row>
    <row r="17" spans="1:17" ht="15.75" customHeight="1" x14ac:dyDescent="0.25">
      <c r="A17" s="244"/>
      <c r="B17" s="270"/>
      <c r="C17" s="339"/>
      <c r="D17" s="467"/>
      <c r="E17" s="313"/>
      <c r="F17" s="415"/>
      <c r="G17" s="186"/>
      <c r="H17" s="415"/>
      <c r="I17" s="339"/>
      <c r="J17" s="467"/>
      <c r="K17" s="313"/>
      <c r="L17" s="415"/>
      <c r="M17" s="186"/>
      <c r="N17" s="415"/>
      <c r="O17" s="339"/>
      <c r="P17" s="244"/>
      <c r="Q17" s="244"/>
    </row>
    <row r="18" spans="1:17" ht="15.75" customHeight="1" x14ac:dyDescent="0.25">
      <c r="A18" s="244"/>
      <c r="B18" s="270" t="s">
        <v>23</v>
      </c>
      <c r="C18" s="339" t="s">
        <v>343</v>
      </c>
      <c r="D18" s="467">
        <v>149247.29999999999</v>
      </c>
      <c r="E18" s="332">
        <f t="shared" ref="E18:E19" si="0">D18/D$29</f>
        <v>0.44616694407243263</v>
      </c>
      <c r="F18" s="415"/>
      <c r="G18" s="332" t="e">
        <f t="shared" ref="G18:G19" si="1">F18/F$29</f>
        <v>#DIV/0!</v>
      </c>
      <c r="H18" s="415">
        <f>D18-F18</f>
        <v>149247.29999999999</v>
      </c>
      <c r="I18" s="339"/>
      <c r="J18" s="467">
        <v>179110</v>
      </c>
      <c r="K18" s="332">
        <f t="shared" ref="K18:K19" si="2">J18/J$29</f>
        <v>0.53897332968220102</v>
      </c>
      <c r="L18" s="415"/>
      <c r="M18" s="332" t="e">
        <f t="shared" ref="M18:M19" si="3">L18/L$29</f>
        <v>#DIV/0!</v>
      </c>
      <c r="N18" s="415">
        <f>J18-L18</f>
        <v>179110</v>
      </c>
      <c r="O18" s="339"/>
      <c r="P18" s="244"/>
      <c r="Q18" s="244"/>
    </row>
    <row r="19" spans="1:17" ht="15.75" customHeight="1" x14ac:dyDescent="0.25">
      <c r="A19" s="244"/>
      <c r="B19" s="264"/>
      <c r="C19" s="339" t="s">
        <v>344</v>
      </c>
      <c r="D19" s="467">
        <v>168096.5</v>
      </c>
      <c r="E19" s="332">
        <f t="shared" si="0"/>
        <v>0.50251563488432738</v>
      </c>
      <c r="F19" s="415"/>
      <c r="G19" s="332" t="e">
        <f t="shared" si="1"/>
        <v>#DIV/0!</v>
      </c>
      <c r="H19" s="415"/>
      <c r="I19" s="339"/>
      <c r="J19" s="467">
        <v>153207</v>
      </c>
      <c r="K19" s="332">
        <f t="shared" si="2"/>
        <v>0.46102667031779898</v>
      </c>
      <c r="L19" s="415"/>
      <c r="M19" s="332" t="e">
        <f t="shared" si="3"/>
        <v>#DIV/0!</v>
      </c>
      <c r="N19" s="415"/>
      <c r="O19" s="339"/>
      <c r="P19" s="244"/>
      <c r="Q19" s="244"/>
    </row>
    <row r="20" spans="1:17" ht="15.75" customHeight="1" x14ac:dyDescent="0.25">
      <c r="A20" s="244"/>
      <c r="B20" s="331"/>
      <c r="C20" s="339"/>
      <c r="D20" s="467"/>
      <c r="E20" s="313"/>
      <c r="F20" s="415"/>
      <c r="G20" s="186"/>
      <c r="H20" s="415"/>
      <c r="I20" s="339"/>
      <c r="J20" s="467"/>
      <c r="K20" s="313"/>
      <c r="L20" s="415"/>
      <c r="M20" s="186"/>
      <c r="N20" s="415"/>
      <c r="O20" s="339"/>
      <c r="P20" s="244"/>
      <c r="Q20" s="244"/>
    </row>
    <row r="21" spans="1:17" ht="15.75" customHeight="1" x14ac:dyDescent="0.25">
      <c r="A21" s="244"/>
      <c r="B21" s="331"/>
      <c r="C21" s="339" t="s">
        <v>179</v>
      </c>
      <c r="D21" s="467">
        <f>8761.25+8404.94</f>
        <v>17166.190000000002</v>
      </c>
      <c r="E21" s="186"/>
      <c r="F21" s="415"/>
      <c r="G21" s="186"/>
      <c r="H21" s="415"/>
      <c r="I21" s="339"/>
      <c r="J21" s="467"/>
      <c r="K21" s="186"/>
      <c r="L21" s="415"/>
      <c r="M21" s="186"/>
      <c r="N21" s="415"/>
      <c r="O21" s="339"/>
      <c r="P21" s="244"/>
      <c r="Q21" s="244"/>
    </row>
    <row r="22" spans="1:17" ht="15.75" customHeight="1" x14ac:dyDescent="0.25">
      <c r="A22" s="244"/>
      <c r="B22" s="331"/>
      <c r="C22" s="339"/>
      <c r="D22" s="467"/>
      <c r="E22" s="313"/>
      <c r="F22" s="415"/>
      <c r="G22" s="186"/>
      <c r="H22" s="415"/>
      <c r="I22" s="339"/>
      <c r="J22" s="467"/>
      <c r="K22" s="313"/>
      <c r="L22" s="415"/>
      <c r="M22" s="186"/>
      <c r="N22" s="415"/>
      <c r="O22" s="339"/>
      <c r="P22" s="244"/>
      <c r="Q22" s="244"/>
    </row>
    <row r="23" spans="1:17" ht="15.75" customHeight="1" x14ac:dyDescent="0.25">
      <c r="A23" s="244"/>
      <c r="B23" s="270"/>
      <c r="C23" s="339"/>
      <c r="D23" s="467"/>
      <c r="E23" s="313"/>
      <c r="F23" s="415"/>
      <c r="G23" s="186"/>
      <c r="H23" s="415"/>
      <c r="I23" s="339"/>
      <c r="J23" s="467"/>
      <c r="K23" s="313"/>
      <c r="L23" s="415"/>
      <c r="M23" s="186"/>
      <c r="N23" s="415"/>
      <c r="O23" s="339"/>
      <c r="P23" s="244"/>
      <c r="Q23" s="244"/>
    </row>
    <row r="24" spans="1:17" ht="15.75" customHeight="1" x14ac:dyDescent="0.25">
      <c r="A24" s="244"/>
      <c r="B24" s="270" t="s">
        <v>21</v>
      </c>
      <c r="C24" s="339" t="s">
        <v>21</v>
      </c>
      <c r="D24" s="265">
        <v>0</v>
      </c>
      <c r="E24" s="296"/>
      <c r="F24" s="296"/>
      <c r="G24" s="451"/>
      <c r="H24" s="296">
        <v>0</v>
      </c>
      <c r="I24" s="755"/>
      <c r="J24" s="265">
        <v>0</v>
      </c>
      <c r="K24" s="296"/>
      <c r="L24" s="296"/>
      <c r="M24" s="451"/>
      <c r="N24" s="296">
        <v>0</v>
      </c>
      <c r="O24" s="755"/>
      <c r="P24" s="244"/>
      <c r="Q24" s="244"/>
    </row>
    <row r="25" spans="1:17" ht="15.75" customHeight="1" x14ac:dyDescent="0.25">
      <c r="A25" s="244"/>
      <c r="B25" s="270" t="s">
        <v>22</v>
      </c>
      <c r="C25" s="339" t="s">
        <v>22</v>
      </c>
      <c r="D25" s="265">
        <v>0</v>
      </c>
      <c r="E25" s="296"/>
      <c r="F25" s="296"/>
      <c r="G25" s="451"/>
      <c r="H25" s="296">
        <v>0</v>
      </c>
      <c r="I25" s="755"/>
      <c r="J25" s="265">
        <v>0</v>
      </c>
      <c r="K25" s="296"/>
      <c r="L25" s="296"/>
      <c r="M25" s="451"/>
      <c r="N25" s="296">
        <v>0</v>
      </c>
      <c r="O25" s="755"/>
      <c r="P25" s="244"/>
      <c r="Q25" s="244"/>
    </row>
    <row r="26" spans="1:17" ht="15.75" customHeight="1" x14ac:dyDescent="0.25">
      <c r="A26" s="244"/>
      <c r="B26" s="270" t="s">
        <v>23</v>
      </c>
      <c r="C26" s="339" t="s">
        <v>180</v>
      </c>
      <c r="D26" s="756">
        <f>SUM(D18:D21)</f>
        <v>334509.99</v>
      </c>
      <c r="E26" s="313"/>
      <c r="F26" s="420"/>
      <c r="G26" s="186"/>
      <c r="H26" s="420">
        <f>SUM(H17:H21)</f>
        <v>149247.29999999999</v>
      </c>
      <c r="I26" s="339"/>
      <c r="J26" s="756">
        <f>SUM(J18:J21)</f>
        <v>332317</v>
      </c>
      <c r="K26" s="313"/>
      <c r="L26" s="420"/>
      <c r="M26" s="186"/>
      <c r="N26" s="420">
        <f>SUM(N17:N21)</f>
        <v>179110</v>
      </c>
      <c r="O26" s="339"/>
      <c r="P26" s="244"/>
      <c r="Q26" s="244"/>
    </row>
    <row r="27" spans="1:17" ht="15.75" customHeight="1" x14ac:dyDescent="0.25">
      <c r="A27" s="244"/>
      <c r="B27" s="331"/>
      <c r="C27" s="339"/>
      <c r="D27" s="467"/>
      <c r="E27" s="313"/>
      <c r="F27" s="313"/>
      <c r="G27" s="186"/>
      <c r="H27" s="186"/>
      <c r="I27" s="339"/>
      <c r="J27" s="467"/>
      <c r="K27" s="313"/>
      <c r="L27" s="313"/>
      <c r="M27" s="186"/>
      <c r="N27" s="186"/>
      <c r="O27" s="339"/>
      <c r="P27" s="244"/>
      <c r="Q27" s="244"/>
    </row>
    <row r="28" spans="1:17" ht="15.75" customHeight="1" x14ac:dyDescent="0.25">
      <c r="A28" s="244"/>
      <c r="B28" s="346"/>
      <c r="C28" s="404" t="s">
        <v>181</v>
      </c>
      <c r="D28" s="468"/>
      <c r="E28" s="316"/>
      <c r="F28" s="316"/>
      <c r="G28" s="458"/>
      <c r="H28" s="458"/>
      <c r="I28" s="404"/>
      <c r="J28" s="468"/>
      <c r="K28" s="316"/>
      <c r="L28" s="316"/>
      <c r="M28" s="458"/>
      <c r="N28" s="458"/>
      <c r="O28" s="404"/>
      <c r="P28" s="244"/>
      <c r="Q28" s="244"/>
    </row>
    <row r="29" spans="1:17" ht="15.75" customHeight="1" x14ac:dyDescent="0.25">
      <c r="A29" s="244"/>
      <c r="B29" s="347"/>
      <c r="C29" s="410" t="s">
        <v>182</v>
      </c>
      <c r="D29" s="485">
        <f>D24+D25+D26+D28</f>
        <v>334509.99</v>
      </c>
      <c r="E29" s="348"/>
      <c r="F29" s="411">
        <f>F24+F25+F26+F28</f>
        <v>0</v>
      </c>
      <c r="G29" s="459"/>
      <c r="H29" s="411">
        <f>H24+H25+H26+H28</f>
        <v>149247.29999999999</v>
      </c>
      <c r="I29" s="410"/>
      <c r="J29" s="485">
        <f>J24+J25+J26+J28</f>
        <v>332317</v>
      </c>
      <c r="K29" s="348"/>
      <c r="L29" s="411">
        <f>L24+L25+L26+L28</f>
        <v>0</v>
      </c>
      <c r="M29" s="459"/>
      <c r="N29" s="411">
        <f>N24+N25+N26+N28</f>
        <v>179110</v>
      </c>
      <c r="O29" s="410"/>
      <c r="P29" s="246"/>
      <c r="Q29" s="246"/>
    </row>
    <row r="30" spans="1:17" ht="15.75" hidden="1" customHeight="1" x14ac:dyDescent="0.25">
      <c r="A30" s="244"/>
      <c r="B30" s="324"/>
      <c r="C30" s="393"/>
      <c r="D30" s="466"/>
      <c r="E30" s="372"/>
      <c r="F30" s="372"/>
      <c r="G30" s="372"/>
      <c r="H30" s="372"/>
      <c r="I30" s="373"/>
      <c r="J30" s="466"/>
      <c r="K30" s="372"/>
      <c r="L30" s="372"/>
      <c r="M30" s="372"/>
      <c r="N30" s="372"/>
      <c r="O30" s="373"/>
      <c r="P30" s="244"/>
      <c r="Q30" s="244"/>
    </row>
    <row r="31" spans="1:17" ht="15.75" hidden="1" customHeight="1" x14ac:dyDescent="0.25">
      <c r="A31" s="244"/>
      <c r="B31" s="331"/>
      <c r="C31" s="339"/>
      <c r="D31" s="467"/>
      <c r="E31" s="332"/>
      <c r="F31" s="415"/>
      <c r="G31" s="415"/>
      <c r="H31" s="415"/>
      <c r="I31" s="486"/>
      <c r="J31" s="467"/>
      <c r="K31" s="332"/>
      <c r="L31" s="415"/>
      <c r="M31" s="415"/>
      <c r="N31" s="415"/>
      <c r="O31" s="486"/>
      <c r="P31" s="244"/>
      <c r="Q31" s="244"/>
    </row>
    <row r="32" spans="1:17" ht="15.75" hidden="1" customHeight="1" x14ac:dyDescent="0.25">
      <c r="A32" s="244"/>
      <c r="B32" s="331"/>
      <c r="C32" s="339"/>
      <c r="D32" s="467"/>
      <c r="E32" s="332"/>
      <c r="F32" s="415"/>
      <c r="G32" s="415"/>
      <c r="H32" s="415"/>
      <c r="I32" s="486"/>
      <c r="J32" s="467"/>
      <c r="K32" s="332"/>
      <c r="L32" s="415"/>
      <c r="M32" s="415"/>
      <c r="N32" s="415"/>
      <c r="O32" s="486"/>
      <c r="P32" s="244"/>
      <c r="Q32" s="244"/>
    </row>
    <row r="33" spans="1:17" ht="15.75" hidden="1" customHeight="1" x14ac:dyDescent="0.25">
      <c r="A33" s="244"/>
      <c r="B33" s="331"/>
      <c r="C33" s="339"/>
      <c r="D33" s="467"/>
      <c r="E33" s="332"/>
      <c r="F33" s="415"/>
      <c r="G33" s="415"/>
      <c r="H33" s="415"/>
      <c r="I33" s="486"/>
      <c r="J33" s="467"/>
      <c r="K33" s="332"/>
      <c r="L33" s="415"/>
      <c r="M33" s="415"/>
      <c r="N33" s="415"/>
      <c r="O33" s="486"/>
      <c r="P33" s="244"/>
      <c r="Q33" s="244"/>
    </row>
    <row r="34" spans="1:17" ht="15.75" hidden="1" customHeight="1" x14ac:dyDescent="0.25">
      <c r="A34" s="244"/>
      <c r="B34" s="331"/>
      <c r="C34" s="339"/>
      <c r="D34" s="467"/>
      <c r="E34" s="332"/>
      <c r="F34" s="415"/>
      <c r="G34" s="415"/>
      <c r="H34" s="415"/>
      <c r="I34" s="486"/>
      <c r="J34" s="467"/>
      <c r="K34" s="332"/>
      <c r="L34" s="415"/>
      <c r="M34" s="415"/>
      <c r="N34" s="415"/>
      <c r="O34" s="486"/>
      <c r="P34" s="244"/>
      <c r="Q34" s="244"/>
    </row>
    <row r="35" spans="1:17" ht="15.75" hidden="1" customHeight="1" x14ac:dyDescent="0.25">
      <c r="A35" s="244"/>
      <c r="B35" s="331"/>
      <c r="C35" s="339"/>
      <c r="D35" s="467"/>
      <c r="E35" s="332"/>
      <c r="F35" s="415"/>
      <c r="G35" s="415"/>
      <c r="H35" s="415"/>
      <c r="I35" s="486"/>
      <c r="J35" s="467"/>
      <c r="K35" s="332"/>
      <c r="L35" s="415"/>
      <c r="M35" s="415"/>
      <c r="N35" s="415"/>
      <c r="O35" s="486"/>
      <c r="P35" s="244"/>
      <c r="Q35" s="244"/>
    </row>
    <row r="36" spans="1:17" ht="15.75" hidden="1" customHeight="1" x14ac:dyDescent="0.25">
      <c r="A36" s="244"/>
      <c r="B36" s="331"/>
      <c r="C36" s="339"/>
      <c r="D36" s="467"/>
      <c r="E36" s="332"/>
      <c r="F36" s="415"/>
      <c r="G36" s="415"/>
      <c r="H36" s="415"/>
      <c r="I36" s="486"/>
      <c r="J36" s="467"/>
      <c r="K36" s="332"/>
      <c r="L36" s="415"/>
      <c r="M36" s="415"/>
      <c r="N36" s="415"/>
      <c r="O36" s="486"/>
      <c r="P36" s="244"/>
      <c r="Q36" s="244"/>
    </row>
    <row r="37" spans="1:17" ht="15.75" hidden="1" customHeight="1" x14ac:dyDescent="0.25">
      <c r="A37" s="244"/>
      <c r="B37" s="331"/>
      <c r="C37" s="339"/>
      <c r="D37" s="467"/>
      <c r="E37" s="332"/>
      <c r="F37" s="415"/>
      <c r="G37" s="415"/>
      <c r="H37" s="415"/>
      <c r="I37" s="486"/>
      <c r="J37" s="467"/>
      <c r="K37" s="332"/>
      <c r="L37" s="415"/>
      <c r="M37" s="415"/>
      <c r="N37" s="415"/>
      <c r="O37" s="486"/>
      <c r="P37" s="246"/>
      <c r="Q37" s="246"/>
    </row>
    <row r="38" spans="1:17" ht="15.75" customHeight="1" x14ac:dyDescent="0.25">
      <c r="A38" s="244"/>
      <c r="B38" s="270"/>
      <c r="C38" s="271"/>
      <c r="D38" s="467"/>
      <c r="E38" s="313"/>
      <c r="F38" s="186"/>
      <c r="G38" s="186"/>
      <c r="H38" s="186"/>
      <c r="I38" s="339"/>
      <c r="J38" s="467"/>
      <c r="K38" s="313"/>
      <c r="L38" s="186"/>
      <c r="M38" s="186"/>
      <c r="N38" s="186"/>
      <c r="O38" s="339"/>
      <c r="P38" s="244"/>
      <c r="Q38" s="244"/>
    </row>
    <row r="39" spans="1:17" ht="15.75" customHeight="1" x14ac:dyDescent="0.25">
      <c r="A39" s="244"/>
      <c r="B39" s="487" t="s">
        <v>186</v>
      </c>
      <c r="C39" s="422"/>
      <c r="D39" s="467"/>
      <c r="E39" s="313"/>
      <c r="F39" s="186"/>
      <c r="G39" s="186"/>
      <c r="H39" s="186"/>
      <c r="I39" s="339"/>
      <c r="J39" s="467"/>
      <c r="K39" s="313"/>
      <c r="L39" s="186"/>
      <c r="M39" s="186"/>
      <c r="N39" s="186"/>
      <c r="O39" s="339"/>
      <c r="P39" s="244"/>
      <c r="Q39" s="244"/>
    </row>
    <row r="40" spans="1:17" ht="15.75" customHeight="1" x14ac:dyDescent="0.25">
      <c r="A40" s="244"/>
      <c r="B40" s="270" t="s">
        <v>28</v>
      </c>
      <c r="C40" s="339"/>
      <c r="D40" s="467"/>
      <c r="E40" s="313"/>
      <c r="F40" s="186"/>
      <c r="G40" s="186"/>
      <c r="H40" s="186"/>
      <c r="I40" s="339"/>
      <c r="J40" s="467"/>
      <c r="K40" s="313"/>
      <c r="L40" s="186"/>
      <c r="M40" s="186"/>
      <c r="N40" s="186"/>
      <c r="O40" s="339"/>
      <c r="P40" s="244"/>
      <c r="Q40" s="244"/>
    </row>
    <row r="41" spans="1:17" ht="15.75" customHeight="1" x14ac:dyDescent="0.25">
      <c r="A41" s="244"/>
      <c r="B41" s="331"/>
      <c r="C41" s="423" t="s">
        <v>187</v>
      </c>
      <c r="D41" s="467"/>
      <c r="E41" s="313"/>
      <c r="F41" s="186"/>
      <c r="G41" s="186"/>
      <c r="H41" s="186"/>
      <c r="I41" s="339"/>
      <c r="J41" s="467"/>
      <c r="K41" s="313"/>
      <c r="L41" s="186"/>
      <c r="M41" s="186"/>
      <c r="N41" s="186"/>
      <c r="O41" s="339"/>
      <c r="P41" s="244"/>
      <c r="Q41" s="244"/>
    </row>
    <row r="42" spans="1:17" ht="15.75" customHeight="1" x14ac:dyDescent="0.25">
      <c r="A42" s="244"/>
      <c r="B42" s="331"/>
      <c r="C42" s="339" t="s">
        <v>188</v>
      </c>
      <c r="D42" s="265">
        <f>'MSBC CK Allocation'!C36</f>
        <v>213108.79784397845</v>
      </c>
      <c r="E42" s="332"/>
      <c r="F42" s="186"/>
      <c r="G42" s="186"/>
      <c r="H42" s="415"/>
      <c r="I42" s="339"/>
      <c r="J42" s="265">
        <f>'MSBC CK Allocation'!I36</f>
        <v>0</v>
      </c>
      <c r="K42" s="332"/>
      <c r="L42" s="186"/>
      <c r="M42" s="186"/>
      <c r="N42" s="415"/>
      <c r="O42" s="339"/>
      <c r="P42" s="244"/>
      <c r="Q42" s="244"/>
    </row>
    <row r="43" spans="1:17" ht="15.75" customHeight="1" x14ac:dyDescent="0.25">
      <c r="A43" s="244"/>
      <c r="B43" s="331"/>
      <c r="C43" s="339" t="s">
        <v>189</v>
      </c>
      <c r="D43" s="265">
        <v>121445.29169953994</v>
      </c>
      <c r="E43" s="313"/>
      <c r="F43" s="186"/>
      <c r="G43" s="186"/>
      <c r="H43" s="415"/>
      <c r="I43" s="339"/>
      <c r="J43" s="757">
        <v>99085.77</v>
      </c>
      <c r="K43" s="417"/>
      <c r="L43" s="186"/>
      <c r="M43" s="186"/>
      <c r="N43" s="415"/>
      <c r="O43" s="339"/>
      <c r="P43" s="244"/>
      <c r="Q43" s="244"/>
    </row>
    <row r="44" spans="1:17" ht="15.75" customHeight="1" x14ac:dyDescent="0.25">
      <c r="A44" s="244"/>
      <c r="B44" s="331"/>
      <c r="C44" s="339" t="s">
        <v>22</v>
      </c>
      <c r="D44" s="445">
        <v>0</v>
      </c>
      <c r="E44" s="313"/>
      <c r="F44" s="186"/>
      <c r="G44" s="186"/>
      <c r="H44" s="415"/>
      <c r="I44" s="339"/>
      <c r="J44" s="445">
        <v>0</v>
      </c>
      <c r="K44" s="313"/>
      <c r="L44" s="186"/>
      <c r="M44" s="186"/>
      <c r="N44" s="415"/>
      <c r="O44" s="339"/>
      <c r="P44" s="244"/>
      <c r="Q44" s="244"/>
    </row>
    <row r="45" spans="1:17" ht="15.75" customHeight="1" x14ac:dyDescent="0.25">
      <c r="A45" s="244"/>
      <c r="B45" s="331"/>
      <c r="C45" s="339" t="s">
        <v>190</v>
      </c>
      <c r="D45" s="265">
        <f>'Calculation Sheet for GST on Pu'!C28</f>
        <v>5105.2622349340118</v>
      </c>
      <c r="E45" s="313"/>
      <c r="F45" s="186"/>
      <c r="G45" s="186"/>
      <c r="H45" s="415"/>
      <c r="I45" s="339"/>
      <c r="J45" s="265">
        <f>'Calculation Sheet for GST on Pu'!I28</f>
        <v>0</v>
      </c>
      <c r="K45" s="313"/>
      <c r="L45" s="186"/>
      <c r="M45" s="186"/>
      <c r="N45" s="415"/>
      <c r="O45" s="339"/>
      <c r="P45" s="244"/>
      <c r="Q45" s="244"/>
    </row>
    <row r="46" spans="1:17" ht="15.75" customHeight="1" x14ac:dyDescent="0.25">
      <c r="A46" s="244"/>
      <c r="B46" s="331"/>
      <c r="C46" s="339" t="s">
        <v>191</v>
      </c>
      <c r="D46" s="265">
        <f>SUM(D42:D45)</f>
        <v>339659.3517784524</v>
      </c>
      <c r="E46" s="332">
        <f>D46/D$29</f>
        <v>1.0153937458742335</v>
      </c>
      <c r="F46" s="186">
        <f>SUM(F42:F45)</f>
        <v>0</v>
      </c>
      <c r="G46" s="186"/>
      <c r="H46" s="758">
        <f>SUM(H42:H45)</f>
        <v>0</v>
      </c>
      <c r="I46" s="339"/>
      <c r="J46" s="265">
        <f>SUM(J42:J45)</f>
        <v>99085.77</v>
      </c>
      <c r="K46" s="332">
        <f>J46/J$29</f>
        <v>0.2981664194127896</v>
      </c>
      <c r="L46" s="186">
        <f>SUM(L42:L45)</f>
        <v>0</v>
      </c>
      <c r="M46" s="186"/>
      <c r="N46" s="758">
        <f>SUM(N42:N45)</f>
        <v>0</v>
      </c>
      <c r="O46" s="339"/>
      <c r="P46" s="246"/>
      <c r="Q46" s="246"/>
    </row>
    <row r="47" spans="1:17" ht="15.75" customHeight="1" x14ac:dyDescent="0.25">
      <c r="A47" s="244"/>
      <c r="B47" s="346"/>
      <c r="C47" s="404" t="s">
        <v>192</v>
      </c>
      <c r="D47" s="276">
        <v>2004</v>
      </c>
      <c r="E47" s="316"/>
      <c r="F47" s="458"/>
      <c r="G47" s="458"/>
      <c r="H47" s="458"/>
      <c r="I47" s="404"/>
      <c r="J47" s="276">
        <v>6379</v>
      </c>
      <c r="K47" s="316"/>
      <c r="L47" s="458"/>
      <c r="M47" s="458"/>
      <c r="N47" s="458"/>
      <c r="O47" s="404"/>
      <c r="P47" s="244"/>
      <c r="Q47" s="244"/>
    </row>
    <row r="48" spans="1:17" ht="15.75" customHeight="1" x14ac:dyDescent="0.25">
      <c r="A48" s="244"/>
      <c r="B48" s="551"/>
      <c r="C48" s="551" t="s">
        <v>193</v>
      </c>
      <c r="D48" s="257">
        <f>D46+D47</f>
        <v>341663.3517784524</v>
      </c>
      <c r="E48" s="322">
        <f>D48/D$29</f>
        <v>1.0213845983447383</v>
      </c>
      <c r="F48" s="553">
        <f>F46+F47</f>
        <v>0</v>
      </c>
      <c r="G48" s="553"/>
      <c r="H48" s="553">
        <f>H46+H47</f>
        <v>0</v>
      </c>
      <c r="I48" s="552"/>
      <c r="J48" s="257">
        <f>J46+J47</f>
        <v>105464.77</v>
      </c>
      <c r="K48" s="322">
        <f>J48/J$29</f>
        <v>0.31736194657510752</v>
      </c>
      <c r="L48" s="553">
        <f>L46+L47</f>
        <v>0</v>
      </c>
      <c r="M48" s="553"/>
      <c r="N48" s="553">
        <f>N46+N47</f>
        <v>0</v>
      </c>
      <c r="O48" s="552"/>
      <c r="P48" s="246"/>
      <c r="Q48" s="246"/>
    </row>
    <row r="49" spans="1:17" ht="15.75" customHeight="1" x14ac:dyDescent="0.25">
      <c r="A49" s="244"/>
      <c r="B49" s="551"/>
      <c r="C49" s="551" t="s">
        <v>32</v>
      </c>
      <c r="D49" s="257">
        <f>D29-D48</f>
        <v>-7153.3617784524104</v>
      </c>
      <c r="E49" s="759">
        <f>D48/D$29</f>
        <v>1.0213845983447383</v>
      </c>
      <c r="F49" s="759" t="e">
        <f>F29-F48-#REF!</f>
        <v>#REF!</v>
      </c>
      <c r="G49" s="760" t="e">
        <f>F48/F$29</f>
        <v>#DIV/0!</v>
      </c>
      <c r="H49" s="759" t="e">
        <f>H29-H48-#REF!</f>
        <v>#REF!</v>
      </c>
      <c r="I49" s="761">
        <f>H48/H$29</f>
        <v>0</v>
      </c>
      <c r="J49" s="257">
        <f>J29-J48</f>
        <v>226852.22999999998</v>
      </c>
      <c r="K49" s="759">
        <f>J48/J$29</f>
        <v>0.31736194657510752</v>
      </c>
      <c r="L49" s="759" t="e">
        <f>L29-L48-#REF!</f>
        <v>#REF!</v>
      </c>
      <c r="M49" s="760" t="e">
        <f>L48/L$29</f>
        <v>#DIV/0!</v>
      </c>
      <c r="N49" s="759" t="e">
        <f>N29-N48-#REF!</f>
        <v>#REF!</v>
      </c>
      <c r="O49" s="761">
        <f>N48/N$29</f>
        <v>0</v>
      </c>
      <c r="P49" s="244"/>
      <c r="Q49" s="244"/>
    </row>
    <row r="50" spans="1:17" ht="15.75" customHeight="1" x14ac:dyDescent="0.25">
      <c r="A50" s="244"/>
      <c r="B50" s="371"/>
      <c r="C50" s="393"/>
      <c r="D50" s="466"/>
      <c r="E50" s="372"/>
      <c r="F50" s="560"/>
      <c r="G50" s="560"/>
      <c r="H50" s="560"/>
      <c r="I50" s="393"/>
      <c r="J50" s="466"/>
      <c r="K50" s="372"/>
      <c r="L50" s="560"/>
      <c r="M50" s="560"/>
      <c r="N50" s="560"/>
      <c r="O50" s="393"/>
      <c r="P50" s="244"/>
      <c r="Q50" s="244"/>
    </row>
    <row r="51" spans="1:17" ht="15.75" customHeight="1" x14ac:dyDescent="0.25">
      <c r="A51" s="244"/>
      <c r="B51" s="331"/>
      <c r="C51" s="428" t="s">
        <v>194</v>
      </c>
      <c r="D51" s="756"/>
      <c r="E51" s="313"/>
      <c r="F51" s="186"/>
      <c r="G51" s="186"/>
      <c r="H51" s="415">
        <f t="shared" ref="H51:H57" si="4">D51-F51</f>
        <v>0</v>
      </c>
      <c r="I51" s="339"/>
      <c r="J51" s="756"/>
      <c r="K51" s="313"/>
      <c r="L51" s="186"/>
      <c r="M51" s="186"/>
      <c r="N51" s="415">
        <f t="shared" ref="N51:N57" si="5">J51-L51</f>
        <v>0</v>
      </c>
      <c r="O51" s="339"/>
      <c r="P51" s="244"/>
      <c r="Q51" s="244"/>
    </row>
    <row r="52" spans="1:17" ht="15.75" customHeight="1" x14ac:dyDescent="0.25">
      <c r="A52" s="244"/>
      <c r="B52" s="331"/>
      <c r="C52" s="339" t="s">
        <v>195</v>
      </c>
      <c r="D52" s="265">
        <v>0</v>
      </c>
      <c r="E52" s="313"/>
      <c r="F52" s="758"/>
      <c r="G52" s="186"/>
      <c r="H52" s="415">
        <f t="shared" si="4"/>
        <v>0</v>
      </c>
      <c r="I52" s="339"/>
      <c r="J52" s="265">
        <v>0</v>
      </c>
      <c r="K52" s="313"/>
      <c r="L52" s="758"/>
      <c r="M52" s="186"/>
      <c r="N52" s="415">
        <f t="shared" si="5"/>
        <v>0</v>
      </c>
      <c r="O52" s="339"/>
      <c r="P52" s="244"/>
      <c r="Q52" s="244"/>
    </row>
    <row r="53" spans="1:17" ht="15.75" customHeight="1" x14ac:dyDescent="0.25">
      <c r="A53" s="244"/>
      <c r="B53" s="331"/>
      <c r="C53" s="339" t="s">
        <v>196</v>
      </c>
      <c r="D53" s="265">
        <v>0</v>
      </c>
      <c r="E53" s="313"/>
      <c r="F53" s="186"/>
      <c r="G53" s="186"/>
      <c r="H53" s="415">
        <f t="shared" si="4"/>
        <v>0</v>
      </c>
      <c r="I53" s="339"/>
      <c r="J53" s="265">
        <v>0</v>
      </c>
      <c r="K53" s="313"/>
      <c r="L53" s="186"/>
      <c r="M53" s="186"/>
      <c r="N53" s="415">
        <f t="shared" si="5"/>
        <v>0</v>
      </c>
      <c r="O53" s="339"/>
      <c r="P53" s="244"/>
      <c r="Q53" s="244"/>
    </row>
    <row r="54" spans="1:17" ht="15.75" customHeight="1" x14ac:dyDescent="0.25">
      <c r="A54" s="244"/>
      <c r="B54" s="331"/>
      <c r="C54" s="339" t="s">
        <v>266</v>
      </c>
      <c r="D54" s="265">
        <v>0</v>
      </c>
      <c r="E54" s="313"/>
      <c r="F54" s="186"/>
      <c r="G54" s="186"/>
      <c r="H54" s="415">
        <f t="shared" si="4"/>
        <v>0</v>
      </c>
      <c r="I54" s="339"/>
      <c r="J54" s="265">
        <v>0</v>
      </c>
      <c r="K54" s="313"/>
      <c r="L54" s="186"/>
      <c r="M54" s="186"/>
      <c r="N54" s="415">
        <f t="shared" si="5"/>
        <v>0</v>
      </c>
      <c r="O54" s="339"/>
      <c r="P54" s="244"/>
      <c r="Q54" s="244"/>
    </row>
    <row r="55" spans="1:17" ht="15.75" customHeight="1" x14ac:dyDescent="0.25">
      <c r="A55" s="244"/>
      <c r="B55" s="331"/>
      <c r="C55" s="339" t="s">
        <v>197</v>
      </c>
      <c r="D55" s="265">
        <v>0</v>
      </c>
      <c r="E55" s="313"/>
      <c r="F55" s="186"/>
      <c r="G55" s="186"/>
      <c r="H55" s="415">
        <f t="shared" si="4"/>
        <v>0</v>
      </c>
      <c r="I55" s="339"/>
      <c r="J55" s="265">
        <v>0</v>
      </c>
      <c r="K55" s="313"/>
      <c r="L55" s="186"/>
      <c r="M55" s="186"/>
      <c r="N55" s="415">
        <f t="shared" si="5"/>
        <v>0</v>
      </c>
      <c r="O55" s="339"/>
      <c r="P55" s="244"/>
      <c r="Q55" s="244"/>
    </row>
    <row r="56" spans="1:17" ht="15.75" customHeight="1" x14ac:dyDescent="0.25">
      <c r="A56" s="244"/>
      <c r="B56" s="331"/>
      <c r="C56" s="339" t="s">
        <v>198</v>
      </c>
      <c r="D56" s="265">
        <v>0</v>
      </c>
      <c r="E56" s="313"/>
      <c r="F56" s="186"/>
      <c r="G56" s="186"/>
      <c r="H56" s="415">
        <f t="shared" si="4"/>
        <v>0</v>
      </c>
      <c r="I56" s="339"/>
      <c r="J56" s="265">
        <v>0</v>
      </c>
      <c r="K56" s="313"/>
      <c r="L56" s="186"/>
      <c r="M56" s="186"/>
      <c r="N56" s="415">
        <f t="shared" si="5"/>
        <v>0</v>
      </c>
      <c r="O56" s="339"/>
      <c r="P56" s="244"/>
      <c r="Q56" s="244"/>
    </row>
    <row r="57" spans="1:17" ht="15.75" customHeight="1" x14ac:dyDescent="0.25">
      <c r="A57" s="244"/>
      <c r="B57" s="331"/>
      <c r="C57" s="339" t="s">
        <v>199</v>
      </c>
      <c r="D57" s="265">
        <v>0</v>
      </c>
      <c r="E57" s="313"/>
      <c r="F57" s="186"/>
      <c r="G57" s="186"/>
      <c r="H57" s="415">
        <f t="shared" si="4"/>
        <v>0</v>
      </c>
      <c r="I57" s="339"/>
      <c r="J57" s="265">
        <v>0</v>
      </c>
      <c r="K57" s="313"/>
      <c r="L57" s="186"/>
      <c r="M57" s="186"/>
      <c r="N57" s="415">
        <f t="shared" si="5"/>
        <v>0</v>
      </c>
      <c r="O57" s="339"/>
      <c r="P57" s="244"/>
      <c r="Q57" s="244"/>
    </row>
    <row r="58" spans="1:17" ht="15.75" customHeight="1" x14ac:dyDescent="0.25">
      <c r="A58" s="244"/>
      <c r="B58" s="331"/>
      <c r="C58" s="762" t="s">
        <v>200</v>
      </c>
      <c r="D58" s="445">
        <f>SUM(D52:D57)</f>
        <v>0</v>
      </c>
      <c r="E58" s="447"/>
      <c r="F58" s="447">
        <f>SUM(F52:F57)</f>
        <v>0</v>
      </c>
      <c r="G58" s="456"/>
      <c r="H58" s="447">
        <f>SUM(H52:H57)</f>
        <v>0</v>
      </c>
      <c r="I58" s="762"/>
      <c r="J58" s="445">
        <f>SUM(J52:J57)</f>
        <v>0</v>
      </c>
      <c r="K58" s="447"/>
      <c r="L58" s="447">
        <f>SUM(L52:L57)</f>
        <v>0</v>
      </c>
      <c r="M58" s="456"/>
      <c r="N58" s="447">
        <f>SUM(N52:N57)</f>
        <v>0</v>
      </c>
      <c r="O58" s="762"/>
      <c r="P58" s="246"/>
      <c r="Q58" s="246"/>
    </row>
    <row r="59" spans="1:17" ht="15.75" hidden="1" customHeight="1" x14ac:dyDescent="0.25">
      <c r="A59" s="244"/>
      <c r="B59" s="331"/>
      <c r="C59" s="339"/>
      <c r="D59" s="467"/>
      <c r="E59" s="313"/>
      <c r="F59" s="186"/>
      <c r="G59" s="186"/>
      <c r="H59" s="186"/>
      <c r="I59" s="339"/>
      <c r="J59" s="467"/>
      <c r="K59" s="313"/>
      <c r="L59" s="186"/>
      <c r="M59" s="186"/>
      <c r="N59" s="186"/>
      <c r="O59" s="339"/>
      <c r="P59" s="244"/>
      <c r="Q59" s="244"/>
    </row>
    <row r="60" spans="1:17" ht="15.75" hidden="1" customHeight="1" x14ac:dyDescent="0.25">
      <c r="A60" s="244"/>
      <c r="B60" s="331"/>
      <c r="C60" s="339"/>
      <c r="D60" s="467"/>
      <c r="E60" s="313"/>
      <c r="F60" s="313"/>
      <c r="G60" s="313"/>
      <c r="H60" s="313"/>
      <c r="I60" s="271"/>
      <c r="J60" s="467"/>
      <c r="K60" s="313"/>
      <c r="L60" s="313"/>
      <c r="M60" s="313"/>
      <c r="N60" s="313"/>
      <c r="O60" s="271"/>
      <c r="P60" s="244"/>
      <c r="Q60" s="244"/>
    </row>
    <row r="61" spans="1:17" ht="15.75" hidden="1" customHeight="1" x14ac:dyDescent="0.25">
      <c r="A61" s="244"/>
      <c r="B61" s="331"/>
      <c r="C61" s="339"/>
      <c r="D61" s="467"/>
      <c r="E61" s="313"/>
      <c r="F61" s="313"/>
      <c r="G61" s="313"/>
      <c r="H61" s="313"/>
      <c r="I61" s="271"/>
      <c r="J61" s="467"/>
      <c r="K61" s="313"/>
      <c r="L61" s="313"/>
      <c r="M61" s="313"/>
      <c r="N61" s="313"/>
      <c r="O61" s="271"/>
      <c r="P61" s="244"/>
      <c r="Q61" s="244"/>
    </row>
    <row r="62" spans="1:17" ht="15.75" hidden="1" customHeight="1" x14ac:dyDescent="0.25">
      <c r="A62" s="244"/>
      <c r="B62" s="331"/>
      <c r="C62" s="339"/>
      <c r="D62" s="467"/>
      <c r="E62" s="313"/>
      <c r="F62" s="313"/>
      <c r="G62" s="313"/>
      <c r="H62" s="313"/>
      <c r="I62" s="271"/>
      <c r="J62" s="467"/>
      <c r="K62" s="313"/>
      <c r="L62" s="313"/>
      <c r="M62" s="313"/>
      <c r="N62" s="313"/>
      <c r="O62" s="271"/>
      <c r="P62" s="244"/>
      <c r="Q62" s="244"/>
    </row>
    <row r="63" spans="1:17" ht="15.75" hidden="1" customHeight="1" x14ac:dyDescent="0.25">
      <c r="A63" s="244"/>
      <c r="B63" s="331"/>
      <c r="C63" s="339"/>
      <c r="D63" s="467"/>
      <c r="E63" s="313"/>
      <c r="F63" s="313"/>
      <c r="G63" s="313"/>
      <c r="H63" s="313"/>
      <c r="I63" s="271"/>
      <c r="J63" s="467"/>
      <c r="K63" s="313"/>
      <c r="L63" s="313"/>
      <c r="M63" s="313"/>
      <c r="N63" s="313"/>
      <c r="O63" s="271"/>
      <c r="P63" s="244"/>
      <c r="Q63" s="244"/>
    </row>
    <row r="64" spans="1:17" ht="15.75" hidden="1" customHeight="1" x14ac:dyDescent="0.25">
      <c r="A64" s="244"/>
      <c r="B64" s="331"/>
      <c r="C64" s="339"/>
      <c r="D64" s="467"/>
      <c r="E64" s="313"/>
      <c r="F64" s="313"/>
      <c r="G64" s="313"/>
      <c r="H64" s="313"/>
      <c r="I64" s="271"/>
      <c r="J64" s="467"/>
      <c r="K64" s="313"/>
      <c r="L64" s="313"/>
      <c r="M64" s="313"/>
      <c r="N64" s="313"/>
      <c r="O64" s="271"/>
      <c r="P64" s="244"/>
      <c r="Q64" s="244"/>
    </row>
    <row r="65" spans="1:17" ht="15.75" hidden="1" customHeight="1" x14ac:dyDescent="0.25">
      <c r="A65" s="244"/>
      <c r="B65" s="331"/>
      <c r="C65" s="339"/>
      <c r="D65" s="467"/>
      <c r="E65" s="313"/>
      <c r="F65" s="313"/>
      <c r="G65" s="313"/>
      <c r="H65" s="313"/>
      <c r="I65" s="271"/>
      <c r="J65" s="467"/>
      <c r="K65" s="313"/>
      <c r="L65" s="313"/>
      <c r="M65" s="313"/>
      <c r="N65" s="313"/>
      <c r="O65" s="271"/>
      <c r="P65" s="244"/>
      <c r="Q65" s="244"/>
    </row>
    <row r="66" spans="1:17" ht="15.75" hidden="1" customHeight="1" x14ac:dyDescent="0.25">
      <c r="A66" s="244"/>
      <c r="B66" s="331"/>
      <c r="C66" s="339"/>
      <c r="D66" s="467"/>
      <c r="E66" s="313"/>
      <c r="F66" s="313"/>
      <c r="G66" s="313"/>
      <c r="H66" s="313"/>
      <c r="I66" s="271"/>
      <c r="J66" s="467"/>
      <c r="K66" s="313"/>
      <c r="L66" s="313"/>
      <c r="M66" s="313"/>
      <c r="N66" s="313"/>
      <c r="O66" s="271"/>
      <c r="P66" s="244"/>
      <c r="Q66" s="244"/>
    </row>
    <row r="67" spans="1:17" ht="15.75" hidden="1" customHeight="1" x14ac:dyDescent="0.25">
      <c r="A67" s="244"/>
      <c r="B67" s="331"/>
      <c r="C67" s="339"/>
      <c r="D67" s="467"/>
      <c r="E67" s="332"/>
      <c r="F67" s="313"/>
      <c r="G67" s="332"/>
      <c r="H67" s="313"/>
      <c r="I67" s="336"/>
      <c r="J67" s="467"/>
      <c r="K67" s="332"/>
      <c r="L67" s="313"/>
      <c r="M67" s="332"/>
      <c r="N67" s="313"/>
      <c r="O67" s="336"/>
      <c r="P67" s="244"/>
      <c r="Q67" s="244"/>
    </row>
    <row r="68" spans="1:17" ht="15.75" hidden="1" customHeight="1" x14ac:dyDescent="0.25">
      <c r="A68" s="244"/>
      <c r="B68" s="331"/>
      <c r="C68" s="339"/>
      <c r="D68" s="467"/>
      <c r="E68" s="313"/>
      <c r="F68" s="186"/>
      <c r="G68" s="186"/>
      <c r="H68" s="186"/>
      <c r="I68" s="339"/>
      <c r="J68" s="467"/>
      <c r="K68" s="313"/>
      <c r="L68" s="186"/>
      <c r="M68" s="186"/>
      <c r="N68" s="186"/>
      <c r="O68" s="339"/>
      <c r="P68" s="244"/>
      <c r="Q68" s="244"/>
    </row>
    <row r="69" spans="1:17" ht="15.75" customHeight="1" x14ac:dyDescent="0.25">
      <c r="A69" s="244"/>
      <c r="B69" s="963" t="s">
        <v>204</v>
      </c>
      <c r="C69" s="964"/>
      <c r="D69" s="468"/>
      <c r="E69" s="316"/>
      <c r="F69" s="458"/>
      <c r="G69" s="458"/>
      <c r="H69" s="458"/>
      <c r="I69" s="404"/>
      <c r="J69" s="468"/>
      <c r="K69" s="316"/>
      <c r="L69" s="458"/>
      <c r="M69" s="458"/>
      <c r="N69" s="458"/>
      <c r="O69" s="404"/>
      <c r="P69" s="244"/>
      <c r="Q69" s="244"/>
    </row>
    <row r="70" spans="1:17" ht="15.75" customHeight="1" x14ac:dyDescent="0.25">
      <c r="A70" s="244"/>
      <c r="B70" s="497"/>
      <c r="C70" s="498" t="s">
        <v>205</v>
      </c>
      <c r="D70" s="485">
        <f>SUM(D71:D76)</f>
        <v>57894.520000000004</v>
      </c>
      <c r="E70" s="321">
        <f t="shared" ref="E70:E73" si="6">D70/D$29</f>
        <v>0.17307261884764638</v>
      </c>
      <c r="F70" s="411">
        <f>SUM(F71:F76)</f>
        <v>0</v>
      </c>
      <c r="G70" s="321" t="e">
        <f t="shared" ref="G70:G73" si="7">F70/F$29</f>
        <v>#DIV/0!</v>
      </c>
      <c r="H70" s="411">
        <f>SUM(H71:H76)</f>
        <v>52196.520000000004</v>
      </c>
      <c r="I70" s="323">
        <f t="shared" ref="I70:I73" si="8">H70/H$29</f>
        <v>0.34973175394127737</v>
      </c>
      <c r="J70" s="485">
        <f>SUM(J71:J76)</f>
        <v>56065</v>
      </c>
      <c r="K70" s="321">
        <f t="shared" ref="K70:K73" si="9">J70/J$29</f>
        <v>0.16870939494518788</v>
      </c>
      <c r="L70" s="411">
        <f>SUM(L71:L76)</f>
        <v>0</v>
      </c>
      <c r="M70" s="321" t="e">
        <f t="shared" ref="M70:M73" si="10">L70/L$29</f>
        <v>#DIV/0!</v>
      </c>
      <c r="N70" s="411">
        <f>SUM(N71:N76)</f>
        <v>50862</v>
      </c>
      <c r="O70" s="323">
        <f t="shared" ref="O70:O73" si="11">N70/N$29</f>
        <v>0.2839707442353861</v>
      </c>
      <c r="P70" s="246"/>
      <c r="Q70" s="246"/>
    </row>
    <row r="71" spans="1:17" ht="15.75" customHeight="1" x14ac:dyDescent="0.25">
      <c r="A71" s="244"/>
      <c r="B71" s="371"/>
      <c r="C71" s="393" t="s">
        <v>268</v>
      </c>
      <c r="D71" s="466">
        <f>(5698)</f>
        <v>5698</v>
      </c>
      <c r="E71" s="326">
        <f t="shared" si="6"/>
        <v>1.7033870946574721E-2</v>
      </c>
      <c r="F71" s="412"/>
      <c r="G71" s="326" t="e">
        <f t="shared" si="7"/>
        <v>#DIV/0!</v>
      </c>
      <c r="H71" s="412"/>
      <c r="I71" s="330">
        <f t="shared" si="8"/>
        <v>0</v>
      </c>
      <c r="J71" s="466">
        <v>5203</v>
      </c>
      <c r="K71" s="329">
        <f t="shared" si="9"/>
        <v>1.5656737392309151E-2</v>
      </c>
      <c r="L71" s="412"/>
      <c r="M71" s="326" t="e">
        <f t="shared" si="10"/>
        <v>#DIV/0!</v>
      </c>
      <c r="N71" s="412"/>
      <c r="O71" s="330">
        <f t="shared" si="11"/>
        <v>0</v>
      </c>
      <c r="P71" s="244"/>
      <c r="Q71" s="244"/>
    </row>
    <row r="72" spans="1:17" ht="15.75" customHeight="1" x14ac:dyDescent="0.25">
      <c r="A72" s="244"/>
      <c r="B72" s="331"/>
      <c r="C72" s="450" t="s">
        <v>269</v>
      </c>
      <c r="D72" s="265">
        <v>0</v>
      </c>
      <c r="E72" s="332">
        <f t="shared" si="6"/>
        <v>0</v>
      </c>
      <c r="F72" s="415"/>
      <c r="G72" s="332" t="e">
        <f t="shared" si="7"/>
        <v>#DIV/0!</v>
      </c>
      <c r="H72" s="415"/>
      <c r="I72" s="336">
        <f t="shared" si="8"/>
        <v>0</v>
      </c>
      <c r="J72" s="265">
        <v>0</v>
      </c>
      <c r="K72" s="332">
        <f t="shared" si="9"/>
        <v>0</v>
      </c>
      <c r="L72" s="415"/>
      <c r="M72" s="332" t="e">
        <f t="shared" si="10"/>
        <v>#DIV/0!</v>
      </c>
      <c r="N72" s="415"/>
      <c r="O72" s="336">
        <f t="shared" si="11"/>
        <v>0</v>
      </c>
      <c r="P72" s="244"/>
      <c r="Q72" s="244"/>
    </row>
    <row r="73" spans="1:17" ht="15.75" customHeight="1" x14ac:dyDescent="0.25">
      <c r="A73" s="244"/>
      <c r="B73" s="331"/>
      <c r="C73" s="339" t="s">
        <v>212</v>
      </c>
      <c r="D73" s="265">
        <v>0</v>
      </c>
      <c r="E73" s="332">
        <f t="shared" si="6"/>
        <v>0</v>
      </c>
      <c r="F73" s="415"/>
      <c r="G73" s="332" t="e">
        <f t="shared" si="7"/>
        <v>#DIV/0!</v>
      </c>
      <c r="H73" s="415"/>
      <c r="I73" s="336">
        <f t="shared" si="8"/>
        <v>0</v>
      </c>
      <c r="J73" s="265">
        <v>0</v>
      </c>
      <c r="K73" s="332">
        <f t="shared" si="9"/>
        <v>0</v>
      </c>
      <c r="L73" s="415"/>
      <c r="M73" s="332" t="e">
        <f t="shared" si="10"/>
        <v>#DIV/0!</v>
      </c>
      <c r="N73" s="415"/>
      <c r="O73" s="336">
        <f t="shared" si="11"/>
        <v>0</v>
      </c>
      <c r="P73" s="244"/>
      <c r="Q73" s="244"/>
    </row>
    <row r="74" spans="1:17" ht="15.75" customHeight="1" x14ac:dyDescent="0.25">
      <c r="A74" s="244"/>
      <c r="B74" s="331"/>
      <c r="C74" s="339" t="s">
        <v>307</v>
      </c>
      <c r="D74" s="265">
        <v>0</v>
      </c>
      <c r="E74" s="332"/>
      <c r="F74" s="415"/>
      <c r="G74" s="332"/>
      <c r="H74" s="415"/>
      <c r="I74" s="336"/>
      <c r="J74" s="265">
        <v>0</v>
      </c>
      <c r="K74" s="332"/>
      <c r="L74" s="415"/>
      <c r="M74" s="332"/>
      <c r="N74" s="415"/>
      <c r="O74" s="336"/>
      <c r="P74" s="244"/>
      <c r="Q74" s="244"/>
    </row>
    <row r="75" spans="1:17" ht="15.75" customHeight="1" x14ac:dyDescent="0.25">
      <c r="A75" s="244"/>
      <c r="B75" s="331"/>
      <c r="C75" s="450" t="s">
        <v>345</v>
      </c>
      <c r="D75" s="265">
        <v>0</v>
      </c>
      <c r="E75" s="332">
        <f t="shared" ref="E75:E76" si="12">D75/D$29</f>
        <v>0</v>
      </c>
      <c r="F75" s="415"/>
      <c r="G75" s="332" t="e">
        <f t="shared" ref="G75:G76" si="13">F75/F$29</f>
        <v>#DIV/0!</v>
      </c>
      <c r="H75" s="415"/>
      <c r="I75" s="336">
        <f t="shared" ref="I75:I76" si="14">H75/H$29</f>
        <v>0</v>
      </c>
      <c r="J75" s="265">
        <v>0</v>
      </c>
      <c r="K75" s="332">
        <f t="shared" ref="K75:K76" si="15">J75/J$29</f>
        <v>0</v>
      </c>
      <c r="L75" s="415"/>
      <c r="M75" s="332" t="e">
        <f t="shared" ref="M75:M76" si="16">L75/L$29</f>
        <v>#DIV/0!</v>
      </c>
      <c r="N75" s="415"/>
      <c r="O75" s="336">
        <f t="shared" ref="O75:O76" si="17">N75/N$29</f>
        <v>0</v>
      </c>
      <c r="P75" s="244"/>
      <c r="Q75" s="244"/>
    </row>
    <row r="76" spans="1:17" ht="15.75" customHeight="1" x14ac:dyDescent="0.25">
      <c r="A76" s="244"/>
      <c r="B76" s="331"/>
      <c r="C76" s="339" t="s">
        <v>271</v>
      </c>
      <c r="D76" s="265">
        <f>(27438.54)+24757.98</f>
        <v>52196.520000000004</v>
      </c>
      <c r="E76" s="332">
        <f t="shared" si="12"/>
        <v>0.15603874790107167</v>
      </c>
      <c r="F76" s="313"/>
      <c r="G76" s="332" t="e">
        <f t="shared" si="13"/>
        <v>#DIV/0!</v>
      </c>
      <c r="H76" s="415">
        <f>D76-F76</f>
        <v>52196.520000000004</v>
      </c>
      <c r="I76" s="336">
        <f t="shared" si="14"/>
        <v>0.34973175394127737</v>
      </c>
      <c r="J76" s="466">
        <f>27810+23052</f>
        <v>50862</v>
      </c>
      <c r="K76" s="332">
        <f t="shared" si="15"/>
        <v>0.15305265755287872</v>
      </c>
      <c r="L76" s="313"/>
      <c r="M76" s="332" t="e">
        <f t="shared" si="16"/>
        <v>#DIV/0!</v>
      </c>
      <c r="N76" s="415">
        <f>J76-L76</f>
        <v>50862</v>
      </c>
      <c r="O76" s="336">
        <f t="shared" si="17"/>
        <v>0.2839707442353861</v>
      </c>
      <c r="P76" s="244"/>
      <c r="Q76" s="244"/>
    </row>
    <row r="77" spans="1:17" ht="15.75" customHeight="1" x14ac:dyDescent="0.25">
      <c r="A77" s="244"/>
      <c r="B77" s="346"/>
      <c r="C77" s="563"/>
      <c r="D77" s="468"/>
      <c r="E77" s="316"/>
      <c r="F77" s="458"/>
      <c r="G77" s="458"/>
      <c r="H77" s="458"/>
      <c r="I77" s="404"/>
      <c r="J77" s="468"/>
      <c r="K77" s="316"/>
      <c r="L77" s="458"/>
      <c r="M77" s="458"/>
      <c r="N77" s="458"/>
      <c r="O77" s="404"/>
      <c r="P77" s="244"/>
      <c r="Q77" s="244"/>
    </row>
    <row r="78" spans="1:17" ht="15.75" customHeight="1" x14ac:dyDescent="0.25">
      <c r="A78" s="244"/>
      <c r="B78" s="347"/>
      <c r="C78" s="498" t="s">
        <v>35</v>
      </c>
      <c r="D78" s="485">
        <f>SUM(D80:D85)</f>
        <v>96492.09</v>
      </c>
      <c r="E78" s="321">
        <f>D78/D$29</f>
        <v>0.28845802183665725</v>
      </c>
      <c r="F78" s="411">
        <f>SUM(F80:F85)</f>
        <v>0</v>
      </c>
      <c r="G78" s="763" t="e">
        <f>F78/F$29</f>
        <v>#DIV/0!</v>
      </c>
      <c r="H78" s="411">
        <f>SUM(H80:H83)</f>
        <v>0</v>
      </c>
      <c r="I78" s="410"/>
      <c r="J78" s="485">
        <f>SUM(J80:J85)</f>
        <v>65859.7</v>
      </c>
      <c r="K78" s="321">
        <f>J78/J$29</f>
        <v>0.198183361067896</v>
      </c>
      <c r="L78" s="411">
        <f>SUM(L80:L85)</f>
        <v>0</v>
      </c>
      <c r="M78" s="763" t="e">
        <f>L78/L$29</f>
        <v>#DIV/0!</v>
      </c>
      <c r="N78" s="411">
        <f>SUM(N80:N83)</f>
        <v>0</v>
      </c>
      <c r="O78" s="410"/>
      <c r="P78" s="246"/>
      <c r="Q78" s="246"/>
    </row>
    <row r="79" spans="1:17" ht="15.75" customHeight="1" x14ac:dyDescent="0.25">
      <c r="A79" s="244"/>
      <c r="B79" s="764"/>
      <c r="C79" s="393" t="s">
        <v>215</v>
      </c>
      <c r="D79" s="467"/>
      <c r="E79" s="467"/>
      <c r="F79" s="467"/>
      <c r="G79" s="467"/>
      <c r="H79" s="467"/>
      <c r="I79" s="467"/>
      <c r="J79" s="467"/>
      <c r="K79" s="765"/>
      <c r="L79" s="766"/>
      <c r="M79" s="767"/>
      <c r="N79" s="766"/>
      <c r="O79" s="768"/>
      <c r="P79" s="246"/>
      <c r="Q79" s="246"/>
    </row>
    <row r="80" spans="1:17" ht="15.75" customHeight="1" x14ac:dyDescent="0.25">
      <c r="A80" s="244"/>
      <c r="B80" s="331"/>
      <c r="C80" s="339" t="s">
        <v>216</v>
      </c>
      <c r="D80" s="467"/>
      <c r="E80" s="467"/>
      <c r="F80" s="467"/>
      <c r="G80" s="467"/>
      <c r="H80" s="467"/>
      <c r="I80" s="467"/>
      <c r="J80" s="467"/>
      <c r="K80" s="313"/>
      <c r="L80" s="415"/>
      <c r="M80" s="186"/>
      <c r="N80" s="415"/>
      <c r="O80" s="339"/>
      <c r="P80" s="244"/>
      <c r="Q80" s="244"/>
    </row>
    <row r="81" spans="1:17" ht="15.75" customHeight="1" x14ac:dyDescent="0.25">
      <c r="A81" s="244"/>
      <c r="B81" s="331"/>
      <c r="C81" s="339" t="s">
        <v>315</v>
      </c>
      <c r="D81" s="467">
        <v>22682.39</v>
      </c>
      <c r="E81" s="769">
        <f>D81/D18</f>
        <v>0.15197856175622609</v>
      </c>
      <c r="F81" s="415"/>
      <c r="G81" s="769"/>
      <c r="H81" s="415"/>
      <c r="I81" s="339"/>
      <c r="J81" s="467">
        <v>27162</v>
      </c>
      <c r="K81" s="769">
        <f>J81/J18</f>
        <v>0.15164982413042263</v>
      </c>
      <c r="L81" s="415"/>
      <c r="M81" s="769"/>
      <c r="N81" s="415"/>
      <c r="O81" s="339"/>
      <c r="P81" s="244"/>
      <c r="Q81" s="244"/>
    </row>
    <row r="82" spans="1:17" ht="15.75" customHeight="1" x14ac:dyDescent="0.25">
      <c r="A82" s="244"/>
      <c r="B82" s="331"/>
      <c r="C82" s="339" t="s">
        <v>346</v>
      </c>
      <c r="D82" s="467"/>
      <c r="E82" s="769"/>
      <c r="F82" s="415"/>
      <c r="G82" s="769"/>
      <c r="H82" s="415"/>
      <c r="I82" s="339"/>
      <c r="J82" s="467"/>
      <c r="K82" s="769"/>
      <c r="L82" s="415"/>
      <c r="M82" s="769"/>
      <c r="N82" s="415"/>
      <c r="O82" s="339"/>
      <c r="P82" s="244"/>
      <c r="Q82" s="244"/>
    </row>
    <row r="83" spans="1:17" ht="15.75" customHeight="1" x14ac:dyDescent="0.25">
      <c r="A83" s="244"/>
      <c r="B83" s="331"/>
      <c r="C83" s="339" t="s">
        <v>308</v>
      </c>
      <c r="D83" s="467">
        <v>23321.7</v>
      </c>
      <c r="E83" s="769">
        <f>D83/D19</f>
        <v>0.13873994996921413</v>
      </c>
      <c r="F83" s="415"/>
      <c r="G83" s="769"/>
      <c r="H83" s="415"/>
      <c r="I83" s="339"/>
      <c r="J83" s="467">
        <v>22738.32</v>
      </c>
      <c r="K83" s="769">
        <f>J83/J19</f>
        <v>0.14841567291311755</v>
      </c>
      <c r="L83" s="415"/>
      <c r="M83" s="769"/>
      <c r="N83" s="415"/>
      <c r="O83" s="339"/>
      <c r="P83" s="244"/>
      <c r="Q83" s="244"/>
    </row>
    <row r="84" spans="1:17" ht="15.75" customHeight="1" x14ac:dyDescent="0.25">
      <c r="A84" s="244"/>
      <c r="B84" s="331"/>
      <c r="C84" s="339" t="s">
        <v>347</v>
      </c>
      <c r="D84" s="467"/>
      <c r="E84" s="769"/>
      <c r="F84" s="415"/>
      <c r="G84" s="769"/>
      <c r="H84" s="415"/>
      <c r="I84" s="339"/>
      <c r="J84" s="467"/>
      <c r="K84" s="769"/>
      <c r="L84" s="415"/>
      <c r="M84" s="769"/>
      <c r="N84" s="415"/>
      <c r="O84" s="339"/>
      <c r="P84" s="244"/>
      <c r="Q84" s="244"/>
    </row>
    <row r="85" spans="1:17" ht="15.75" customHeight="1" x14ac:dyDescent="0.25">
      <c r="A85" s="244"/>
      <c r="B85" s="331"/>
      <c r="C85" s="339" t="s">
        <v>348</v>
      </c>
      <c r="D85" s="467">
        <f>34800+15688</f>
        <v>50488</v>
      </c>
      <c r="E85" s="769">
        <f>D85/D29</f>
        <v>0.15093121733075895</v>
      </c>
      <c r="F85" s="415"/>
      <c r="G85" s="769"/>
      <c r="H85" s="415"/>
      <c r="I85" s="339"/>
      <c r="J85" s="467">
        <v>15959.38</v>
      </c>
      <c r="K85" s="769">
        <f>J85/J29</f>
        <v>4.8024566904491792E-2</v>
      </c>
      <c r="L85" s="415"/>
      <c r="M85" s="769"/>
      <c r="N85" s="415"/>
      <c r="O85" s="339"/>
      <c r="P85" s="244"/>
      <c r="Q85" s="244"/>
    </row>
    <row r="86" spans="1:17" ht="15.75" customHeight="1" x14ac:dyDescent="0.25">
      <c r="A86" s="244"/>
      <c r="B86" s="346"/>
      <c r="C86" s="404"/>
      <c r="D86" s="468"/>
      <c r="E86" s="316"/>
      <c r="F86" s="458"/>
      <c r="G86" s="458"/>
      <c r="H86" s="458"/>
      <c r="I86" s="404"/>
      <c r="J86" s="468"/>
      <c r="K86" s="316"/>
      <c r="L86" s="458"/>
      <c r="M86" s="458"/>
      <c r="N86" s="458"/>
      <c r="O86" s="404"/>
      <c r="P86" s="244"/>
      <c r="Q86" s="244"/>
    </row>
    <row r="87" spans="1:17" ht="15.75" customHeight="1" x14ac:dyDescent="0.25">
      <c r="A87" s="244"/>
      <c r="B87" s="497"/>
      <c r="C87" s="498" t="s">
        <v>219</v>
      </c>
      <c r="D87" s="280">
        <f>SUM(D88:D91)</f>
        <v>0</v>
      </c>
      <c r="E87" s="565">
        <f>D87/D$29</f>
        <v>0</v>
      </c>
      <c r="F87" s="770">
        <f>SUM(F88:F91)</f>
        <v>0</v>
      </c>
      <c r="G87" s="771" t="e">
        <f>F87/F$29</f>
        <v>#DIV/0!</v>
      </c>
      <c r="H87" s="772">
        <f>SUM(H88:H91)</f>
        <v>0</v>
      </c>
      <c r="I87" s="568"/>
      <c r="J87" s="280">
        <f>SUM(J88:J91)</f>
        <v>0</v>
      </c>
      <c r="K87" s="565">
        <f>J87/J$29</f>
        <v>0</v>
      </c>
      <c r="L87" s="770">
        <f>SUM(L88:L91)</f>
        <v>0</v>
      </c>
      <c r="M87" s="771" t="e">
        <f>L87/L$29</f>
        <v>#DIV/0!</v>
      </c>
      <c r="N87" s="772">
        <f>SUM(N88:N91)</f>
        <v>0</v>
      </c>
      <c r="O87" s="568"/>
      <c r="P87" s="246"/>
      <c r="Q87" s="246"/>
    </row>
    <row r="88" spans="1:17" ht="15.75" customHeight="1" x14ac:dyDescent="0.25">
      <c r="A88" s="244"/>
      <c r="B88" s="371"/>
      <c r="C88" s="393" t="s">
        <v>220</v>
      </c>
      <c r="D88" s="261"/>
      <c r="E88" s="326"/>
      <c r="F88" s="560"/>
      <c r="G88" s="773"/>
      <c r="H88" s="412"/>
      <c r="I88" s="393"/>
      <c r="J88" s="261"/>
      <c r="K88" s="326"/>
      <c r="L88" s="560"/>
      <c r="M88" s="773"/>
      <c r="N88" s="412"/>
      <c r="O88" s="393"/>
      <c r="P88" s="244"/>
      <c r="Q88" s="244"/>
    </row>
    <row r="89" spans="1:17" ht="15.75" customHeight="1" x14ac:dyDescent="0.25">
      <c r="A89" s="244"/>
      <c r="B89" s="331"/>
      <c r="C89" s="339" t="s">
        <v>221</v>
      </c>
      <c r="D89" s="265"/>
      <c r="E89" s="332"/>
      <c r="F89" s="186"/>
      <c r="G89" s="769"/>
      <c r="H89" s="415"/>
      <c r="I89" s="339"/>
      <c r="J89" s="265"/>
      <c r="K89" s="332"/>
      <c r="L89" s="186"/>
      <c r="M89" s="769"/>
      <c r="N89" s="415"/>
      <c r="O89" s="339"/>
      <c r="P89" s="244"/>
      <c r="Q89" s="244"/>
    </row>
    <row r="90" spans="1:17" ht="15.75" customHeight="1" x14ac:dyDescent="0.25">
      <c r="A90" s="244"/>
      <c r="B90" s="331"/>
      <c r="C90" s="339" t="s">
        <v>222</v>
      </c>
      <c r="D90" s="265"/>
      <c r="E90" s="313"/>
      <c r="F90" s="186"/>
      <c r="G90" s="186"/>
      <c r="H90" s="186"/>
      <c r="I90" s="339"/>
      <c r="J90" s="265"/>
      <c r="K90" s="313"/>
      <c r="L90" s="186"/>
      <c r="M90" s="186"/>
      <c r="N90" s="186"/>
      <c r="O90" s="339"/>
      <c r="P90" s="244"/>
      <c r="Q90" s="244"/>
    </row>
    <row r="91" spans="1:17" ht="15.75" customHeight="1" x14ac:dyDescent="0.25">
      <c r="A91" s="244"/>
      <c r="B91" s="331"/>
      <c r="C91" s="339" t="s">
        <v>223</v>
      </c>
      <c r="D91" s="265"/>
      <c r="E91" s="313"/>
      <c r="F91" s="186"/>
      <c r="G91" s="186"/>
      <c r="H91" s="186"/>
      <c r="I91" s="339"/>
      <c r="J91" s="265"/>
      <c r="K91" s="313"/>
      <c r="L91" s="186"/>
      <c r="M91" s="186"/>
      <c r="N91" s="186"/>
      <c r="O91" s="339"/>
      <c r="P91" s="244"/>
      <c r="Q91" s="244"/>
    </row>
    <row r="92" spans="1:17" ht="15.75" customHeight="1" x14ac:dyDescent="0.25">
      <c r="A92" s="244"/>
      <c r="B92" s="346"/>
      <c r="C92" s="563"/>
      <c r="D92" s="276"/>
      <c r="E92" s="316"/>
      <c r="F92" s="458"/>
      <c r="G92" s="458"/>
      <c r="H92" s="458"/>
      <c r="I92" s="404"/>
      <c r="J92" s="276"/>
      <c r="K92" s="316"/>
      <c r="L92" s="458"/>
      <c r="M92" s="458"/>
      <c r="N92" s="458"/>
      <c r="O92" s="404"/>
      <c r="P92" s="244"/>
      <c r="Q92" s="244"/>
    </row>
    <row r="93" spans="1:17" ht="15.75" customHeight="1" x14ac:dyDescent="0.25">
      <c r="A93" s="244"/>
      <c r="B93" s="497"/>
      <c r="C93" s="498" t="s">
        <v>37</v>
      </c>
      <c r="D93" s="280">
        <f>SUM(D94:D100)</f>
        <v>0</v>
      </c>
      <c r="E93" s="565">
        <f>D93/D$29</f>
        <v>0</v>
      </c>
      <c r="F93" s="475">
        <f>SUM(F94:F100)</f>
        <v>0</v>
      </c>
      <c r="G93" s="771" t="e">
        <f>F93/F$29</f>
        <v>#DIV/0!</v>
      </c>
      <c r="H93" s="475">
        <f>SUM(H94:H100)</f>
        <v>0</v>
      </c>
      <c r="I93" s="568"/>
      <c r="J93" s="280">
        <f>SUM(J94:J100)</f>
        <v>0</v>
      </c>
      <c r="K93" s="565">
        <f>J93/J$29</f>
        <v>0</v>
      </c>
      <c r="L93" s="475">
        <f>SUM(L94:L100)</f>
        <v>0</v>
      </c>
      <c r="M93" s="771" t="e">
        <f>L93/L$29</f>
        <v>#DIV/0!</v>
      </c>
      <c r="N93" s="475">
        <f>SUM(N94:N100)</f>
        <v>0</v>
      </c>
      <c r="O93" s="568"/>
      <c r="P93" s="246"/>
      <c r="Q93" s="246"/>
    </row>
    <row r="94" spans="1:17" ht="15.75" customHeight="1" x14ac:dyDescent="0.25">
      <c r="A94" s="244"/>
      <c r="B94" s="371"/>
      <c r="C94" s="393" t="s">
        <v>224</v>
      </c>
      <c r="D94" s="261"/>
      <c r="E94" s="326"/>
      <c r="F94" s="560"/>
      <c r="G94" s="773"/>
      <c r="H94" s="412"/>
      <c r="I94" s="393"/>
      <c r="J94" s="261"/>
      <c r="K94" s="326"/>
      <c r="L94" s="560"/>
      <c r="M94" s="773"/>
      <c r="N94" s="412"/>
      <c r="O94" s="393"/>
      <c r="P94" s="244"/>
      <c r="Q94" s="244"/>
    </row>
    <row r="95" spans="1:17" ht="15.75" customHeight="1" x14ac:dyDescent="0.25">
      <c r="A95" s="244"/>
      <c r="B95" s="331"/>
      <c r="C95" s="339" t="s">
        <v>225</v>
      </c>
      <c r="D95" s="265"/>
      <c r="E95" s="332"/>
      <c r="F95" s="186"/>
      <c r="G95" s="769"/>
      <c r="H95" s="415"/>
      <c r="I95" s="339"/>
      <c r="J95" s="265"/>
      <c r="K95" s="332"/>
      <c r="L95" s="186"/>
      <c r="M95" s="769"/>
      <c r="N95" s="415"/>
      <c r="O95" s="339"/>
      <c r="P95" s="244"/>
      <c r="Q95" s="244"/>
    </row>
    <row r="96" spans="1:17" ht="15.75" customHeight="1" x14ac:dyDescent="0.25">
      <c r="A96" s="244"/>
      <c r="B96" s="331"/>
      <c r="C96" s="339" t="s">
        <v>226</v>
      </c>
      <c r="D96" s="265"/>
      <c r="E96" s="332"/>
      <c r="F96" s="186"/>
      <c r="G96" s="769"/>
      <c r="H96" s="415"/>
      <c r="I96" s="339"/>
      <c r="J96" s="265"/>
      <c r="K96" s="332"/>
      <c r="L96" s="186"/>
      <c r="M96" s="769"/>
      <c r="N96" s="415"/>
      <c r="O96" s="339"/>
      <c r="P96" s="244"/>
      <c r="Q96" s="244"/>
    </row>
    <row r="97" spans="1:17" ht="15.75" customHeight="1" x14ac:dyDescent="0.25">
      <c r="A97" s="244"/>
      <c r="B97" s="331"/>
      <c r="C97" s="339" t="s">
        <v>228</v>
      </c>
      <c r="D97" s="265"/>
      <c r="E97" s="332"/>
      <c r="F97" s="186"/>
      <c r="G97" s="769"/>
      <c r="H97" s="415"/>
      <c r="I97" s="339"/>
      <c r="J97" s="265"/>
      <c r="K97" s="332"/>
      <c r="L97" s="186"/>
      <c r="M97" s="769"/>
      <c r="N97" s="415"/>
      <c r="O97" s="339"/>
      <c r="P97" s="244"/>
      <c r="Q97" s="244"/>
    </row>
    <row r="98" spans="1:17" ht="15.75" customHeight="1" x14ac:dyDescent="0.25">
      <c r="A98" s="244"/>
      <c r="B98" s="331"/>
      <c r="C98" s="339" t="s">
        <v>229</v>
      </c>
      <c r="D98" s="265"/>
      <c r="E98" s="332"/>
      <c r="F98" s="186"/>
      <c r="G98" s="769"/>
      <c r="H98" s="415"/>
      <c r="I98" s="339"/>
      <c r="J98" s="265"/>
      <c r="K98" s="332"/>
      <c r="L98" s="186"/>
      <c r="M98" s="769"/>
      <c r="N98" s="415"/>
      <c r="O98" s="339"/>
      <c r="P98" s="244"/>
      <c r="Q98" s="244"/>
    </row>
    <row r="99" spans="1:17" ht="15.75" customHeight="1" x14ac:dyDescent="0.25">
      <c r="A99" s="244"/>
      <c r="B99" s="331"/>
      <c r="C99" s="339" t="s">
        <v>230</v>
      </c>
      <c r="D99" s="265"/>
      <c r="E99" s="332"/>
      <c r="F99" s="186"/>
      <c r="G99" s="769"/>
      <c r="H99" s="415"/>
      <c r="I99" s="339"/>
      <c r="J99" s="265"/>
      <c r="K99" s="332"/>
      <c r="L99" s="186"/>
      <c r="M99" s="769"/>
      <c r="N99" s="415"/>
      <c r="O99" s="339"/>
      <c r="P99" s="244"/>
      <c r="Q99" s="244"/>
    </row>
    <row r="100" spans="1:17" ht="15.75" customHeight="1" x14ac:dyDescent="0.25">
      <c r="A100" s="244"/>
      <c r="B100" s="331"/>
      <c r="C100" s="339" t="s">
        <v>231</v>
      </c>
      <c r="D100" s="265"/>
      <c r="E100" s="332"/>
      <c r="F100" s="186"/>
      <c r="G100" s="769"/>
      <c r="H100" s="415"/>
      <c r="I100" s="339"/>
      <c r="J100" s="265"/>
      <c r="K100" s="332"/>
      <c r="L100" s="186"/>
      <c r="M100" s="769"/>
      <c r="N100" s="415"/>
      <c r="O100" s="339"/>
      <c r="P100" s="244"/>
      <c r="Q100" s="244"/>
    </row>
    <row r="101" spans="1:17" ht="15.75" customHeight="1" x14ac:dyDescent="0.25">
      <c r="A101" s="244"/>
      <c r="B101" s="331"/>
      <c r="C101" s="423"/>
      <c r="D101" s="265"/>
      <c r="E101" s="313"/>
      <c r="F101" s="186"/>
      <c r="G101" s="186"/>
      <c r="H101" s="415"/>
      <c r="I101" s="339"/>
      <c r="J101" s="265"/>
      <c r="K101" s="313"/>
      <c r="L101" s="186"/>
      <c r="M101" s="186"/>
      <c r="N101" s="415"/>
      <c r="O101" s="339"/>
      <c r="P101" s="244"/>
      <c r="Q101" s="244"/>
    </row>
    <row r="102" spans="1:17" ht="15.75" customHeight="1" x14ac:dyDescent="0.25">
      <c r="A102" s="244"/>
      <c r="B102" s="346"/>
      <c r="C102" s="563"/>
      <c r="D102" s="276"/>
      <c r="E102" s="316"/>
      <c r="F102" s="458"/>
      <c r="G102" s="458"/>
      <c r="H102" s="458"/>
      <c r="I102" s="404"/>
      <c r="J102" s="276"/>
      <c r="K102" s="316"/>
      <c r="L102" s="458"/>
      <c r="M102" s="458"/>
      <c r="N102" s="458"/>
      <c r="O102" s="404"/>
      <c r="P102" s="244"/>
      <c r="Q102" s="244"/>
    </row>
    <row r="103" spans="1:17" ht="15.75" customHeight="1" x14ac:dyDescent="0.25">
      <c r="A103" s="244"/>
      <c r="B103" s="497"/>
      <c r="C103" s="498" t="s">
        <v>38</v>
      </c>
      <c r="D103" s="280">
        <f>SUM(D104)</f>
        <v>0</v>
      </c>
      <c r="E103" s="565">
        <f>D103/D$29</f>
        <v>0</v>
      </c>
      <c r="F103" s="770">
        <f>SUM(F104)</f>
        <v>0</v>
      </c>
      <c r="G103" s="771" t="e">
        <f>F103/F$29</f>
        <v>#DIV/0!</v>
      </c>
      <c r="H103" s="772">
        <f>SUM(H104)</f>
        <v>0</v>
      </c>
      <c r="I103" s="568"/>
      <c r="J103" s="280">
        <f>SUM(J104)</f>
        <v>0</v>
      </c>
      <c r="K103" s="565">
        <f>J103/J$29</f>
        <v>0</v>
      </c>
      <c r="L103" s="770">
        <f>SUM(L104)</f>
        <v>0</v>
      </c>
      <c r="M103" s="771" t="e">
        <f>L103/L$29</f>
        <v>#DIV/0!</v>
      </c>
      <c r="N103" s="772">
        <f>SUM(N104)</f>
        <v>0</v>
      </c>
      <c r="O103" s="568"/>
      <c r="P103" s="246"/>
      <c r="Q103" s="246"/>
    </row>
    <row r="104" spans="1:17" ht="15.75" customHeight="1" x14ac:dyDescent="0.25">
      <c r="A104" s="244"/>
      <c r="B104" s="371"/>
      <c r="C104" s="393" t="s">
        <v>276</v>
      </c>
      <c r="D104" s="261">
        <v>0</v>
      </c>
      <c r="E104" s="326">
        <f>IFERROR((D104/D$29),"")</f>
        <v>0</v>
      </c>
      <c r="F104" s="560"/>
      <c r="G104" s="560"/>
      <c r="H104" s="412">
        <f>D104-F104</f>
        <v>0</v>
      </c>
      <c r="I104" s="393"/>
      <c r="J104" s="261">
        <v>0</v>
      </c>
      <c r="K104" s="326">
        <f>IFERROR((J104/J$29),"")</f>
        <v>0</v>
      </c>
      <c r="L104" s="560"/>
      <c r="M104" s="560"/>
      <c r="N104" s="412">
        <f>J104-L104</f>
        <v>0</v>
      </c>
      <c r="O104" s="393"/>
      <c r="P104" s="244"/>
      <c r="Q104" s="244"/>
    </row>
    <row r="105" spans="1:17" ht="15.75" customHeight="1" x14ac:dyDescent="0.25">
      <c r="A105" s="244"/>
      <c r="B105" s="346"/>
      <c r="C105" s="404"/>
      <c r="D105" s="276"/>
      <c r="E105" s="316"/>
      <c r="F105" s="458"/>
      <c r="G105" s="458"/>
      <c r="H105" s="458"/>
      <c r="I105" s="404"/>
      <c r="J105" s="276"/>
      <c r="K105" s="316"/>
      <c r="L105" s="458"/>
      <c r="M105" s="458"/>
      <c r="N105" s="458"/>
      <c r="O105" s="404"/>
      <c r="P105" s="244"/>
      <c r="Q105" s="244"/>
    </row>
    <row r="106" spans="1:17" ht="15.75" customHeight="1" x14ac:dyDescent="0.25">
      <c r="A106" s="244"/>
      <c r="B106" s="497"/>
      <c r="C106" s="498" t="s">
        <v>238</v>
      </c>
      <c r="D106" s="280">
        <f>SUM(D107:D108)</f>
        <v>35728</v>
      </c>
      <c r="E106" s="565">
        <f>D106/D$29</f>
        <v>0.10680697458392797</v>
      </c>
      <c r="F106" s="770">
        <f>SUM(F107:F108)</f>
        <v>0</v>
      </c>
      <c r="G106" s="771" t="e">
        <f>F106/F$29</f>
        <v>#DIV/0!</v>
      </c>
      <c r="H106" s="475">
        <f>SUM(H107:H108)</f>
        <v>0</v>
      </c>
      <c r="I106" s="568"/>
      <c r="J106" s="280">
        <f>SUM(J107:J108)</f>
        <v>23091</v>
      </c>
      <c r="K106" s="565">
        <f>J106/J$29</f>
        <v>6.9484859336115812E-2</v>
      </c>
      <c r="L106" s="770">
        <f>SUM(L107:L108)</f>
        <v>0</v>
      </c>
      <c r="M106" s="771" t="e">
        <f>L106/L$29</f>
        <v>#DIV/0!</v>
      </c>
      <c r="N106" s="475">
        <f>SUM(N107:N108)</f>
        <v>0</v>
      </c>
      <c r="O106" s="568"/>
      <c r="P106" s="246"/>
      <c r="Q106" s="246"/>
    </row>
    <row r="107" spans="1:17" ht="15.75" customHeight="1" x14ac:dyDescent="0.25">
      <c r="A107" s="244"/>
      <c r="B107" s="371"/>
      <c r="C107" s="393" t="s">
        <v>239</v>
      </c>
      <c r="D107" s="261"/>
      <c r="E107" s="326"/>
      <c r="F107" s="560"/>
      <c r="G107" s="773"/>
      <c r="H107" s="412"/>
      <c r="I107" s="393"/>
      <c r="J107" s="261"/>
      <c r="K107" s="326"/>
      <c r="L107" s="560"/>
      <c r="M107" s="773"/>
      <c r="N107" s="412"/>
      <c r="O107" s="393"/>
      <c r="P107" s="244"/>
      <c r="Q107" s="244"/>
    </row>
    <row r="108" spans="1:17" ht="15.75" customHeight="1" x14ac:dyDescent="0.25">
      <c r="A108" s="244"/>
      <c r="B108" s="331"/>
      <c r="C108" s="339" t="s">
        <v>289</v>
      </c>
      <c r="D108" s="265">
        <f>(17168+11368+42920)/2</f>
        <v>35728</v>
      </c>
      <c r="E108" s="332"/>
      <c r="F108" s="186"/>
      <c r="G108" s="769"/>
      <c r="H108" s="415"/>
      <c r="I108" s="339"/>
      <c r="J108" s="265">
        <v>23091</v>
      </c>
      <c r="K108" s="332"/>
      <c r="L108" s="186"/>
      <c r="M108" s="769"/>
      <c r="N108" s="415"/>
      <c r="O108" s="339"/>
      <c r="P108" s="244"/>
      <c r="Q108" s="244"/>
    </row>
    <row r="109" spans="1:17" ht="15.75" customHeight="1" x14ac:dyDescent="0.25">
      <c r="A109" s="244"/>
      <c r="B109" s="346"/>
      <c r="C109" s="404"/>
      <c r="D109" s="276"/>
      <c r="E109" s="316"/>
      <c r="F109" s="458"/>
      <c r="G109" s="458"/>
      <c r="H109" s="458"/>
      <c r="I109" s="404"/>
      <c r="J109" s="276"/>
      <c r="K109" s="316"/>
      <c r="L109" s="458"/>
      <c r="M109" s="458"/>
      <c r="N109" s="458"/>
      <c r="O109" s="404"/>
      <c r="P109" s="244"/>
      <c r="Q109" s="244"/>
    </row>
    <row r="110" spans="1:17" ht="15.75" customHeight="1" x14ac:dyDescent="0.25">
      <c r="A110" s="244"/>
      <c r="B110" s="497"/>
      <c r="C110" s="498" t="s">
        <v>40</v>
      </c>
      <c r="D110" s="280">
        <f>SUM(D111:D121)</f>
        <v>8100</v>
      </c>
      <c r="E110" s="565">
        <f>D110/D$29</f>
        <v>2.4214523458626753E-2</v>
      </c>
      <c r="F110" s="770">
        <f>SUM(F111:F121)</f>
        <v>0</v>
      </c>
      <c r="G110" s="771" t="e">
        <f>F110/F$29</f>
        <v>#DIV/0!</v>
      </c>
      <c r="H110" s="772">
        <f>SUM(H111:H121)</f>
        <v>0</v>
      </c>
      <c r="I110" s="568"/>
      <c r="J110" s="280">
        <f>SUM(J111:J121)</f>
        <v>0</v>
      </c>
      <c r="K110" s="565">
        <f>J110/J$29</f>
        <v>0</v>
      </c>
      <c r="L110" s="770">
        <f>SUM(L111:L121)</f>
        <v>0</v>
      </c>
      <c r="M110" s="771" t="e">
        <f>L110/L$29</f>
        <v>#DIV/0!</v>
      </c>
      <c r="N110" s="772">
        <f>SUM(N111:N121)</f>
        <v>0</v>
      </c>
      <c r="O110" s="568"/>
      <c r="P110" s="246"/>
      <c r="Q110" s="246"/>
    </row>
    <row r="111" spans="1:17" ht="15.75" customHeight="1" x14ac:dyDescent="0.25">
      <c r="A111" s="244"/>
      <c r="B111" s="371"/>
      <c r="C111" s="393" t="s">
        <v>241</v>
      </c>
      <c r="D111" s="261"/>
      <c r="E111" s="326"/>
      <c r="F111" s="560"/>
      <c r="G111" s="773"/>
      <c r="H111" s="412"/>
      <c r="I111" s="393"/>
      <c r="J111" s="261"/>
      <c r="K111" s="326"/>
      <c r="L111" s="560"/>
      <c r="M111" s="773"/>
      <c r="N111" s="412"/>
      <c r="O111" s="393"/>
      <c r="P111" s="244"/>
      <c r="Q111" s="244"/>
    </row>
    <row r="112" spans="1:17" ht="15.75" customHeight="1" x14ac:dyDescent="0.25">
      <c r="A112" s="244"/>
      <c r="B112" s="331"/>
      <c r="C112" s="339" t="s">
        <v>349</v>
      </c>
      <c r="D112" s="265">
        <v>8100</v>
      </c>
      <c r="E112" s="332"/>
      <c r="F112" s="186"/>
      <c r="G112" s="769"/>
      <c r="H112" s="415"/>
      <c r="I112" s="339"/>
      <c r="J112" s="265"/>
      <c r="K112" s="332"/>
      <c r="L112" s="186"/>
      <c r="M112" s="769"/>
      <c r="N112" s="415"/>
      <c r="O112" s="339"/>
      <c r="P112" s="244"/>
      <c r="Q112" s="244"/>
    </row>
    <row r="113" spans="1:17" ht="15.75" customHeight="1" x14ac:dyDescent="0.25">
      <c r="A113" s="244"/>
      <c r="B113" s="331"/>
      <c r="C113" s="339" t="s">
        <v>243</v>
      </c>
      <c r="D113" s="265"/>
      <c r="E113" s="332"/>
      <c r="F113" s="186"/>
      <c r="G113" s="769"/>
      <c r="H113" s="415"/>
      <c r="I113" s="339"/>
      <c r="J113" s="265"/>
      <c r="K113" s="332"/>
      <c r="L113" s="186"/>
      <c r="M113" s="769"/>
      <c r="N113" s="415"/>
      <c r="O113" s="339"/>
      <c r="P113" s="244"/>
      <c r="Q113" s="244"/>
    </row>
    <row r="114" spans="1:17" ht="15.75" customHeight="1" x14ac:dyDescent="0.25">
      <c r="A114" s="244"/>
      <c r="B114" s="331"/>
      <c r="C114" s="339" t="s">
        <v>244</v>
      </c>
      <c r="D114" s="265"/>
      <c r="E114" s="332"/>
      <c r="F114" s="186"/>
      <c r="G114" s="769"/>
      <c r="H114" s="415"/>
      <c r="I114" s="339"/>
      <c r="J114" s="265"/>
      <c r="K114" s="332"/>
      <c r="L114" s="186"/>
      <c r="M114" s="769"/>
      <c r="N114" s="415"/>
      <c r="O114" s="339"/>
      <c r="P114" s="244"/>
      <c r="Q114" s="244"/>
    </row>
    <row r="115" spans="1:17" ht="15.75" customHeight="1" x14ac:dyDescent="0.25">
      <c r="A115" s="244"/>
      <c r="B115" s="331"/>
      <c r="C115" s="339" t="s">
        <v>290</v>
      </c>
      <c r="D115" s="265"/>
      <c r="E115" s="332"/>
      <c r="F115" s="186"/>
      <c r="G115" s="769"/>
      <c r="H115" s="415"/>
      <c r="I115" s="339"/>
      <c r="J115" s="265"/>
      <c r="K115" s="332"/>
      <c r="L115" s="186"/>
      <c r="M115" s="769"/>
      <c r="N115" s="415"/>
      <c r="O115" s="339"/>
      <c r="P115" s="244"/>
      <c r="Q115" s="244"/>
    </row>
    <row r="116" spans="1:17" ht="15.75" customHeight="1" x14ac:dyDescent="0.25">
      <c r="A116" s="244"/>
      <c r="B116" s="331"/>
      <c r="C116" s="339" t="s">
        <v>247</v>
      </c>
      <c r="D116" s="265"/>
      <c r="E116" s="332"/>
      <c r="F116" s="186"/>
      <c r="G116" s="769"/>
      <c r="H116" s="415"/>
      <c r="I116" s="339"/>
      <c r="J116" s="265"/>
      <c r="K116" s="332"/>
      <c r="L116" s="186"/>
      <c r="M116" s="769"/>
      <c r="N116" s="415"/>
      <c r="O116" s="339"/>
      <c r="P116" s="244"/>
      <c r="Q116" s="244"/>
    </row>
    <row r="117" spans="1:17" ht="15.75" customHeight="1" x14ac:dyDescent="0.25">
      <c r="A117" s="244"/>
      <c r="B117" s="331"/>
      <c r="C117" s="339" t="s">
        <v>249</v>
      </c>
      <c r="D117" s="265"/>
      <c r="E117" s="332"/>
      <c r="F117" s="186"/>
      <c r="G117" s="769"/>
      <c r="H117" s="415"/>
      <c r="I117" s="339"/>
      <c r="J117" s="265"/>
      <c r="K117" s="332"/>
      <c r="L117" s="186"/>
      <c r="M117" s="769"/>
      <c r="N117" s="415"/>
      <c r="O117" s="339"/>
      <c r="P117" s="244"/>
      <c r="Q117" s="244"/>
    </row>
    <row r="118" spans="1:17" ht="15.75" customHeight="1" x14ac:dyDescent="0.25">
      <c r="A118" s="244"/>
      <c r="B118" s="331"/>
      <c r="C118" s="339" t="s">
        <v>250</v>
      </c>
      <c r="D118" s="265"/>
      <c r="E118" s="332"/>
      <c r="F118" s="186"/>
      <c r="G118" s="769"/>
      <c r="H118" s="415"/>
      <c r="I118" s="339"/>
      <c r="J118" s="265"/>
      <c r="K118" s="332"/>
      <c r="L118" s="186"/>
      <c r="M118" s="769"/>
      <c r="N118" s="415"/>
      <c r="O118" s="339"/>
      <c r="P118" s="244"/>
      <c r="Q118" s="244"/>
    </row>
    <row r="119" spans="1:17" ht="15.75" customHeight="1" x14ac:dyDescent="0.25">
      <c r="A119" s="244"/>
      <c r="B119" s="331"/>
      <c r="C119" s="339" t="s">
        <v>251</v>
      </c>
      <c r="D119" s="265"/>
      <c r="E119" s="332"/>
      <c r="F119" s="186"/>
      <c r="G119" s="769"/>
      <c r="H119" s="415"/>
      <c r="I119" s="339"/>
      <c r="J119" s="265"/>
      <c r="K119" s="332"/>
      <c r="L119" s="186"/>
      <c r="M119" s="769"/>
      <c r="N119" s="415"/>
      <c r="O119" s="339"/>
      <c r="P119" s="244"/>
      <c r="Q119" s="244"/>
    </row>
    <row r="120" spans="1:17" ht="15.75" customHeight="1" x14ac:dyDescent="0.25">
      <c r="A120" s="244"/>
      <c r="B120" s="331"/>
      <c r="C120" s="339" t="s">
        <v>252</v>
      </c>
      <c r="D120" s="265"/>
      <c r="E120" s="332"/>
      <c r="F120" s="186"/>
      <c r="G120" s="769"/>
      <c r="H120" s="415"/>
      <c r="I120" s="339"/>
      <c r="J120" s="265"/>
      <c r="K120" s="332"/>
      <c r="L120" s="186"/>
      <c r="M120" s="769"/>
      <c r="N120" s="415"/>
      <c r="O120" s="339"/>
      <c r="P120" s="244"/>
      <c r="Q120" s="244"/>
    </row>
    <row r="121" spans="1:17" ht="15.75" customHeight="1" x14ac:dyDescent="0.25">
      <c r="A121" s="244"/>
      <c r="B121" s="331"/>
      <c r="C121" s="339" t="s">
        <v>303</v>
      </c>
      <c r="D121" s="265"/>
      <c r="E121" s="332"/>
      <c r="F121" s="186"/>
      <c r="G121" s="769"/>
      <c r="H121" s="415"/>
      <c r="I121" s="339"/>
      <c r="J121" s="265"/>
      <c r="K121" s="332"/>
      <c r="L121" s="186"/>
      <c r="M121" s="769"/>
      <c r="N121" s="415"/>
      <c r="O121" s="339"/>
      <c r="P121" s="244"/>
      <c r="Q121" s="244"/>
    </row>
    <row r="122" spans="1:17" ht="15.75" customHeight="1" x14ac:dyDescent="0.25">
      <c r="A122" s="244"/>
      <c r="B122" s="331"/>
      <c r="C122" s="339" t="s">
        <v>280</v>
      </c>
      <c r="D122" s="265"/>
      <c r="E122" s="332"/>
      <c r="F122" s="186"/>
      <c r="G122" s="769"/>
      <c r="H122" s="186"/>
      <c r="I122" s="339"/>
      <c r="J122" s="265"/>
      <c r="K122" s="332"/>
      <c r="L122" s="186"/>
      <c r="M122" s="769"/>
      <c r="N122" s="186"/>
      <c r="O122" s="339"/>
      <c r="P122" s="244"/>
      <c r="Q122" s="244"/>
    </row>
    <row r="123" spans="1:17" ht="15.75" customHeight="1" x14ac:dyDescent="0.25">
      <c r="A123" s="244"/>
      <c r="B123" s="331"/>
      <c r="C123" s="339"/>
      <c r="D123" s="265"/>
      <c r="E123" s="313"/>
      <c r="F123" s="186"/>
      <c r="G123" s="186"/>
      <c r="H123" s="186"/>
      <c r="I123" s="339"/>
      <c r="J123" s="265"/>
      <c r="K123" s="313"/>
      <c r="L123" s="186"/>
      <c r="M123" s="186"/>
      <c r="N123" s="186"/>
      <c r="O123" s="339"/>
      <c r="P123" s="244"/>
      <c r="Q123" s="244"/>
    </row>
    <row r="124" spans="1:17" ht="15.75" customHeight="1" x14ac:dyDescent="0.25">
      <c r="A124" s="244"/>
      <c r="B124" s="346"/>
      <c r="C124" s="457"/>
      <c r="D124" s="276"/>
      <c r="E124" s="316"/>
      <c r="F124" s="458"/>
      <c r="G124" s="458"/>
      <c r="H124" s="458"/>
      <c r="I124" s="404"/>
      <c r="J124" s="276"/>
      <c r="K124" s="316"/>
      <c r="L124" s="458"/>
      <c r="M124" s="458"/>
      <c r="N124" s="458"/>
      <c r="O124" s="404"/>
      <c r="P124" s="244"/>
      <c r="Q124" s="244"/>
    </row>
    <row r="125" spans="1:17" ht="15.75" customHeight="1" x14ac:dyDescent="0.25">
      <c r="A125" s="244"/>
      <c r="B125" s="497"/>
      <c r="C125" s="498" t="s">
        <v>41</v>
      </c>
      <c r="D125" s="280">
        <f>SUM(D126:D127)</f>
        <v>0</v>
      </c>
      <c r="E125" s="476"/>
      <c r="F125" s="475">
        <f>SUM(F126:F127)</f>
        <v>0</v>
      </c>
      <c r="G125" s="770"/>
      <c r="H125" s="475">
        <f>SUM(H126:H127)</f>
        <v>0</v>
      </c>
      <c r="I125" s="568"/>
      <c r="J125" s="280">
        <f>SUM(J126:J127)</f>
        <v>0</v>
      </c>
      <c r="K125" s="476"/>
      <c r="L125" s="475">
        <f>SUM(L126:L127)</f>
        <v>0</v>
      </c>
      <c r="M125" s="770"/>
      <c r="N125" s="475">
        <f>SUM(N126:N127)</f>
        <v>0</v>
      </c>
      <c r="O125" s="568"/>
      <c r="P125" s="246"/>
      <c r="Q125" s="246"/>
    </row>
    <row r="126" spans="1:17" ht="15.75" customHeight="1" x14ac:dyDescent="0.25">
      <c r="A126" s="244"/>
      <c r="B126" s="371"/>
      <c r="C126" s="393" t="s">
        <v>253</v>
      </c>
      <c r="D126" s="261"/>
      <c r="E126" s="326">
        <f t="shared" ref="E126:E127" si="18">IFERROR((D126/D$29),"")</f>
        <v>0</v>
      </c>
      <c r="F126" s="560"/>
      <c r="G126" s="560"/>
      <c r="H126" s="412">
        <f t="shared" ref="H126:H127" si="19">D126-F126</f>
        <v>0</v>
      </c>
      <c r="I126" s="393"/>
      <c r="J126" s="261"/>
      <c r="K126" s="326">
        <f t="shared" ref="K126:K127" si="20">IFERROR((J126/J$29),"")</f>
        <v>0</v>
      </c>
      <c r="L126" s="560"/>
      <c r="M126" s="560"/>
      <c r="N126" s="412">
        <f t="shared" ref="N126:N127" si="21">J126-L126</f>
        <v>0</v>
      </c>
      <c r="O126" s="393"/>
      <c r="P126" s="244"/>
      <c r="Q126" s="244"/>
    </row>
    <row r="127" spans="1:17" ht="15.75" customHeight="1" x14ac:dyDescent="0.25">
      <c r="A127" s="244"/>
      <c r="B127" s="331"/>
      <c r="C127" s="339" t="s">
        <v>292</v>
      </c>
      <c r="D127" s="265"/>
      <c r="E127" s="332">
        <f t="shared" si="18"/>
        <v>0</v>
      </c>
      <c r="F127" s="186"/>
      <c r="G127" s="186"/>
      <c r="H127" s="415">
        <f t="shared" si="19"/>
        <v>0</v>
      </c>
      <c r="I127" s="339"/>
      <c r="J127" s="265"/>
      <c r="K127" s="332">
        <f t="shared" si="20"/>
        <v>0</v>
      </c>
      <c r="L127" s="186"/>
      <c r="M127" s="186"/>
      <c r="N127" s="415">
        <f t="shared" si="21"/>
        <v>0</v>
      </c>
      <c r="O127" s="339"/>
      <c r="P127" s="244"/>
      <c r="Q127" s="244"/>
    </row>
    <row r="128" spans="1:17" ht="15.75" customHeight="1" x14ac:dyDescent="0.25">
      <c r="A128" s="244"/>
      <c r="B128" s="346"/>
      <c r="C128" s="404"/>
      <c r="D128" s="276"/>
      <c r="E128" s="316"/>
      <c r="F128" s="458"/>
      <c r="G128" s="458"/>
      <c r="H128" s="458"/>
      <c r="I128" s="404"/>
      <c r="J128" s="276"/>
      <c r="K128" s="316"/>
      <c r="L128" s="458"/>
      <c r="M128" s="458"/>
      <c r="N128" s="458"/>
      <c r="O128" s="404"/>
      <c r="P128" s="244"/>
      <c r="Q128" s="244"/>
    </row>
    <row r="129" spans="1:17" ht="15.75" customHeight="1" x14ac:dyDescent="0.25">
      <c r="A129" s="244"/>
      <c r="B129" s="497"/>
      <c r="C129" s="498" t="s">
        <v>42</v>
      </c>
      <c r="D129" s="280">
        <f>SUM(D130:D131)</f>
        <v>0</v>
      </c>
      <c r="E129" s="476"/>
      <c r="F129" s="770">
        <f>SUM(F130:F131)</f>
        <v>0</v>
      </c>
      <c r="G129" s="770"/>
      <c r="H129" s="772">
        <f>SUM(H130:H131)</f>
        <v>0</v>
      </c>
      <c r="I129" s="568"/>
      <c r="J129" s="280">
        <f>SUM(J130:J131)</f>
        <v>0</v>
      </c>
      <c r="K129" s="476"/>
      <c r="L129" s="770">
        <f>SUM(L130:L131)</f>
        <v>0</v>
      </c>
      <c r="M129" s="770"/>
      <c r="N129" s="772">
        <f>SUM(N130:N131)</f>
        <v>0</v>
      </c>
      <c r="O129" s="568"/>
      <c r="P129" s="246"/>
      <c r="Q129" s="246"/>
    </row>
    <row r="130" spans="1:17" ht="15.75" customHeight="1" x14ac:dyDescent="0.25">
      <c r="A130" s="244"/>
      <c r="B130" s="371"/>
      <c r="C130" s="393" t="s">
        <v>333</v>
      </c>
      <c r="D130" s="261"/>
      <c r="E130" s="326"/>
      <c r="F130" s="560"/>
      <c r="G130" s="560"/>
      <c r="H130" s="412"/>
      <c r="I130" s="393"/>
      <c r="J130" s="261"/>
      <c r="K130" s="326"/>
      <c r="L130" s="560"/>
      <c r="M130" s="560"/>
      <c r="N130" s="412"/>
      <c r="O130" s="393"/>
      <c r="P130" s="244"/>
      <c r="Q130" s="244"/>
    </row>
    <row r="131" spans="1:17" ht="15.75" customHeight="1" x14ac:dyDescent="0.25">
      <c r="A131" s="244"/>
      <c r="B131" s="331"/>
      <c r="C131" s="339" t="s">
        <v>256</v>
      </c>
      <c r="D131" s="265"/>
      <c r="E131" s="332"/>
      <c r="F131" s="186"/>
      <c r="G131" s="186"/>
      <c r="H131" s="415"/>
      <c r="I131" s="339"/>
      <c r="J131" s="265"/>
      <c r="K131" s="332"/>
      <c r="L131" s="186"/>
      <c r="M131" s="186"/>
      <c r="N131" s="415"/>
      <c r="O131" s="339"/>
      <c r="P131" s="244"/>
      <c r="Q131" s="244"/>
    </row>
    <row r="132" spans="1:17" ht="15.75" customHeight="1" x14ac:dyDescent="0.25">
      <c r="A132" s="244"/>
      <c r="B132" s="331"/>
      <c r="C132" s="339"/>
      <c r="D132" s="265"/>
      <c r="E132" s="313"/>
      <c r="F132" s="186"/>
      <c r="G132" s="186"/>
      <c r="H132" s="186"/>
      <c r="I132" s="339"/>
      <c r="J132" s="265"/>
      <c r="K132" s="313"/>
      <c r="L132" s="186"/>
      <c r="M132" s="186"/>
      <c r="N132" s="186"/>
      <c r="O132" s="339"/>
      <c r="P132" s="244"/>
      <c r="Q132" s="244"/>
    </row>
    <row r="133" spans="1:17" ht="15.75" customHeight="1" x14ac:dyDescent="0.25">
      <c r="A133" s="244"/>
      <c r="B133" s="346"/>
      <c r="C133" s="404"/>
      <c r="D133" s="276"/>
      <c r="E133" s="316"/>
      <c r="F133" s="458"/>
      <c r="G133" s="458"/>
      <c r="H133" s="458"/>
      <c r="I133" s="404"/>
      <c r="J133" s="276"/>
      <c r="K133" s="316"/>
      <c r="L133" s="458"/>
      <c r="M133" s="458"/>
      <c r="N133" s="458"/>
      <c r="O133" s="404"/>
      <c r="P133" s="244"/>
      <c r="Q133" s="244"/>
    </row>
    <row r="134" spans="1:17" ht="15.75" customHeight="1" x14ac:dyDescent="0.25">
      <c r="A134" s="244"/>
      <c r="B134" s="347"/>
      <c r="C134" s="410" t="s">
        <v>257</v>
      </c>
      <c r="D134" s="257">
        <f>D58+D129+D125+D110+D106+D103+D93+D87+D78+D70</f>
        <v>198214.61</v>
      </c>
      <c r="E134" s="321">
        <f>IFERROR((D134/D$29),"")</f>
        <v>0.5925521387268583</v>
      </c>
      <c r="F134" s="411">
        <f>F129+F125+F110+F106+F103+F93+F87+F78+F70</f>
        <v>0</v>
      </c>
      <c r="G134" s="763" t="str">
        <f>IFERROR((F134/F$29),"")</f>
        <v/>
      </c>
      <c r="H134" s="411"/>
      <c r="I134" s="410"/>
      <c r="J134" s="257">
        <f>J58+J129+J125+J110+J106+J103+J93+J87+J78+J70</f>
        <v>145015.70000000001</v>
      </c>
      <c r="K134" s="321">
        <f>IFERROR((J134/J$29),"")</f>
        <v>0.43637761534919972</v>
      </c>
      <c r="L134" s="411">
        <f>L129+L125+L110+L106+L103+L93+L87+L78+L70</f>
        <v>0</v>
      </c>
      <c r="M134" s="763" t="str">
        <f>IFERROR((L134/L$29),"")</f>
        <v/>
      </c>
      <c r="N134" s="411"/>
      <c r="O134" s="410"/>
      <c r="P134" s="244"/>
      <c r="Q134" s="244"/>
    </row>
    <row r="135" spans="1:17" ht="15.75" customHeight="1" x14ac:dyDescent="0.25">
      <c r="A135" s="244"/>
      <c r="B135" s="354"/>
      <c r="C135" s="425"/>
      <c r="D135" s="294"/>
      <c r="E135" s="381"/>
      <c r="F135" s="570"/>
      <c r="G135" s="570"/>
      <c r="H135" s="570"/>
      <c r="I135" s="425"/>
      <c r="J135" s="294"/>
      <c r="K135" s="381"/>
      <c r="L135" s="570"/>
      <c r="M135" s="570"/>
      <c r="N135" s="570"/>
      <c r="O135" s="425"/>
      <c r="P135" s="244"/>
      <c r="Q135" s="244"/>
    </row>
    <row r="136" spans="1:17" ht="15.75" customHeight="1" x14ac:dyDescent="0.25">
      <c r="A136" s="244"/>
      <c r="B136" s="347"/>
      <c r="C136" s="410" t="s">
        <v>258</v>
      </c>
      <c r="D136" s="257">
        <f>D49-D134</f>
        <v>-205367.9717784524</v>
      </c>
      <c r="E136" s="321">
        <f>IFERROR((D136/D$29),"")</f>
        <v>-0.61393673707159657</v>
      </c>
      <c r="F136" s="411" t="e">
        <f>F49-F134</f>
        <v>#REF!</v>
      </c>
      <c r="G136" s="763" t="str">
        <f>IFERROR((F136/F$29),"")</f>
        <v/>
      </c>
      <c r="H136" s="411" t="e">
        <f>H49-H134</f>
        <v>#REF!</v>
      </c>
      <c r="I136" s="410"/>
      <c r="J136" s="257">
        <f>J49-J134</f>
        <v>81836.52999999997</v>
      </c>
      <c r="K136" s="321">
        <f>IFERROR((J136/J$29),"")</f>
        <v>0.2462604380756927</v>
      </c>
      <c r="L136" s="411" t="e">
        <f>L49-L134</f>
        <v>#REF!</v>
      </c>
      <c r="M136" s="763" t="str">
        <f>IFERROR((L136/L$29),"")</f>
        <v/>
      </c>
      <c r="N136" s="411" t="e">
        <f>N49-N134</f>
        <v>#REF!</v>
      </c>
      <c r="O136" s="410"/>
      <c r="P136" s="244"/>
      <c r="Q136" s="244"/>
    </row>
    <row r="137" spans="1:17" ht="15.75" customHeight="1" x14ac:dyDescent="0.25">
      <c r="A137" s="244"/>
      <c r="B137" s="244"/>
      <c r="C137" s="244"/>
      <c r="D137" s="382"/>
      <c r="E137" s="179"/>
      <c r="F137" s="244"/>
      <c r="G137" s="244"/>
      <c r="H137" s="244"/>
      <c r="I137" s="244"/>
      <c r="J137" s="382"/>
      <c r="K137" s="179"/>
      <c r="L137" s="244"/>
      <c r="M137" s="244"/>
      <c r="N137" s="244"/>
      <c r="O137" s="244"/>
      <c r="P137" s="244"/>
      <c r="Q137" s="244"/>
    </row>
    <row r="138" spans="1:17" ht="15.75" customHeight="1" x14ac:dyDescent="0.25">
      <c r="A138" s="244"/>
      <c r="B138" s="244"/>
      <c r="C138" s="244"/>
      <c r="D138" s="382"/>
      <c r="E138" s="179"/>
      <c r="F138" s="244"/>
      <c r="G138" s="244"/>
      <c r="H138" s="244"/>
      <c r="I138" s="244"/>
      <c r="J138" s="382"/>
      <c r="K138" s="179"/>
      <c r="L138" s="244"/>
      <c r="M138" s="244"/>
      <c r="N138" s="244"/>
      <c r="O138" s="244"/>
      <c r="P138" s="244"/>
      <c r="Q138" s="244"/>
    </row>
    <row r="139" spans="1:17" ht="15.75" customHeight="1" x14ac:dyDescent="0.25">
      <c r="A139" s="244"/>
      <c r="B139" s="244"/>
      <c r="C139" s="244"/>
      <c r="D139" s="382"/>
      <c r="E139" s="179"/>
      <c r="F139" s="244"/>
      <c r="G139" s="244"/>
      <c r="H139" s="244"/>
      <c r="I139" s="244"/>
      <c r="J139" s="382"/>
      <c r="K139" s="179"/>
      <c r="L139" s="244"/>
      <c r="M139" s="244"/>
      <c r="N139" s="244"/>
      <c r="O139" s="244"/>
      <c r="P139" s="244"/>
      <c r="Q139" s="244"/>
    </row>
    <row r="140" spans="1:17" ht="15.75" customHeight="1" x14ac:dyDescent="0.25">
      <c r="A140" s="244"/>
      <c r="B140" s="244"/>
      <c r="C140" s="244"/>
      <c r="D140" s="382"/>
      <c r="E140" s="179"/>
      <c r="F140" s="244"/>
      <c r="G140" s="244"/>
      <c r="H140" s="244"/>
      <c r="I140" s="244"/>
      <c r="J140" s="382"/>
      <c r="K140" s="179"/>
      <c r="L140" s="244"/>
      <c r="M140" s="244"/>
      <c r="N140" s="244"/>
      <c r="O140" s="244"/>
      <c r="P140" s="244"/>
      <c r="Q140" s="244"/>
    </row>
    <row r="141" spans="1:17" ht="15.75" customHeight="1" x14ac:dyDescent="0.25">
      <c r="A141" s="244"/>
      <c r="B141" s="244"/>
      <c r="C141" s="244"/>
      <c r="D141" s="382"/>
      <c r="E141" s="179"/>
      <c r="F141" s="244"/>
      <c r="G141" s="244"/>
      <c r="H141" s="244"/>
      <c r="I141" s="244"/>
      <c r="J141" s="382"/>
      <c r="K141" s="179"/>
      <c r="L141" s="244"/>
      <c r="M141" s="244"/>
      <c r="N141" s="244"/>
      <c r="O141" s="244"/>
      <c r="P141" s="244"/>
      <c r="Q141" s="244"/>
    </row>
    <row r="142" spans="1:17" ht="15.75" customHeight="1" x14ac:dyDescent="0.25">
      <c r="A142" s="244"/>
      <c r="B142" s="244"/>
      <c r="C142" s="244"/>
      <c r="D142" s="246"/>
      <c r="E142" s="179"/>
      <c r="F142" s="244"/>
      <c r="G142" s="244"/>
      <c r="H142" s="244"/>
      <c r="I142" s="244"/>
      <c r="J142" s="246"/>
      <c r="K142" s="179"/>
      <c r="L142" s="244"/>
      <c r="M142" s="244"/>
      <c r="N142" s="244"/>
      <c r="O142" s="244"/>
      <c r="P142" s="244"/>
      <c r="Q142" s="244"/>
    </row>
    <row r="143" spans="1:17" ht="15.75" customHeight="1" x14ac:dyDescent="0.25">
      <c r="A143" s="244"/>
      <c r="B143" s="244"/>
      <c r="C143" s="244"/>
      <c r="D143" s="246"/>
      <c r="E143" s="179"/>
      <c r="F143" s="244"/>
      <c r="G143" s="244"/>
      <c r="H143" s="244"/>
      <c r="I143" s="244"/>
      <c r="J143" s="246"/>
      <c r="K143" s="179"/>
      <c r="L143" s="244"/>
      <c r="M143" s="244"/>
      <c r="N143" s="244"/>
      <c r="O143" s="244"/>
      <c r="P143" s="244"/>
      <c r="Q143" s="244"/>
    </row>
    <row r="144" spans="1:17" ht="15.75" customHeight="1" x14ac:dyDescent="0.25">
      <c r="A144" s="244"/>
      <c r="B144" s="244"/>
      <c r="C144" s="244"/>
      <c r="D144" s="246"/>
      <c r="E144" s="179"/>
      <c r="F144" s="244"/>
      <c r="G144" s="244"/>
      <c r="H144" s="244"/>
      <c r="I144" s="244"/>
      <c r="J144" s="246"/>
      <c r="K144" s="179"/>
      <c r="L144" s="244"/>
      <c r="M144" s="244"/>
      <c r="N144" s="244"/>
      <c r="O144" s="244"/>
      <c r="P144" s="244"/>
      <c r="Q144" s="244"/>
    </row>
    <row r="145" spans="1:17" ht="15.75" customHeight="1" x14ac:dyDescent="0.25">
      <c r="A145" s="244"/>
      <c r="B145" s="244"/>
      <c r="C145" s="244"/>
      <c r="D145" s="246"/>
      <c r="E145" s="179"/>
      <c r="F145" s="244"/>
      <c r="G145" s="244"/>
      <c r="H145" s="244"/>
      <c r="I145" s="244"/>
      <c r="J145" s="246"/>
      <c r="K145" s="179"/>
      <c r="L145" s="244"/>
      <c r="M145" s="244"/>
      <c r="N145" s="244"/>
      <c r="O145" s="244"/>
      <c r="P145" s="244"/>
      <c r="Q145" s="244"/>
    </row>
    <row r="146" spans="1:17" ht="15.75" customHeight="1" x14ac:dyDescent="0.25">
      <c r="A146" s="244"/>
      <c r="B146" s="244"/>
      <c r="C146" s="244"/>
      <c r="D146" s="246"/>
      <c r="E146" s="179"/>
      <c r="F146" s="244"/>
      <c r="G146" s="244"/>
      <c r="H146" s="244"/>
      <c r="I146" s="244"/>
      <c r="J146" s="246"/>
      <c r="K146" s="179"/>
      <c r="L146" s="244"/>
      <c r="M146" s="244"/>
      <c r="N146" s="244"/>
      <c r="O146" s="244"/>
      <c r="P146" s="244"/>
      <c r="Q146" s="244"/>
    </row>
    <row r="147" spans="1:17" ht="15.75" customHeight="1" x14ac:dyDescent="0.25">
      <c r="A147" s="244"/>
      <c r="B147" s="244"/>
      <c r="C147" s="244"/>
      <c r="D147" s="246"/>
      <c r="E147" s="179"/>
      <c r="F147" s="244"/>
      <c r="G147" s="244"/>
      <c r="H147" s="244"/>
      <c r="I147" s="244"/>
      <c r="J147" s="246"/>
      <c r="K147" s="179"/>
      <c r="L147" s="244"/>
      <c r="M147" s="244"/>
      <c r="N147" s="244"/>
      <c r="O147" s="244"/>
      <c r="P147" s="244"/>
      <c r="Q147" s="244"/>
    </row>
    <row r="148" spans="1:17" ht="15.75" customHeight="1" x14ac:dyDescent="0.25">
      <c r="A148" s="244"/>
      <c r="B148" s="244"/>
      <c r="C148" s="244"/>
      <c r="D148" s="246"/>
      <c r="E148" s="179"/>
      <c r="F148" s="244"/>
      <c r="G148" s="244"/>
      <c r="H148" s="244"/>
      <c r="I148" s="244"/>
      <c r="J148" s="246"/>
      <c r="K148" s="179"/>
      <c r="L148" s="244"/>
      <c r="M148" s="244"/>
      <c r="N148" s="244"/>
      <c r="O148" s="244"/>
      <c r="P148" s="244"/>
      <c r="Q148" s="244"/>
    </row>
    <row r="149" spans="1:17" ht="15.75" customHeight="1" x14ac:dyDescent="0.25">
      <c r="A149" s="244"/>
      <c r="B149" s="244"/>
      <c r="C149" s="244"/>
      <c r="D149" s="246"/>
      <c r="E149" s="179"/>
      <c r="F149" s="244"/>
      <c r="G149" s="244"/>
      <c r="H149" s="244"/>
      <c r="I149" s="244"/>
      <c r="J149" s="246"/>
      <c r="K149" s="179"/>
      <c r="L149" s="244"/>
      <c r="M149" s="244"/>
      <c r="N149" s="244"/>
      <c r="O149" s="244"/>
      <c r="P149" s="244"/>
      <c r="Q149" s="244"/>
    </row>
    <row r="150" spans="1:17" ht="15.75" customHeight="1" x14ac:dyDescent="0.25">
      <c r="A150" s="244"/>
      <c r="B150" s="244"/>
      <c r="C150" s="244"/>
      <c r="D150" s="246"/>
      <c r="E150" s="179"/>
      <c r="F150" s="244"/>
      <c r="G150" s="244"/>
      <c r="H150" s="244"/>
      <c r="I150" s="244"/>
      <c r="J150" s="246"/>
      <c r="K150" s="179"/>
      <c r="L150" s="244"/>
      <c r="M150" s="244"/>
      <c r="N150" s="244"/>
      <c r="O150" s="244"/>
      <c r="P150" s="244"/>
      <c r="Q150" s="244"/>
    </row>
    <row r="151" spans="1:17" ht="15.75" customHeight="1" x14ac:dyDescent="0.25">
      <c r="A151" s="244"/>
      <c r="B151" s="244"/>
      <c r="C151" s="244"/>
      <c r="D151" s="246"/>
      <c r="E151" s="179"/>
      <c r="F151" s="244"/>
      <c r="G151" s="244"/>
      <c r="H151" s="244"/>
      <c r="I151" s="244"/>
      <c r="J151" s="246"/>
      <c r="K151" s="179"/>
      <c r="L151" s="244"/>
      <c r="M151" s="244"/>
      <c r="N151" s="244"/>
      <c r="O151" s="244"/>
      <c r="P151" s="244"/>
      <c r="Q151" s="244"/>
    </row>
    <row r="152" spans="1:17" ht="15.75" customHeight="1" x14ac:dyDescent="0.25">
      <c r="A152" s="244"/>
      <c r="B152" s="244"/>
      <c r="C152" s="244"/>
      <c r="D152" s="246"/>
      <c r="E152" s="179"/>
      <c r="F152" s="244"/>
      <c r="G152" s="244"/>
      <c r="H152" s="244"/>
      <c r="I152" s="244"/>
      <c r="J152" s="246"/>
      <c r="K152" s="179"/>
      <c r="L152" s="244"/>
      <c r="M152" s="244"/>
      <c r="N152" s="244"/>
      <c r="O152" s="244"/>
      <c r="P152" s="244"/>
      <c r="Q152" s="244"/>
    </row>
    <row r="153" spans="1:17" ht="15.75" customHeight="1" x14ac:dyDescent="0.25">
      <c r="A153" s="244"/>
      <c r="B153" s="244"/>
      <c r="C153" s="244"/>
      <c r="D153" s="246"/>
      <c r="E153" s="179"/>
      <c r="F153" s="244"/>
      <c r="G153" s="244"/>
      <c r="H153" s="244"/>
      <c r="I153" s="244"/>
      <c r="J153" s="246"/>
      <c r="K153" s="179"/>
      <c r="L153" s="244"/>
      <c r="M153" s="244"/>
      <c r="N153" s="244"/>
      <c r="O153" s="244"/>
      <c r="P153" s="244"/>
      <c r="Q153" s="244"/>
    </row>
    <row r="154" spans="1:17" ht="15.75" customHeight="1" x14ac:dyDescent="0.25">
      <c r="A154" s="244"/>
      <c r="B154" s="244"/>
      <c r="C154" s="244"/>
      <c r="D154" s="246"/>
      <c r="E154" s="179"/>
      <c r="F154" s="244"/>
      <c r="G154" s="244"/>
      <c r="H154" s="244"/>
      <c r="I154" s="244"/>
      <c r="J154" s="246"/>
      <c r="K154" s="179"/>
      <c r="L154" s="244"/>
      <c r="M154" s="244"/>
      <c r="N154" s="244"/>
      <c r="O154" s="244"/>
      <c r="P154" s="244"/>
      <c r="Q154" s="244"/>
    </row>
    <row r="155" spans="1:17" ht="15.75" customHeight="1" x14ac:dyDescent="0.25">
      <c r="A155" s="244"/>
      <c r="B155" s="244"/>
      <c r="C155" s="244"/>
      <c r="D155" s="246"/>
      <c r="E155" s="179"/>
      <c r="F155" s="244"/>
      <c r="G155" s="244"/>
      <c r="H155" s="244"/>
      <c r="I155" s="244"/>
      <c r="J155" s="246"/>
      <c r="K155" s="179"/>
      <c r="L155" s="244"/>
      <c r="M155" s="244"/>
      <c r="N155" s="244"/>
      <c r="O155" s="244"/>
      <c r="P155" s="244"/>
      <c r="Q155" s="244"/>
    </row>
    <row r="156" spans="1:17" ht="15.75" customHeight="1" x14ac:dyDescent="0.25">
      <c r="A156" s="244"/>
      <c r="B156" s="244"/>
      <c r="C156" s="244"/>
      <c r="D156" s="246"/>
      <c r="E156" s="179"/>
      <c r="F156" s="244"/>
      <c r="G156" s="244"/>
      <c r="H156" s="244"/>
      <c r="I156" s="244"/>
      <c r="J156" s="246"/>
      <c r="K156" s="179"/>
      <c r="L156" s="244"/>
      <c r="M156" s="244"/>
      <c r="N156" s="244"/>
      <c r="O156" s="244"/>
      <c r="P156" s="244"/>
      <c r="Q156" s="244"/>
    </row>
    <row r="157" spans="1:17" ht="15.75" customHeight="1" x14ac:dyDescent="0.25">
      <c r="A157" s="244"/>
      <c r="B157" s="244"/>
      <c r="C157" s="244"/>
      <c r="D157" s="246"/>
      <c r="E157" s="179"/>
      <c r="F157" s="244"/>
      <c r="G157" s="244"/>
      <c r="H157" s="244"/>
      <c r="I157" s="244"/>
      <c r="J157" s="246"/>
      <c r="K157" s="179"/>
      <c r="L157" s="244"/>
      <c r="M157" s="244"/>
      <c r="N157" s="244"/>
      <c r="O157" s="244"/>
      <c r="P157" s="244"/>
      <c r="Q157" s="244"/>
    </row>
    <row r="158" spans="1:17" ht="15.75" customHeight="1" x14ac:dyDescent="0.25">
      <c r="A158" s="244"/>
      <c r="B158" s="244"/>
      <c r="C158" s="244"/>
      <c r="D158" s="246"/>
      <c r="E158" s="179"/>
      <c r="F158" s="244"/>
      <c r="G158" s="244"/>
      <c r="H158" s="244"/>
      <c r="I158" s="244"/>
      <c r="J158" s="246"/>
      <c r="K158" s="179"/>
      <c r="L158" s="244"/>
      <c r="M158" s="244"/>
      <c r="N158" s="244"/>
      <c r="O158" s="244"/>
      <c r="P158" s="244"/>
      <c r="Q158" s="244"/>
    </row>
    <row r="159" spans="1:17" ht="15.75" customHeight="1" x14ac:dyDescent="0.25">
      <c r="A159" s="244"/>
      <c r="B159" s="244"/>
      <c r="C159" s="244"/>
      <c r="D159" s="246"/>
      <c r="E159" s="179"/>
      <c r="F159" s="244"/>
      <c r="G159" s="244"/>
      <c r="H159" s="244"/>
      <c r="I159" s="244"/>
      <c r="J159" s="246"/>
      <c r="K159" s="179"/>
      <c r="L159" s="244"/>
      <c r="M159" s="244"/>
      <c r="N159" s="244"/>
      <c r="O159" s="244"/>
      <c r="P159" s="244"/>
      <c r="Q159" s="244"/>
    </row>
    <row r="160" spans="1:17" ht="15.75" customHeight="1" x14ac:dyDescent="0.25">
      <c r="A160" s="244"/>
      <c r="B160" s="244"/>
      <c r="C160" s="244"/>
      <c r="D160" s="246"/>
      <c r="E160" s="179"/>
      <c r="F160" s="244"/>
      <c r="G160" s="244"/>
      <c r="H160" s="244"/>
      <c r="I160" s="244"/>
      <c r="J160" s="246"/>
      <c r="K160" s="179"/>
      <c r="L160" s="244"/>
      <c r="M160" s="244"/>
      <c r="N160" s="244"/>
      <c r="O160" s="244"/>
      <c r="P160" s="244"/>
      <c r="Q160" s="244"/>
    </row>
    <row r="161" spans="1:17" ht="15.75" customHeight="1" x14ac:dyDescent="0.25">
      <c r="A161" s="244"/>
      <c r="B161" s="244"/>
      <c r="C161" s="244"/>
      <c r="D161" s="246"/>
      <c r="E161" s="179"/>
      <c r="F161" s="244"/>
      <c r="G161" s="244"/>
      <c r="H161" s="244"/>
      <c r="I161" s="244"/>
      <c r="J161" s="246"/>
      <c r="K161" s="179"/>
      <c r="L161" s="244"/>
      <c r="M161" s="244"/>
      <c r="N161" s="244"/>
      <c r="O161" s="244"/>
      <c r="P161" s="244"/>
      <c r="Q161" s="244"/>
    </row>
    <row r="162" spans="1:17" ht="15.75" customHeight="1" x14ac:dyDescent="0.25">
      <c r="A162" s="244"/>
      <c r="B162" s="244"/>
      <c r="C162" s="244"/>
      <c r="D162" s="246"/>
      <c r="E162" s="179"/>
      <c r="F162" s="244"/>
      <c r="G162" s="244"/>
      <c r="H162" s="244"/>
      <c r="I162" s="244"/>
      <c r="J162" s="246"/>
      <c r="K162" s="179"/>
      <c r="L162" s="244"/>
      <c r="M162" s="244"/>
      <c r="N162" s="244"/>
      <c r="O162" s="244"/>
      <c r="P162" s="244"/>
      <c r="Q162" s="244"/>
    </row>
    <row r="163" spans="1:17" ht="15.75" customHeight="1" x14ac:dyDescent="0.25">
      <c r="A163" s="244"/>
      <c r="B163" s="244"/>
      <c r="C163" s="244"/>
      <c r="D163" s="246"/>
      <c r="E163" s="179"/>
      <c r="F163" s="244"/>
      <c r="G163" s="244"/>
      <c r="H163" s="244"/>
      <c r="I163" s="244"/>
      <c r="J163" s="246"/>
      <c r="K163" s="179"/>
      <c r="L163" s="244"/>
      <c r="M163" s="244"/>
      <c r="N163" s="244"/>
      <c r="O163" s="244"/>
      <c r="P163" s="244"/>
      <c r="Q163" s="244"/>
    </row>
    <row r="164" spans="1:17" ht="15.75" customHeight="1" x14ac:dyDescent="0.25">
      <c r="A164" s="244"/>
      <c r="B164" s="244"/>
      <c r="C164" s="244"/>
      <c r="D164" s="246"/>
      <c r="E164" s="179"/>
      <c r="F164" s="244"/>
      <c r="G164" s="244"/>
      <c r="H164" s="244"/>
      <c r="I164" s="244"/>
      <c r="J164" s="246"/>
      <c r="K164" s="179"/>
      <c r="L164" s="244"/>
      <c r="M164" s="244"/>
      <c r="N164" s="244"/>
      <c r="O164" s="244"/>
      <c r="P164" s="244"/>
      <c r="Q164" s="244"/>
    </row>
    <row r="165" spans="1:17" ht="15.75" customHeight="1" x14ac:dyDescent="0.25">
      <c r="A165" s="244"/>
      <c r="B165" s="244"/>
      <c r="C165" s="244"/>
      <c r="D165" s="246"/>
      <c r="E165" s="179"/>
      <c r="F165" s="244"/>
      <c r="G165" s="244"/>
      <c r="H165" s="244"/>
      <c r="I165" s="244"/>
      <c r="J165" s="246"/>
      <c r="K165" s="179"/>
      <c r="L165" s="244"/>
      <c r="M165" s="244"/>
      <c r="N165" s="244"/>
      <c r="O165" s="244"/>
      <c r="P165" s="244"/>
      <c r="Q165" s="244"/>
    </row>
    <row r="166" spans="1:17" ht="15.75" customHeight="1" x14ac:dyDescent="0.25">
      <c r="A166" s="244"/>
      <c r="B166" s="244"/>
      <c r="C166" s="244"/>
      <c r="D166" s="246"/>
      <c r="E166" s="179"/>
      <c r="F166" s="244"/>
      <c r="G166" s="244"/>
      <c r="H166" s="244"/>
      <c r="I166" s="244"/>
      <c r="J166" s="246"/>
      <c r="K166" s="179"/>
      <c r="L166" s="244"/>
      <c r="M166" s="244"/>
      <c r="N166" s="244"/>
      <c r="O166" s="244"/>
      <c r="P166" s="244"/>
      <c r="Q166" s="244"/>
    </row>
    <row r="167" spans="1:17" ht="15.75" customHeight="1" x14ac:dyDescent="0.25">
      <c r="A167" s="244"/>
      <c r="B167" s="244"/>
      <c r="C167" s="244"/>
      <c r="D167" s="246"/>
      <c r="E167" s="179"/>
      <c r="F167" s="244"/>
      <c r="G167" s="244"/>
      <c r="H167" s="244"/>
      <c r="I167" s="244"/>
      <c r="J167" s="246"/>
      <c r="K167" s="179"/>
      <c r="L167" s="244"/>
      <c r="M167" s="244"/>
      <c r="N167" s="244"/>
      <c r="O167" s="244"/>
      <c r="P167" s="244"/>
      <c r="Q167" s="244"/>
    </row>
    <row r="168" spans="1:17" ht="15.75" customHeight="1" x14ac:dyDescent="0.25">
      <c r="A168" s="244"/>
      <c r="B168" s="244"/>
      <c r="C168" s="244"/>
      <c r="D168" s="246"/>
      <c r="E168" s="179"/>
      <c r="F168" s="244"/>
      <c r="G168" s="244"/>
      <c r="H168" s="244"/>
      <c r="I168" s="244"/>
      <c r="J168" s="246"/>
      <c r="K168" s="179"/>
      <c r="L168" s="244"/>
      <c r="M168" s="244"/>
      <c r="N168" s="244"/>
      <c r="O168" s="244"/>
      <c r="P168" s="244"/>
      <c r="Q168" s="244"/>
    </row>
    <row r="169" spans="1:17" ht="15.75" customHeight="1" x14ac:dyDescent="0.25">
      <c r="A169" s="244"/>
      <c r="B169" s="244"/>
      <c r="C169" s="244"/>
      <c r="D169" s="246"/>
      <c r="E169" s="179"/>
      <c r="F169" s="244"/>
      <c r="G169" s="244"/>
      <c r="H169" s="244"/>
      <c r="I169" s="244"/>
      <c r="J169" s="246"/>
      <c r="K169" s="179"/>
      <c r="L169" s="244"/>
      <c r="M169" s="244"/>
      <c r="N169" s="244"/>
      <c r="O169" s="244"/>
      <c r="P169" s="244"/>
      <c r="Q169" s="244"/>
    </row>
    <row r="170" spans="1:17" ht="15.75" customHeight="1" x14ac:dyDescent="0.25">
      <c r="A170" s="244"/>
      <c r="B170" s="244"/>
      <c r="C170" s="244"/>
      <c r="D170" s="246"/>
      <c r="E170" s="179"/>
      <c r="F170" s="244"/>
      <c r="G170" s="244"/>
      <c r="H170" s="244"/>
      <c r="I170" s="244"/>
      <c r="J170" s="246"/>
      <c r="K170" s="179"/>
      <c r="L170" s="244"/>
      <c r="M170" s="244"/>
      <c r="N170" s="244"/>
      <c r="O170" s="244"/>
      <c r="P170" s="244"/>
      <c r="Q170" s="244"/>
    </row>
    <row r="171" spans="1:17" ht="15.75" customHeight="1" x14ac:dyDescent="0.25">
      <c r="A171" s="244"/>
      <c r="B171" s="244"/>
      <c r="C171" s="244"/>
      <c r="D171" s="244"/>
      <c r="E171" s="179"/>
      <c r="F171" s="244"/>
      <c r="G171" s="244"/>
      <c r="H171" s="244"/>
      <c r="I171" s="244"/>
      <c r="J171" s="244"/>
      <c r="K171" s="179"/>
      <c r="L171" s="244"/>
      <c r="M171" s="244"/>
      <c r="N171" s="244"/>
      <c r="O171" s="244"/>
      <c r="P171" s="244"/>
      <c r="Q171" s="244"/>
    </row>
    <row r="172" spans="1:17" ht="15.75" customHeight="1" x14ac:dyDescent="0.25">
      <c r="A172" s="244"/>
      <c r="B172" s="244"/>
      <c r="C172" s="244"/>
      <c r="D172" s="244"/>
      <c r="E172" s="179"/>
      <c r="F172" s="244"/>
      <c r="G172" s="244"/>
      <c r="H172" s="244"/>
      <c r="I172" s="244"/>
      <c r="J172" s="244"/>
      <c r="K172" s="179"/>
      <c r="L172" s="244"/>
      <c r="M172" s="244"/>
      <c r="N172" s="244"/>
      <c r="O172" s="244"/>
      <c r="P172" s="244"/>
      <c r="Q172" s="244"/>
    </row>
    <row r="173" spans="1:17" ht="15.75" customHeight="1" x14ac:dyDescent="0.25">
      <c r="A173" s="244"/>
      <c r="B173" s="244"/>
      <c r="C173" s="244"/>
      <c r="D173" s="244"/>
      <c r="E173" s="179"/>
      <c r="F173" s="244"/>
      <c r="G173" s="244"/>
      <c r="H173" s="244"/>
      <c r="I173" s="244"/>
      <c r="J173" s="244"/>
      <c r="K173" s="179"/>
      <c r="L173" s="244"/>
      <c r="M173" s="244"/>
      <c r="N173" s="244"/>
      <c r="O173" s="244"/>
      <c r="P173" s="244"/>
      <c r="Q173" s="244"/>
    </row>
    <row r="174" spans="1:17" ht="15.75" customHeight="1" x14ac:dyDescent="0.25">
      <c r="A174" s="244"/>
      <c r="B174" s="244"/>
      <c r="C174" s="244"/>
      <c r="D174" s="244"/>
      <c r="E174" s="179"/>
      <c r="F174" s="244"/>
      <c r="G174" s="244"/>
      <c r="H174" s="244"/>
      <c r="I174" s="244"/>
      <c r="J174" s="244"/>
      <c r="K174" s="179"/>
      <c r="L174" s="244"/>
      <c r="M174" s="244"/>
      <c r="N174" s="244"/>
      <c r="O174" s="244"/>
      <c r="P174" s="244"/>
      <c r="Q174" s="244"/>
    </row>
    <row r="175" spans="1:17" ht="15.75" customHeight="1" x14ac:dyDescent="0.25">
      <c r="A175" s="244"/>
      <c r="B175" s="244"/>
      <c r="C175" s="244"/>
      <c r="D175" s="244"/>
      <c r="E175" s="179"/>
      <c r="F175" s="244"/>
      <c r="G175" s="244"/>
      <c r="H175" s="244"/>
      <c r="I175" s="244"/>
      <c r="J175" s="244"/>
      <c r="K175" s="179"/>
      <c r="L175" s="244"/>
      <c r="M175" s="244"/>
      <c r="N175" s="244"/>
      <c r="O175" s="244"/>
      <c r="P175" s="244"/>
      <c r="Q175" s="244"/>
    </row>
    <row r="176" spans="1:17" ht="15.75" customHeight="1" x14ac:dyDescent="0.25">
      <c r="A176" s="244"/>
      <c r="B176" s="244"/>
      <c r="C176" s="244"/>
      <c r="D176" s="244"/>
      <c r="E176" s="179"/>
      <c r="F176" s="244"/>
      <c r="G176" s="244"/>
      <c r="H176" s="244"/>
      <c r="I176" s="244"/>
      <c r="J176" s="244"/>
      <c r="K176" s="179"/>
      <c r="L176" s="244"/>
      <c r="M176" s="244"/>
      <c r="N176" s="244"/>
      <c r="O176" s="244"/>
      <c r="P176" s="244"/>
      <c r="Q176" s="244"/>
    </row>
    <row r="177" spans="1:17" ht="15.75" customHeight="1" x14ac:dyDescent="0.25">
      <c r="A177" s="244"/>
      <c r="B177" s="244"/>
      <c r="C177" s="244"/>
      <c r="D177" s="244"/>
      <c r="E177" s="179"/>
      <c r="F177" s="244"/>
      <c r="G177" s="244"/>
      <c r="H177" s="244"/>
      <c r="I177" s="244"/>
      <c r="J177" s="244"/>
      <c r="K177" s="179"/>
      <c r="L177" s="244"/>
      <c r="M177" s="244"/>
      <c r="N177" s="244"/>
      <c r="O177" s="244"/>
      <c r="P177" s="244"/>
      <c r="Q177" s="244"/>
    </row>
    <row r="178" spans="1:17" ht="15.75" customHeight="1" x14ac:dyDescent="0.25">
      <c r="A178" s="244"/>
      <c r="B178" s="244"/>
      <c r="C178" s="244"/>
      <c r="D178" s="244"/>
      <c r="E178" s="179"/>
      <c r="F178" s="244"/>
      <c r="G178" s="244"/>
      <c r="H178" s="244"/>
      <c r="I178" s="244"/>
      <c r="J178" s="244"/>
      <c r="K178" s="179"/>
      <c r="L178" s="244"/>
      <c r="M178" s="244"/>
      <c r="N178" s="244"/>
      <c r="O178" s="244"/>
      <c r="P178" s="244"/>
      <c r="Q178" s="244"/>
    </row>
    <row r="179" spans="1:17" ht="15.75" customHeight="1" x14ac:dyDescent="0.25">
      <c r="A179" s="244"/>
      <c r="B179" s="244"/>
      <c r="C179" s="244"/>
      <c r="D179" s="244"/>
      <c r="E179" s="179"/>
      <c r="F179" s="244"/>
      <c r="G179" s="244"/>
      <c r="H179" s="244"/>
      <c r="I179" s="244"/>
      <c r="J179" s="244"/>
      <c r="K179" s="179"/>
      <c r="L179" s="244"/>
      <c r="M179" s="244"/>
      <c r="N179" s="244"/>
      <c r="O179" s="244"/>
      <c r="P179" s="244"/>
      <c r="Q179" s="244"/>
    </row>
    <row r="180" spans="1:17" ht="15.75" customHeight="1" x14ac:dyDescent="0.25">
      <c r="A180" s="244"/>
      <c r="B180" s="244"/>
      <c r="C180" s="244"/>
      <c r="D180" s="244"/>
      <c r="E180" s="179"/>
      <c r="F180" s="244"/>
      <c r="G180" s="244"/>
      <c r="H180" s="244"/>
      <c r="I180" s="244"/>
      <c r="J180" s="244"/>
      <c r="K180" s="179"/>
      <c r="L180" s="244"/>
      <c r="M180" s="244"/>
      <c r="N180" s="244"/>
      <c r="O180" s="244"/>
      <c r="P180" s="244"/>
      <c r="Q180" s="244"/>
    </row>
    <row r="181" spans="1:17" ht="15.75" customHeight="1" x14ac:dyDescent="0.25">
      <c r="A181" s="244"/>
      <c r="B181" s="244"/>
      <c r="C181" s="244"/>
      <c r="D181" s="244"/>
      <c r="E181" s="179"/>
      <c r="F181" s="244"/>
      <c r="G181" s="244"/>
      <c r="H181" s="244"/>
      <c r="I181" s="244"/>
      <c r="J181" s="244"/>
      <c r="K181" s="179"/>
      <c r="L181" s="244"/>
      <c r="M181" s="244"/>
      <c r="N181" s="244"/>
      <c r="O181" s="244"/>
      <c r="P181" s="244"/>
      <c r="Q181" s="244"/>
    </row>
    <row r="182" spans="1:17" ht="15.75" customHeight="1" x14ac:dyDescent="0.25">
      <c r="A182" s="244"/>
      <c r="B182" s="244"/>
      <c r="C182" s="244"/>
      <c r="D182" s="244"/>
      <c r="E182" s="179"/>
      <c r="F182" s="244"/>
      <c r="G182" s="244"/>
      <c r="H182" s="244"/>
      <c r="I182" s="244"/>
      <c r="J182" s="244"/>
      <c r="K182" s="179"/>
      <c r="L182" s="244"/>
      <c r="M182" s="244"/>
      <c r="N182" s="244"/>
      <c r="O182" s="244"/>
      <c r="P182" s="244"/>
      <c r="Q182" s="244"/>
    </row>
    <row r="183" spans="1:17" ht="15.75" customHeight="1" x14ac:dyDescent="0.25">
      <c r="A183" s="244"/>
      <c r="B183" s="244"/>
      <c r="C183" s="244"/>
      <c r="D183" s="244"/>
      <c r="E183" s="179"/>
      <c r="F183" s="244"/>
      <c r="G183" s="244"/>
      <c r="H183" s="244"/>
      <c r="I183" s="244"/>
      <c r="J183" s="244"/>
      <c r="K183" s="179"/>
      <c r="L183" s="244"/>
      <c r="M183" s="244"/>
      <c r="N183" s="244"/>
      <c r="O183" s="244"/>
      <c r="P183" s="244"/>
      <c r="Q183" s="244"/>
    </row>
    <row r="184" spans="1:17" ht="15.75" customHeight="1" x14ac:dyDescent="0.25">
      <c r="A184" s="244"/>
      <c r="B184" s="244"/>
      <c r="C184" s="244"/>
      <c r="D184" s="244"/>
      <c r="E184" s="179"/>
      <c r="F184" s="244"/>
      <c r="G184" s="244"/>
      <c r="H184" s="244"/>
      <c r="I184" s="244"/>
      <c r="J184" s="244"/>
      <c r="K184" s="179"/>
      <c r="L184" s="244"/>
      <c r="M184" s="244"/>
      <c r="N184" s="244"/>
      <c r="O184" s="244"/>
      <c r="P184" s="244"/>
      <c r="Q184" s="244"/>
    </row>
    <row r="185" spans="1:17" ht="15.75" customHeight="1" x14ac:dyDescent="0.25">
      <c r="A185" s="244"/>
      <c r="B185" s="244"/>
      <c r="C185" s="244"/>
      <c r="D185" s="244"/>
      <c r="E185" s="179"/>
      <c r="F185" s="244"/>
      <c r="G185" s="244"/>
      <c r="H185" s="244"/>
      <c r="I185" s="244"/>
      <c r="J185" s="244"/>
      <c r="K185" s="179"/>
      <c r="L185" s="244"/>
      <c r="M185" s="244"/>
      <c r="N185" s="244"/>
      <c r="O185" s="244"/>
      <c r="P185" s="244"/>
      <c r="Q185" s="244"/>
    </row>
    <row r="186" spans="1:17" ht="15.75" customHeight="1" x14ac:dyDescent="0.25">
      <c r="A186" s="244"/>
      <c r="B186" s="244"/>
      <c r="C186" s="244"/>
      <c r="D186" s="244"/>
      <c r="E186" s="179"/>
      <c r="F186" s="244"/>
      <c r="G186" s="244"/>
      <c r="H186" s="244"/>
      <c r="I186" s="244"/>
      <c r="J186" s="244"/>
      <c r="K186" s="179"/>
      <c r="L186" s="244"/>
      <c r="M186" s="244"/>
      <c r="N186" s="244"/>
      <c r="O186" s="244"/>
      <c r="P186" s="244"/>
      <c r="Q186" s="244"/>
    </row>
    <row r="187" spans="1:17" ht="15.75" customHeight="1" x14ac:dyDescent="0.25">
      <c r="A187" s="244"/>
      <c r="B187" s="244"/>
      <c r="C187" s="244"/>
      <c r="D187" s="244"/>
      <c r="E187" s="179"/>
      <c r="F187" s="244"/>
      <c r="G187" s="244"/>
      <c r="H187" s="244"/>
      <c r="I187" s="244"/>
      <c r="J187" s="244"/>
      <c r="K187" s="179"/>
      <c r="L187" s="244"/>
      <c r="M187" s="244"/>
      <c r="N187" s="244"/>
      <c r="O187" s="244"/>
      <c r="P187" s="244"/>
      <c r="Q187" s="244"/>
    </row>
    <row r="188" spans="1:17" ht="15.75" customHeight="1" x14ac:dyDescent="0.25">
      <c r="A188" s="244"/>
      <c r="B188" s="244"/>
      <c r="C188" s="244"/>
      <c r="D188" s="244"/>
      <c r="E188" s="179"/>
      <c r="F188" s="244"/>
      <c r="G188" s="244"/>
      <c r="H188" s="244"/>
      <c r="I188" s="244"/>
      <c r="J188" s="244"/>
      <c r="K188" s="179"/>
      <c r="L188" s="244"/>
      <c r="M188" s="244"/>
      <c r="N188" s="244"/>
      <c r="O188" s="244"/>
      <c r="P188" s="244"/>
      <c r="Q188" s="244"/>
    </row>
    <row r="189" spans="1:17" ht="15.75" customHeight="1" x14ac:dyDescent="0.25">
      <c r="A189" s="244"/>
      <c r="B189" s="244"/>
      <c r="C189" s="244"/>
      <c r="D189" s="244"/>
      <c r="E189" s="179"/>
      <c r="F189" s="244"/>
      <c r="G189" s="244"/>
      <c r="H189" s="244"/>
      <c r="I189" s="244"/>
      <c r="J189" s="244"/>
      <c r="K189" s="179"/>
      <c r="L189" s="244"/>
      <c r="M189" s="244"/>
      <c r="N189" s="244"/>
      <c r="O189" s="244"/>
      <c r="P189" s="244"/>
      <c r="Q189" s="244"/>
    </row>
    <row r="190" spans="1:17" ht="15.75" customHeight="1" x14ac:dyDescent="0.25">
      <c r="A190" s="244"/>
      <c r="B190" s="244"/>
      <c r="C190" s="244"/>
      <c r="D190" s="244"/>
      <c r="E190" s="179"/>
      <c r="F190" s="244"/>
      <c r="G190" s="244"/>
      <c r="H190" s="244"/>
      <c r="I190" s="244"/>
      <c r="J190" s="244"/>
      <c r="K190" s="179"/>
      <c r="L190" s="244"/>
      <c r="M190" s="244"/>
      <c r="N190" s="244"/>
      <c r="O190" s="244"/>
      <c r="P190" s="244"/>
      <c r="Q190" s="244"/>
    </row>
    <row r="191" spans="1:17" ht="15.75" customHeight="1" x14ac:dyDescent="0.25">
      <c r="A191" s="244"/>
      <c r="B191" s="244"/>
      <c r="C191" s="244"/>
      <c r="D191" s="244"/>
      <c r="E191" s="179"/>
      <c r="F191" s="244"/>
      <c r="G191" s="244"/>
      <c r="H191" s="244"/>
      <c r="I191" s="244"/>
      <c r="J191" s="244"/>
      <c r="K191" s="179"/>
      <c r="L191" s="244"/>
      <c r="M191" s="244"/>
      <c r="N191" s="244"/>
      <c r="O191" s="244"/>
      <c r="P191" s="244"/>
      <c r="Q191" s="244"/>
    </row>
    <row r="192" spans="1:17" ht="15.75" customHeight="1" x14ac:dyDescent="0.25">
      <c r="A192" s="244"/>
      <c r="B192" s="244"/>
      <c r="C192" s="244"/>
      <c r="D192" s="244"/>
      <c r="E192" s="179"/>
      <c r="F192" s="244"/>
      <c r="G192" s="244"/>
      <c r="H192" s="244"/>
      <c r="I192" s="244"/>
      <c r="J192" s="244"/>
      <c r="K192" s="179"/>
      <c r="L192" s="244"/>
      <c r="M192" s="244"/>
      <c r="N192" s="244"/>
      <c r="O192" s="244"/>
      <c r="P192" s="244"/>
      <c r="Q192" s="244"/>
    </row>
    <row r="193" spans="1:17" ht="15.75" customHeight="1" x14ac:dyDescent="0.25">
      <c r="A193" s="244"/>
      <c r="B193" s="244"/>
      <c r="C193" s="244"/>
      <c r="D193" s="244"/>
      <c r="E193" s="179"/>
      <c r="F193" s="244"/>
      <c r="G193" s="244"/>
      <c r="H193" s="244"/>
      <c r="I193" s="244"/>
      <c r="J193" s="244"/>
      <c r="K193" s="179"/>
      <c r="L193" s="244"/>
      <c r="M193" s="244"/>
      <c r="N193" s="244"/>
      <c r="O193" s="244"/>
      <c r="P193" s="244"/>
      <c r="Q193" s="244"/>
    </row>
    <row r="194" spans="1:17" ht="15.75" customHeight="1" x14ac:dyDescent="0.25">
      <c r="A194" s="244"/>
      <c r="B194" s="244"/>
      <c r="C194" s="244"/>
      <c r="D194" s="244"/>
      <c r="E194" s="179"/>
      <c r="F194" s="244"/>
      <c r="G194" s="244"/>
      <c r="H194" s="244"/>
      <c r="I194" s="244"/>
      <c r="J194" s="244"/>
      <c r="K194" s="179"/>
      <c r="L194" s="244"/>
      <c r="M194" s="244"/>
      <c r="N194" s="244"/>
      <c r="O194" s="244"/>
      <c r="P194" s="244"/>
      <c r="Q194" s="244"/>
    </row>
    <row r="195" spans="1:17" ht="15.75" customHeight="1" x14ac:dyDescent="0.25">
      <c r="A195" s="244"/>
      <c r="B195" s="244"/>
      <c r="C195" s="244"/>
      <c r="D195" s="244"/>
      <c r="E195" s="179"/>
      <c r="F195" s="244"/>
      <c r="G195" s="244"/>
      <c r="H195" s="244"/>
      <c r="I195" s="244"/>
      <c r="J195" s="244"/>
      <c r="K195" s="179"/>
      <c r="L195" s="244"/>
      <c r="M195" s="244"/>
      <c r="N195" s="244"/>
      <c r="O195" s="244"/>
      <c r="P195" s="244"/>
      <c r="Q195" s="244"/>
    </row>
    <row r="196" spans="1:17" ht="15.75" customHeight="1" x14ac:dyDescent="0.25">
      <c r="A196" s="244"/>
      <c r="B196" s="244"/>
      <c r="C196" s="244"/>
      <c r="D196" s="244"/>
      <c r="E196" s="179"/>
      <c r="F196" s="244"/>
      <c r="G196" s="244"/>
      <c r="H196" s="244"/>
      <c r="I196" s="244"/>
      <c r="J196" s="244"/>
      <c r="K196" s="179"/>
      <c r="L196" s="244"/>
      <c r="M196" s="244"/>
      <c r="N196" s="244"/>
      <c r="O196" s="244"/>
      <c r="P196" s="244"/>
      <c r="Q196" s="244"/>
    </row>
    <row r="197" spans="1:17" ht="15.75" customHeight="1" x14ac:dyDescent="0.25">
      <c r="A197" s="244"/>
      <c r="B197" s="244"/>
      <c r="C197" s="244"/>
      <c r="D197" s="244"/>
      <c r="E197" s="179"/>
      <c r="F197" s="244"/>
      <c r="G197" s="244"/>
      <c r="H197" s="244"/>
      <c r="I197" s="244"/>
      <c r="J197" s="244"/>
      <c r="K197" s="179"/>
      <c r="L197" s="244"/>
      <c r="M197" s="244"/>
      <c r="N197" s="244"/>
      <c r="O197" s="244"/>
      <c r="P197" s="244"/>
      <c r="Q197" s="244"/>
    </row>
    <row r="198" spans="1:17" ht="15.75" customHeight="1" x14ac:dyDescent="0.25">
      <c r="A198" s="244"/>
      <c r="B198" s="244"/>
      <c r="C198" s="244"/>
      <c r="D198" s="244"/>
      <c r="E198" s="179"/>
      <c r="F198" s="244"/>
      <c r="G198" s="244"/>
      <c r="H198" s="244"/>
      <c r="I198" s="244"/>
      <c r="J198" s="244"/>
      <c r="K198" s="179"/>
      <c r="L198" s="244"/>
      <c r="M198" s="244"/>
      <c r="N198" s="244"/>
      <c r="O198" s="244"/>
      <c r="P198" s="244"/>
      <c r="Q198" s="244"/>
    </row>
    <row r="199" spans="1:17" ht="15.75" customHeight="1" x14ac:dyDescent="0.25">
      <c r="A199" s="244"/>
      <c r="B199" s="244"/>
      <c r="C199" s="244"/>
      <c r="D199" s="244"/>
      <c r="E199" s="179"/>
      <c r="F199" s="244"/>
      <c r="G199" s="244"/>
      <c r="H199" s="244"/>
      <c r="I199" s="244"/>
      <c r="J199" s="244"/>
      <c r="K199" s="179"/>
      <c r="L199" s="244"/>
      <c r="M199" s="244"/>
      <c r="N199" s="244"/>
      <c r="O199" s="244"/>
      <c r="P199" s="244"/>
      <c r="Q199" s="244"/>
    </row>
    <row r="200" spans="1:17" ht="15.75" customHeight="1" x14ac:dyDescent="0.25">
      <c r="A200" s="244"/>
      <c r="B200" s="244"/>
      <c r="C200" s="244"/>
      <c r="D200" s="244"/>
      <c r="E200" s="179"/>
      <c r="F200" s="244"/>
      <c r="G200" s="244"/>
      <c r="H200" s="244"/>
      <c r="I200" s="244"/>
      <c r="J200" s="244"/>
      <c r="K200" s="179"/>
      <c r="L200" s="244"/>
      <c r="M200" s="244"/>
      <c r="N200" s="244"/>
      <c r="O200" s="244"/>
      <c r="P200" s="244"/>
      <c r="Q200" s="244"/>
    </row>
    <row r="201" spans="1:17" ht="15.75" customHeight="1" x14ac:dyDescent="0.25">
      <c r="A201" s="244"/>
      <c r="B201" s="244"/>
      <c r="C201" s="244"/>
      <c r="D201" s="244"/>
      <c r="E201" s="179"/>
      <c r="F201" s="244"/>
      <c r="G201" s="244"/>
      <c r="H201" s="244"/>
      <c r="I201" s="244"/>
      <c r="J201" s="244"/>
      <c r="K201" s="179"/>
      <c r="L201" s="244"/>
      <c r="M201" s="244"/>
      <c r="N201" s="244"/>
      <c r="O201" s="244"/>
      <c r="P201" s="244"/>
      <c r="Q201" s="244"/>
    </row>
    <row r="202" spans="1:17" ht="15.75" customHeight="1" x14ac:dyDescent="0.25">
      <c r="A202" s="244"/>
      <c r="B202" s="244"/>
      <c r="C202" s="244"/>
      <c r="D202" s="244"/>
      <c r="E202" s="179"/>
      <c r="F202" s="244"/>
      <c r="G202" s="244"/>
      <c r="H202" s="244"/>
      <c r="I202" s="244"/>
      <c r="J202" s="244"/>
      <c r="K202" s="179"/>
      <c r="L202" s="244"/>
      <c r="M202" s="244"/>
      <c r="N202" s="244"/>
      <c r="O202" s="244"/>
      <c r="P202" s="244"/>
      <c r="Q202" s="244"/>
    </row>
    <row r="203" spans="1:17" ht="15.75" customHeight="1" x14ac:dyDescent="0.25">
      <c r="A203" s="244"/>
      <c r="B203" s="244"/>
      <c r="C203" s="244"/>
      <c r="D203" s="244"/>
      <c r="E203" s="179"/>
      <c r="F203" s="244"/>
      <c r="G203" s="244"/>
      <c r="H203" s="244"/>
      <c r="I203" s="244"/>
      <c r="J203" s="244"/>
      <c r="K203" s="179"/>
      <c r="L203" s="244"/>
      <c r="M203" s="244"/>
      <c r="N203" s="244"/>
      <c r="O203" s="244"/>
      <c r="P203" s="244"/>
      <c r="Q203" s="244"/>
    </row>
    <row r="204" spans="1:17" ht="15.75" customHeight="1" x14ac:dyDescent="0.25">
      <c r="A204" s="244"/>
      <c r="B204" s="244"/>
      <c r="C204" s="244"/>
      <c r="D204" s="244"/>
      <c r="E204" s="179"/>
      <c r="F204" s="244"/>
      <c r="G204" s="244"/>
      <c r="H204" s="244"/>
      <c r="I204" s="244"/>
      <c r="J204" s="244"/>
      <c r="K204" s="179"/>
      <c r="L204" s="244"/>
      <c r="M204" s="244"/>
      <c r="N204" s="244"/>
      <c r="O204" s="244"/>
      <c r="P204" s="244"/>
      <c r="Q204" s="244"/>
    </row>
    <row r="205" spans="1:17" ht="15.75" customHeight="1" x14ac:dyDescent="0.25">
      <c r="A205" s="244"/>
      <c r="B205" s="244"/>
      <c r="C205" s="244"/>
      <c r="D205" s="244"/>
      <c r="E205" s="179"/>
      <c r="F205" s="244"/>
      <c r="G205" s="244"/>
      <c r="H205" s="244"/>
      <c r="I205" s="244"/>
      <c r="J205" s="244"/>
      <c r="K205" s="179"/>
      <c r="L205" s="244"/>
      <c r="M205" s="244"/>
      <c r="N205" s="244"/>
      <c r="O205" s="244"/>
      <c r="P205" s="244"/>
      <c r="Q205" s="244"/>
    </row>
    <row r="206" spans="1:17" ht="15.75" customHeight="1" x14ac:dyDescent="0.25">
      <c r="A206" s="244"/>
      <c r="B206" s="244"/>
      <c r="C206" s="244"/>
      <c r="D206" s="244"/>
      <c r="E206" s="179"/>
      <c r="F206" s="244"/>
      <c r="G206" s="244"/>
      <c r="H206" s="244"/>
      <c r="I206" s="244"/>
      <c r="J206" s="244"/>
      <c r="K206" s="179"/>
      <c r="L206" s="244"/>
      <c r="M206" s="244"/>
      <c r="N206" s="244"/>
      <c r="O206" s="244"/>
      <c r="P206" s="244"/>
      <c r="Q206" s="244"/>
    </row>
    <row r="207" spans="1:17" ht="15.75" customHeight="1" x14ac:dyDescent="0.25">
      <c r="A207" s="244"/>
      <c r="B207" s="244"/>
      <c r="C207" s="244"/>
      <c r="D207" s="244"/>
      <c r="E207" s="179"/>
      <c r="F207" s="244"/>
      <c r="G207" s="244"/>
      <c r="H207" s="244"/>
      <c r="I207" s="244"/>
      <c r="J207" s="244"/>
      <c r="K207" s="179"/>
      <c r="L207" s="244"/>
      <c r="M207" s="244"/>
      <c r="N207" s="244"/>
      <c r="O207" s="244"/>
      <c r="P207" s="244"/>
      <c r="Q207" s="244"/>
    </row>
    <row r="208" spans="1:17" ht="15.75" customHeight="1" x14ac:dyDescent="0.25">
      <c r="A208" s="244"/>
      <c r="B208" s="244"/>
      <c r="C208" s="244"/>
      <c r="D208" s="244"/>
      <c r="E208" s="179"/>
      <c r="F208" s="244"/>
      <c r="G208" s="244"/>
      <c r="H208" s="244"/>
      <c r="I208" s="244"/>
      <c r="J208" s="244"/>
      <c r="K208" s="179"/>
      <c r="L208" s="244"/>
      <c r="M208" s="244"/>
      <c r="N208" s="244"/>
      <c r="O208" s="244"/>
      <c r="P208" s="244"/>
      <c r="Q208" s="244"/>
    </row>
    <row r="209" spans="1:17" ht="15.75" customHeight="1" x14ac:dyDescent="0.25">
      <c r="A209" s="244"/>
      <c r="B209" s="244"/>
      <c r="C209" s="244"/>
      <c r="D209" s="244"/>
      <c r="E209" s="179"/>
      <c r="F209" s="244"/>
      <c r="G209" s="244"/>
      <c r="H209" s="244"/>
      <c r="I209" s="244"/>
      <c r="J209" s="244"/>
      <c r="K209" s="179"/>
      <c r="L209" s="244"/>
      <c r="M209" s="244"/>
      <c r="N209" s="244"/>
      <c r="O209" s="244"/>
      <c r="P209" s="244"/>
      <c r="Q209" s="244"/>
    </row>
    <row r="210" spans="1:17" ht="15.75" customHeight="1" x14ac:dyDescent="0.25">
      <c r="A210" s="244"/>
      <c r="B210" s="244"/>
      <c r="C210" s="244"/>
      <c r="D210" s="244"/>
      <c r="E210" s="179"/>
      <c r="F210" s="244"/>
      <c r="G210" s="244"/>
      <c r="H210" s="244"/>
      <c r="I210" s="244"/>
      <c r="J210" s="244"/>
      <c r="K210" s="179"/>
      <c r="L210" s="244"/>
      <c r="M210" s="244"/>
      <c r="N210" s="244"/>
      <c r="O210" s="244"/>
      <c r="P210" s="244"/>
      <c r="Q210" s="244"/>
    </row>
    <row r="211" spans="1:17" ht="15.75" customHeight="1" x14ac:dyDescent="0.25">
      <c r="A211" s="244"/>
      <c r="B211" s="244"/>
      <c r="C211" s="244"/>
      <c r="D211" s="244"/>
      <c r="E211" s="179"/>
      <c r="F211" s="244"/>
      <c r="G211" s="244"/>
      <c r="H211" s="244"/>
      <c r="I211" s="244"/>
      <c r="J211" s="244"/>
      <c r="K211" s="179"/>
      <c r="L211" s="244"/>
      <c r="M211" s="244"/>
      <c r="N211" s="244"/>
      <c r="O211" s="244"/>
      <c r="P211" s="244"/>
      <c r="Q211" s="244"/>
    </row>
    <row r="212" spans="1:17" ht="15.75" customHeight="1" x14ac:dyDescent="0.25">
      <c r="A212" s="244"/>
      <c r="B212" s="244"/>
      <c r="C212" s="244"/>
      <c r="D212" s="244"/>
      <c r="E212" s="179"/>
      <c r="F212" s="244"/>
      <c r="G212" s="244"/>
      <c r="H212" s="244"/>
      <c r="I212" s="244"/>
      <c r="J212" s="244"/>
      <c r="K212" s="179"/>
      <c r="L212" s="244"/>
      <c r="M212" s="244"/>
      <c r="N212" s="244"/>
      <c r="O212" s="244"/>
      <c r="P212" s="244"/>
      <c r="Q212" s="244"/>
    </row>
    <row r="213" spans="1:17" ht="15.75" customHeight="1" x14ac:dyDescent="0.25">
      <c r="A213" s="244"/>
      <c r="B213" s="244"/>
      <c r="C213" s="244"/>
      <c r="D213" s="244"/>
      <c r="E213" s="179"/>
      <c r="F213" s="244"/>
      <c r="G213" s="244"/>
      <c r="H213" s="244"/>
      <c r="I213" s="244"/>
      <c r="J213" s="244"/>
      <c r="K213" s="179"/>
      <c r="L213" s="244"/>
      <c r="M213" s="244"/>
      <c r="N213" s="244"/>
      <c r="O213" s="244"/>
      <c r="P213" s="244"/>
      <c r="Q213" s="244"/>
    </row>
    <row r="214" spans="1:17" ht="15.75" customHeight="1" x14ac:dyDescent="0.25">
      <c r="A214" s="244"/>
      <c r="B214" s="244"/>
      <c r="C214" s="244"/>
      <c r="D214" s="244"/>
      <c r="E214" s="179"/>
      <c r="F214" s="244"/>
      <c r="G214" s="244"/>
      <c r="H214" s="244"/>
      <c r="I214" s="244"/>
      <c r="J214" s="244"/>
      <c r="K214" s="179"/>
      <c r="L214" s="244"/>
      <c r="M214" s="244"/>
      <c r="N214" s="244"/>
      <c r="O214" s="244"/>
      <c r="P214" s="244"/>
      <c r="Q214" s="244"/>
    </row>
    <row r="215" spans="1:17" ht="15.75" customHeight="1" x14ac:dyDescent="0.25">
      <c r="A215" s="244"/>
      <c r="B215" s="244"/>
      <c r="C215" s="244"/>
      <c r="D215" s="244"/>
      <c r="E215" s="179"/>
      <c r="F215" s="244"/>
      <c r="G215" s="244"/>
      <c r="H215" s="244"/>
      <c r="I215" s="244"/>
      <c r="J215" s="244"/>
      <c r="K215" s="179"/>
      <c r="L215" s="244"/>
      <c r="M215" s="244"/>
      <c r="N215" s="244"/>
      <c r="O215" s="244"/>
      <c r="P215" s="244"/>
      <c r="Q215" s="244"/>
    </row>
    <row r="216" spans="1:17" ht="15.75" customHeight="1" x14ac:dyDescent="0.25">
      <c r="A216" s="244"/>
      <c r="B216" s="244"/>
      <c r="C216" s="244"/>
      <c r="D216" s="244"/>
      <c r="E216" s="179"/>
      <c r="F216" s="244"/>
      <c r="G216" s="244"/>
      <c r="H216" s="244"/>
      <c r="I216" s="244"/>
      <c r="J216" s="244"/>
      <c r="K216" s="179"/>
      <c r="L216" s="244"/>
      <c r="M216" s="244"/>
      <c r="N216" s="244"/>
      <c r="O216" s="244"/>
      <c r="P216" s="244"/>
      <c r="Q216" s="244"/>
    </row>
    <row r="217" spans="1:17" ht="15.75" customHeight="1" x14ac:dyDescent="0.25">
      <c r="A217" s="244"/>
      <c r="B217" s="244"/>
      <c r="C217" s="244"/>
      <c r="D217" s="244"/>
      <c r="E217" s="179"/>
      <c r="F217" s="244"/>
      <c r="G217" s="244"/>
      <c r="H217" s="244"/>
      <c r="I217" s="244"/>
      <c r="J217" s="244"/>
      <c r="K217" s="179"/>
      <c r="L217" s="244"/>
      <c r="M217" s="244"/>
      <c r="N217" s="244"/>
      <c r="O217" s="244"/>
      <c r="P217" s="244"/>
      <c r="Q217" s="244"/>
    </row>
    <row r="218" spans="1:17" ht="15.75" customHeight="1" x14ac:dyDescent="0.25">
      <c r="A218" s="244"/>
      <c r="B218" s="244"/>
      <c r="C218" s="244"/>
      <c r="D218" s="244"/>
      <c r="E218" s="179"/>
      <c r="F218" s="244"/>
      <c r="G218" s="244"/>
      <c r="H218" s="244"/>
      <c r="I218" s="244"/>
      <c r="J218" s="244"/>
      <c r="K218" s="179"/>
      <c r="L218" s="244"/>
      <c r="M218" s="244"/>
      <c r="N218" s="244"/>
      <c r="O218" s="244"/>
      <c r="P218" s="244"/>
      <c r="Q218" s="244"/>
    </row>
    <row r="219" spans="1:17" ht="15.75" customHeight="1" x14ac:dyDescent="0.25">
      <c r="A219" s="244"/>
      <c r="B219" s="244"/>
      <c r="C219" s="244"/>
      <c r="D219" s="244"/>
      <c r="E219" s="179"/>
      <c r="F219" s="244"/>
      <c r="G219" s="244"/>
      <c r="H219" s="244"/>
      <c r="I219" s="244"/>
      <c r="J219" s="244"/>
      <c r="K219" s="179"/>
      <c r="L219" s="244"/>
      <c r="M219" s="244"/>
      <c r="N219" s="244"/>
      <c r="O219" s="244"/>
      <c r="P219" s="244"/>
      <c r="Q219" s="244"/>
    </row>
    <row r="220" spans="1:17" ht="15.75" customHeight="1" x14ac:dyDescent="0.25">
      <c r="A220" s="244"/>
      <c r="B220" s="244"/>
      <c r="C220" s="244"/>
      <c r="D220" s="244"/>
      <c r="E220" s="179"/>
      <c r="F220" s="244"/>
      <c r="G220" s="244"/>
      <c r="H220" s="244"/>
      <c r="I220" s="244"/>
      <c r="J220" s="244"/>
      <c r="K220" s="179"/>
      <c r="L220" s="244"/>
      <c r="M220" s="244"/>
      <c r="N220" s="244"/>
      <c r="O220" s="244"/>
      <c r="P220" s="244"/>
      <c r="Q220" s="244"/>
    </row>
    <row r="221" spans="1:17" ht="15.75" customHeight="1" x14ac:dyDescent="0.25">
      <c r="A221" s="244"/>
      <c r="B221" s="244"/>
      <c r="C221" s="244"/>
      <c r="D221" s="244"/>
      <c r="E221" s="179"/>
      <c r="F221" s="244"/>
      <c r="G221" s="244"/>
      <c r="H221" s="244"/>
      <c r="I221" s="244"/>
      <c r="J221" s="244"/>
      <c r="K221" s="179"/>
      <c r="L221" s="244"/>
      <c r="M221" s="244"/>
      <c r="N221" s="244"/>
      <c r="O221" s="244"/>
      <c r="P221" s="244"/>
      <c r="Q221" s="244"/>
    </row>
    <row r="222" spans="1:17" ht="15.75" customHeight="1" x14ac:dyDescent="0.25">
      <c r="A222" s="244"/>
      <c r="B222" s="244"/>
      <c r="C222" s="244"/>
      <c r="D222" s="244"/>
      <c r="E222" s="179"/>
      <c r="F222" s="244"/>
      <c r="G222" s="244"/>
      <c r="H222" s="244"/>
      <c r="I222" s="244"/>
      <c r="J222" s="244"/>
      <c r="K222" s="179"/>
      <c r="L222" s="244"/>
      <c r="M222" s="244"/>
      <c r="N222" s="244"/>
      <c r="O222" s="244"/>
      <c r="P222" s="244"/>
      <c r="Q222" s="244"/>
    </row>
    <row r="223" spans="1:17" ht="15.75" customHeight="1" x14ac:dyDescent="0.25">
      <c r="A223" s="244"/>
      <c r="B223" s="244"/>
      <c r="C223" s="244"/>
      <c r="D223" s="244"/>
      <c r="E223" s="179"/>
      <c r="F223" s="244"/>
      <c r="G223" s="244"/>
      <c r="H223" s="244"/>
      <c r="I223" s="244"/>
      <c r="J223" s="244"/>
      <c r="K223" s="179"/>
      <c r="L223" s="244"/>
      <c r="M223" s="244"/>
      <c r="N223" s="244"/>
      <c r="O223" s="244"/>
      <c r="P223" s="244"/>
      <c r="Q223" s="244"/>
    </row>
    <row r="224" spans="1:17" ht="15.75" customHeight="1" x14ac:dyDescent="0.25">
      <c r="A224" s="244"/>
      <c r="B224" s="244"/>
      <c r="C224" s="244"/>
      <c r="D224" s="244"/>
      <c r="E224" s="179"/>
      <c r="F224" s="244"/>
      <c r="G224" s="244"/>
      <c r="H224" s="244"/>
      <c r="I224" s="244"/>
      <c r="J224" s="244"/>
      <c r="K224" s="179"/>
      <c r="L224" s="244"/>
      <c r="M224" s="244"/>
      <c r="N224" s="244"/>
      <c r="O224" s="244"/>
      <c r="P224" s="244"/>
      <c r="Q224" s="244"/>
    </row>
    <row r="225" spans="1:17" ht="15.75" customHeight="1" x14ac:dyDescent="0.25">
      <c r="A225" s="244"/>
      <c r="B225" s="244"/>
      <c r="C225" s="244"/>
      <c r="D225" s="244"/>
      <c r="E225" s="179"/>
      <c r="F225" s="244"/>
      <c r="G225" s="244"/>
      <c r="H225" s="244"/>
      <c r="I225" s="244"/>
      <c r="J225" s="244"/>
      <c r="K225" s="179"/>
      <c r="L225" s="244"/>
      <c r="M225" s="244"/>
      <c r="N225" s="244"/>
      <c r="O225" s="244"/>
      <c r="P225" s="244"/>
      <c r="Q225" s="244"/>
    </row>
    <row r="226" spans="1:17" ht="15.75" customHeight="1" x14ac:dyDescent="0.25">
      <c r="A226" s="244"/>
      <c r="B226" s="244"/>
      <c r="C226" s="244"/>
      <c r="D226" s="244"/>
      <c r="E226" s="179"/>
      <c r="F226" s="244"/>
      <c r="G226" s="244"/>
      <c r="H226" s="244"/>
      <c r="I226" s="244"/>
      <c r="J226" s="244"/>
      <c r="K226" s="179"/>
      <c r="L226" s="244"/>
      <c r="M226" s="244"/>
      <c r="N226" s="244"/>
      <c r="O226" s="244"/>
      <c r="P226" s="244"/>
      <c r="Q226" s="244"/>
    </row>
    <row r="227" spans="1:17" ht="15.75" customHeight="1" x14ac:dyDescent="0.25">
      <c r="A227" s="244"/>
      <c r="B227" s="244"/>
      <c r="C227" s="244"/>
      <c r="D227" s="244"/>
      <c r="E227" s="179"/>
      <c r="F227" s="244"/>
      <c r="G227" s="244"/>
      <c r="H227" s="244"/>
      <c r="I227" s="244"/>
      <c r="J227" s="244"/>
      <c r="K227" s="179"/>
      <c r="L227" s="244"/>
      <c r="M227" s="244"/>
      <c r="N227" s="244"/>
      <c r="O227" s="244"/>
      <c r="P227" s="244"/>
      <c r="Q227" s="244"/>
    </row>
    <row r="228" spans="1:17" ht="15.75" customHeight="1" x14ac:dyDescent="0.25">
      <c r="A228" s="244"/>
      <c r="B228" s="244"/>
      <c r="C228" s="244"/>
      <c r="D228" s="244"/>
      <c r="E228" s="179"/>
      <c r="F228" s="244"/>
      <c r="G228" s="244"/>
      <c r="H228" s="244"/>
      <c r="I228" s="244"/>
      <c r="J228" s="244"/>
      <c r="K228" s="179"/>
      <c r="L228" s="244"/>
      <c r="M228" s="244"/>
      <c r="N228" s="244"/>
      <c r="O228" s="244"/>
      <c r="P228" s="244"/>
      <c r="Q228" s="244"/>
    </row>
    <row r="229" spans="1:17" ht="15.75" customHeight="1" x14ac:dyDescent="0.25">
      <c r="A229" s="244"/>
      <c r="B229" s="244"/>
      <c r="C229" s="244"/>
      <c r="D229" s="244"/>
      <c r="E229" s="179"/>
      <c r="F229" s="244"/>
      <c r="G229" s="244"/>
      <c r="H229" s="244"/>
      <c r="I229" s="244"/>
      <c r="J229" s="244"/>
      <c r="K229" s="179"/>
      <c r="L229" s="244"/>
      <c r="M229" s="244"/>
      <c r="N229" s="244"/>
      <c r="O229" s="244"/>
      <c r="P229" s="244"/>
      <c r="Q229" s="244"/>
    </row>
    <row r="230" spans="1:17" ht="15.75" customHeight="1" x14ac:dyDescent="0.25">
      <c r="A230" s="244"/>
      <c r="B230" s="244"/>
      <c r="C230" s="244"/>
      <c r="D230" s="244"/>
      <c r="E230" s="179"/>
      <c r="F230" s="244"/>
      <c r="G230" s="244"/>
      <c r="H230" s="244"/>
      <c r="I230" s="244"/>
      <c r="J230" s="244"/>
      <c r="K230" s="179"/>
      <c r="L230" s="244"/>
      <c r="M230" s="244"/>
      <c r="N230" s="244"/>
      <c r="O230" s="244"/>
      <c r="P230" s="244"/>
      <c r="Q230" s="244"/>
    </row>
    <row r="231" spans="1:17" ht="15.75" customHeight="1" x14ac:dyDescent="0.25">
      <c r="A231" s="244"/>
      <c r="B231" s="244"/>
      <c r="C231" s="244"/>
      <c r="D231" s="244"/>
      <c r="E231" s="179"/>
      <c r="F231" s="244"/>
      <c r="G231" s="244"/>
      <c r="H231" s="244"/>
      <c r="I231" s="244"/>
      <c r="J231" s="244"/>
      <c r="K231" s="179"/>
      <c r="L231" s="244"/>
      <c r="M231" s="244"/>
      <c r="N231" s="244"/>
      <c r="O231" s="244"/>
      <c r="P231" s="244"/>
      <c r="Q231" s="244"/>
    </row>
    <row r="232" spans="1:17" ht="15.75" customHeight="1" x14ac:dyDescent="0.25">
      <c r="A232" s="244"/>
      <c r="B232" s="244"/>
      <c r="C232" s="244"/>
      <c r="D232" s="244"/>
      <c r="E232" s="179"/>
      <c r="F232" s="244"/>
      <c r="G232" s="244"/>
      <c r="H232" s="244"/>
      <c r="I232" s="244"/>
      <c r="J232" s="244"/>
      <c r="K232" s="179"/>
      <c r="L232" s="244"/>
      <c r="M232" s="244"/>
      <c r="N232" s="244"/>
      <c r="O232" s="244"/>
      <c r="P232" s="244"/>
      <c r="Q232" s="244"/>
    </row>
    <row r="233" spans="1:17" ht="15.75" customHeight="1" x14ac:dyDescent="0.25">
      <c r="A233" s="244"/>
      <c r="B233" s="244"/>
      <c r="C233" s="244"/>
      <c r="D233" s="244"/>
      <c r="E233" s="179"/>
      <c r="F233" s="244"/>
      <c r="G233" s="244"/>
      <c r="H233" s="244"/>
      <c r="I233" s="244"/>
      <c r="J233" s="244"/>
      <c r="K233" s="179"/>
      <c r="L233" s="244"/>
      <c r="M233" s="244"/>
      <c r="N233" s="244"/>
      <c r="O233" s="244"/>
      <c r="P233" s="244"/>
      <c r="Q233" s="244"/>
    </row>
    <row r="234" spans="1:17" ht="15.75" customHeight="1" x14ac:dyDescent="0.25">
      <c r="A234" s="244"/>
      <c r="B234" s="244"/>
      <c r="C234" s="244"/>
      <c r="D234" s="244"/>
      <c r="E234" s="179"/>
      <c r="F234" s="244"/>
      <c r="G234" s="244"/>
      <c r="H234" s="244"/>
      <c r="I234" s="244"/>
      <c r="J234" s="244"/>
      <c r="K234" s="179"/>
      <c r="L234" s="244"/>
      <c r="M234" s="244"/>
      <c r="N234" s="244"/>
      <c r="O234" s="244"/>
      <c r="P234" s="244"/>
      <c r="Q234" s="244"/>
    </row>
    <row r="235" spans="1:17" ht="15.75" customHeight="1" x14ac:dyDescent="0.25">
      <c r="A235" s="244"/>
      <c r="B235" s="244"/>
      <c r="C235" s="244"/>
      <c r="D235" s="244"/>
      <c r="E235" s="179"/>
      <c r="F235" s="244"/>
      <c r="G235" s="244"/>
      <c r="H235" s="244"/>
      <c r="I235" s="244"/>
      <c r="J235" s="244"/>
      <c r="K235" s="179"/>
      <c r="L235" s="244"/>
      <c r="M235" s="244"/>
      <c r="N235" s="244"/>
      <c r="O235" s="244"/>
      <c r="P235" s="244"/>
      <c r="Q235" s="244"/>
    </row>
    <row r="236" spans="1:17" ht="15.75" customHeight="1" x14ac:dyDescent="0.25">
      <c r="A236" s="244"/>
      <c r="B236" s="244"/>
      <c r="C236" s="244"/>
      <c r="D236" s="244"/>
      <c r="E236" s="179"/>
      <c r="F236" s="244"/>
      <c r="G236" s="244"/>
      <c r="H236" s="244"/>
      <c r="I236" s="244"/>
      <c r="J236" s="244"/>
      <c r="K236" s="179"/>
      <c r="L236" s="244"/>
      <c r="M236" s="244"/>
      <c r="N236" s="244"/>
      <c r="O236" s="244"/>
      <c r="P236" s="244"/>
      <c r="Q236" s="244"/>
    </row>
    <row r="237" spans="1:17" ht="15.75" customHeight="1" x14ac:dyDescent="0.25">
      <c r="A237" s="244"/>
      <c r="B237" s="244"/>
      <c r="C237" s="244"/>
      <c r="D237" s="244"/>
      <c r="E237" s="179"/>
      <c r="F237" s="244"/>
      <c r="G237" s="244"/>
      <c r="H237" s="244"/>
      <c r="I237" s="244"/>
      <c r="J237" s="244"/>
      <c r="K237" s="179"/>
      <c r="L237" s="244"/>
      <c r="M237" s="244"/>
      <c r="N237" s="244"/>
      <c r="O237" s="244"/>
      <c r="P237" s="244"/>
      <c r="Q237" s="244"/>
    </row>
    <row r="238" spans="1:17" ht="15.75" customHeight="1" x14ac:dyDescent="0.25">
      <c r="A238" s="244"/>
      <c r="B238" s="244"/>
      <c r="C238" s="244"/>
      <c r="D238" s="244"/>
      <c r="E238" s="179"/>
      <c r="F238" s="244"/>
      <c r="G238" s="244"/>
      <c r="H238" s="244"/>
      <c r="I238" s="244"/>
      <c r="J238" s="244"/>
      <c r="K238" s="179"/>
      <c r="L238" s="244"/>
      <c r="M238" s="244"/>
      <c r="N238" s="244"/>
      <c r="O238" s="244"/>
      <c r="P238" s="244"/>
      <c r="Q238" s="244"/>
    </row>
    <row r="239" spans="1:17" ht="15.75" customHeight="1" x14ac:dyDescent="0.25">
      <c r="A239" s="244"/>
      <c r="B239" s="244"/>
      <c r="C239" s="244"/>
      <c r="D239" s="244"/>
      <c r="E239" s="179"/>
      <c r="F239" s="244"/>
      <c r="G239" s="244"/>
      <c r="H239" s="244"/>
      <c r="I239" s="244"/>
      <c r="J239" s="244"/>
      <c r="K239" s="179"/>
      <c r="L239" s="244"/>
      <c r="M239" s="244"/>
      <c r="N239" s="244"/>
      <c r="O239" s="244"/>
      <c r="P239" s="244"/>
      <c r="Q239" s="244"/>
    </row>
    <row r="240" spans="1:17" ht="15.75" customHeight="1" x14ac:dyDescent="0.25">
      <c r="A240" s="244"/>
      <c r="B240" s="244"/>
      <c r="C240" s="244"/>
      <c r="D240" s="244"/>
      <c r="E240" s="179"/>
      <c r="F240" s="244"/>
      <c r="G240" s="244"/>
      <c r="H240" s="244"/>
      <c r="I240" s="244"/>
      <c r="J240" s="244"/>
      <c r="K240" s="179"/>
      <c r="L240" s="244"/>
      <c r="M240" s="244"/>
      <c r="N240" s="244"/>
      <c r="O240" s="244"/>
      <c r="P240" s="244"/>
      <c r="Q240" s="244"/>
    </row>
    <row r="241" spans="1:17" ht="15.75" customHeight="1" x14ac:dyDescent="0.25">
      <c r="A241" s="244"/>
      <c r="B241" s="244"/>
      <c r="C241" s="244"/>
      <c r="D241" s="244"/>
      <c r="E241" s="179"/>
      <c r="F241" s="244"/>
      <c r="G241" s="244"/>
      <c r="H241" s="244"/>
      <c r="I241" s="244"/>
      <c r="J241" s="244"/>
      <c r="K241" s="179"/>
      <c r="L241" s="244"/>
      <c r="M241" s="244"/>
      <c r="N241" s="244"/>
      <c r="O241" s="244"/>
      <c r="P241" s="244"/>
      <c r="Q241" s="244"/>
    </row>
    <row r="242" spans="1:17" ht="15.75" customHeight="1" x14ac:dyDescent="0.25">
      <c r="A242" s="244"/>
      <c r="B242" s="244"/>
      <c r="C242" s="244"/>
      <c r="D242" s="244"/>
      <c r="E242" s="179"/>
      <c r="F242" s="244"/>
      <c r="G242" s="244"/>
      <c r="H242" s="244"/>
      <c r="I242" s="244"/>
      <c r="J242" s="244"/>
      <c r="K242" s="179"/>
      <c r="L242" s="244"/>
      <c r="M242" s="244"/>
      <c r="N242" s="244"/>
      <c r="O242" s="244"/>
      <c r="P242" s="244"/>
      <c r="Q242" s="244"/>
    </row>
    <row r="243" spans="1:17" ht="15.75" customHeight="1" x14ac:dyDescent="0.25">
      <c r="A243" s="244"/>
      <c r="B243" s="244"/>
      <c r="C243" s="244"/>
      <c r="D243" s="244"/>
      <c r="E243" s="179"/>
      <c r="F243" s="244"/>
      <c r="G243" s="244"/>
      <c r="H243" s="244"/>
      <c r="I243" s="244"/>
      <c r="J243" s="244"/>
      <c r="K243" s="179"/>
      <c r="L243" s="244"/>
      <c r="M243" s="244"/>
      <c r="N243" s="244"/>
      <c r="O243" s="244"/>
      <c r="P243" s="244"/>
      <c r="Q243" s="244"/>
    </row>
    <row r="244" spans="1:17" ht="15.75" customHeight="1" x14ac:dyDescent="0.25">
      <c r="A244" s="244"/>
      <c r="B244" s="244"/>
      <c r="C244" s="244"/>
      <c r="D244" s="244"/>
      <c r="E244" s="179"/>
      <c r="F244" s="244"/>
      <c r="G244" s="244"/>
      <c r="H244" s="244"/>
      <c r="I244" s="244"/>
      <c r="J244" s="244"/>
      <c r="K244" s="179"/>
      <c r="L244" s="244"/>
      <c r="M244" s="244"/>
      <c r="N244" s="244"/>
      <c r="O244" s="244"/>
      <c r="P244" s="244"/>
      <c r="Q244" s="244"/>
    </row>
    <row r="245" spans="1:17" ht="15.75" customHeight="1" x14ac:dyDescent="0.25">
      <c r="A245" s="244"/>
      <c r="B245" s="244"/>
      <c r="C245" s="244"/>
      <c r="D245" s="244"/>
      <c r="E245" s="179"/>
      <c r="F245" s="244"/>
      <c r="G245" s="244"/>
      <c r="H245" s="244"/>
      <c r="I245" s="244"/>
      <c r="J245" s="244"/>
      <c r="K245" s="179"/>
      <c r="L245" s="244"/>
      <c r="M245" s="244"/>
      <c r="N245" s="244"/>
      <c r="O245" s="244"/>
      <c r="P245" s="244"/>
      <c r="Q245" s="244"/>
    </row>
    <row r="246" spans="1:17" ht="15.75" customHeight="1" x14ac:dyDescent="0.25">
      <c r="A246" s="244"/>
      <c r="B246" s="244"/>
      <c r="C246" s="244"/>
      <c r="D246" s="244"/>
      <c r="E246" s="179"/>
      <c r="F246" s="244"/>
      <c r="G246" s="244"/>
      <c r="H246" s="244"/>
      <c r="I246" s="244"/>
      <c r="J246" s="244"/>
      <c r="K246" s="179"/>
      <c r="L246" s="244"/>
      <c r="M246" s="244"/>
      <c r="N246" s="244"/>
      <c r="O246" s="244"/>
      <c r="P246" s="244"/>
      <c r="Q246" s="244"/>
    </row>
    <row r="247" spans="1:17" ht="15.75" customHeight="1" x14ac:dyDescent="0.25">
      <c r="A247" s="244"/>
      <c r="B247" s="244"/>
      <c r="C247" s="244"/>
      <c r="D247" s="244"/>
      <c r="E247" s="179"/>
      <c r="F247" s="244"/>
      <c r="G247" s="244"/>
      <c r="H247" s="244"/>
      <c r="I247" s="244"/>
      <c r="J247" s="244"/>
      <c r="K247" s="179"/>
      <c r="L247" s="244"/>
      <c r="M247" s="244"/>
      <c r="N247" s="244"/>
      <c r="O247" s="244"/>
      <c r="P247" s="244"/>
      <c r="Q247" s="244"/>
    </row>
    <row r="248" spans="1:17" ht="15.75" customHeight="1" x14ac:dyDescent="0.25">
      <c r="A248" s="244"/>
      <c r="B248" s="244"/>
      <c r="C248" s="244"/>
      <c r="D248" s="244"/>
      <c r="E248" s="179"/>
      <c r="F248" s="244"/>
      <c r="G248" s="244"/>
      <c r="H248" s="244"/>
      <c r="I248" s="244"/>
      <c r="J248" s="244"/>
      <c r="K248" s="179"/>
      <c r="L248" s="244"/>
      <c r="M248" s="244"/>
      <c r="N248" s="244"/>
      <c r="O248" s="244"/>
      <c r="P248" s="244"/>
      <c r="Q248" s="244"/>
    </row>
    <row r="249" spans="1:17" ht="15.75" customHeight="1" x14ac:dyDescent="0.25">
      <c r="A249" s="244"/>
      <c r="B249" s="244"/>
      <c r="C249" s="244"/>
      <c r="D249" s="244"/>
      <c r="E249" s="179"/>
      <c r="F249" s="244"/>
      <c r="G249" s="244"/>
      <c r="H249" s="244"/>
      <c r="I249" s="244"/>
      <c r="J249" s="244"/>
      <c r="K249" s="179"/>
      <c r="L249" s="244"/>
      <c r="M249" s="244"/>
      <c r="N249" s="244"/>
      <c r="O249" s="244"/>
      <c r="P249" s="244"/>
      <c r="Q249" s="244"/>
    </row>
    <row r="250" spans="1:17" ht="15.75" customHeight="1" x14ac:dyDescent="0.25">
      <c r="A250" s="244"/>
      <c r="B250" s="244"/>
      <c r="C250" s="244"/>
      <c r="D250" s="244"/>
      <c r="E250" s="179"/>
      <c r="F250" s="244"/>
      <c r="G250" s="244"/>
      <c r="H250" s="244"/>
      <c r="I250" s="244"/>
      <c r="J250" s="244"/>
      <c r="K250" s="179"/>
      <c r="L250" s="244"/>
      <c r="M250" s="244"/>
      <c r="N250" s="244"/>
      <c r="O250" s="244"/>
      <c r="P250" s="244"/>
      <c r="Q250" s="244"/>
    </row>
    <row r="251" spans="1:17" ht="15.75" customHeight="1" x14ac:dyDescent="0.25">
      <c r="A251" s="244"/>
      <c r="B251" s="244"/>
      <c r="C251" s="244"/>
      <c r="D251" s="244"/>
      <c r="E251" s="179"/>
      <c r="F251" s="244"/>
      <c r="G251" s="244"/>
      <c r="H251" s="244"/>
      <c r="I251" s="244"/>
      <c r="J251" s="244"/>
      <c r="K251" s="179"/>
      <c r="L251" s="244"/>
      <c r="M251" s="244"/>
      <c r="N251" s="244"/>
      <c r="O251" s="244"/>
      <c r="P251" s="244"/>
      <c r="Q251" s="244"/>
    </row>
    <row r="252" spans="1:17" ht="15.75" customHeight="1" x14ac:dyDescent="0.25">
      <c r="A252" s="244"/>
      <c r="B252" s="244"/>
      <c r="C252" s="244"/>
      <c r="D252" s="244"/>
      <c r="E252" s="179"/>
      <c r="F252" s="244"/>
      <c r="G252" s="244"/>
      <c r="H252" s="244"/>
      <c r="I252" s="244"/>
      <c r="J252" s="244"/>
      <c r="K252" s="179"/>
      <c r="L252" s="244"/>
      <c r="M252" s="244"/>
      <c r="N252" s="244"/>
      <c r="O252" s="244"/>
      <c r="P252" s="244"/>
      <c r="Q252" s="244"/>
    </row>
    <row r="253" spans="1:17" ht="15.75" customHeight="1" x14ac:dyDescent="0.25">
      <c r="A253" s="244"/>
      <c r="B253" s="244"/>
      <c r="C253" s="244"/>
      <c r="D253" s="244"/>
      <c r="E253" s="179"/>
      <c r="F253" s="244"/>
      <c r="G253" s="244"/>
      <c r="H253" s="244"/>
      <c r="I253" s="244"/>
      <c r="J253" s="244"/>
      <c r="K253" s="179"/>
      <c r="L253" s="244"/>
      <c r="M253" s="244"/>
      <c r="N253" s="244"/>
      <c r="O253" s="244"/>
      <c r="P253" s="244"/>
      <c r="Q253" s="244"/>
    </row>
    <row r="254" spans="1:17" ht="15.75" customHeight="1" x14ac:dyDescent="0.25">
      <c r="A254" s="244"/>
      <c r="B254" s="244"/>
      <c r="C254" s="244"/>
      <c r="D254" s="244"/>
      <c r="E254" s="179"/>
      <c r="F254" s="244"/>
      <c r="G254" s="244"/>
      <c r="H254" s="244"/>
      <c r="I254" s="244"/>
      <c r="J254" s="244"/>
      <c r="K254" s="179"/>
      <c r="L254" s="244"/>
      <c r="M254" s="244"/>
      <c r="N254" s="244"/>
      <c r="O254" s="244"/>
      <c r="P254" s="244"/>
      <c r="Q254" s="244"/>
    </row>
    <row r="255" spans="1:17" ht="15.75" customHeight="1" x14ac:dyDescent="0.25">
      <c r="A255" s="244"/>
      <c r="B255" s="244"/>
      <c r="C255" s="244"/>
      <c r="D255" s="244"/>
      <c r="E255" s="179"/>
      <c r="F255" s="244"/>
      <c r="G255" s="244"/>
      <c r="H255" s="244"/>
      <c r="I255" s="244"/>
      <c r="J255" s="244"/>
      <c r="K255" s="179"/>
      <c r="L255" s="244"/>
      <c r="M255" s="244"/>
      <c r="N255" s="244"/>
      <c r="O255" s="244"/>
      <c r="P255" s="244"/>
      <c r="Q255" s="244"/>
    </row>
    <row r="256" spans="1:17" ht="15.75" customHeight="1" x14ac:dyDescent="0.25">
      <c r="A256" s="244"/>
      <c r="B256" s="244"/>
      <c r="C256" s="244"/>
      <c r="D256" s="244"/>
      <c r="E256" s="179"/>
      <c r="F256" s="244"/>
      <c r="G256" s="244"/>
      <c r="H256" s="244"/>
      <c r="I256" s="244"/>
      <c r="J256" s="244"/>
      <c r="K256" s="179"/>
      <c r="L256" s="244"/>
      <c r="M256" s="244"/>
      <c r="N256" s="244"/>
      <c r="O256" s="244"/>
      <c r="P256" s="244"/>
      <c r="Q256" s="244"/>
    </row>
    <row r="257" spans="1:17" ht="15.75" customHeight="1" x14ac:dyDescent="0.25">
      <c r="A257" s="244"/>
      <c r="B257" s="244"/>
      <c r="C257" s="244"/>
      <c r="D257" s="244"/>
      <c r="E257" s="179"/>
      <c r="F257" s="244"/>
      <c r="G257" s="244"/>
      <c r="H257" s="244"/>
      <c r="I257" s="244"/>
      <c r="J257" s="244"/>
      <c r="K257" s="179"/>
      <c r="L257" s="244"/>
      <c r="M257" s="244"/>
      <c r="N257" s="244"/>
      <c r="O257" s="244"/>
      <c r="P257" s="244"/>
      <c r="Q257" s="244"/>
    </row>
    <row r="258" spans="1:17" ht="15.75" customHeight="1" x14ac:dyDescent="0.25">
      <c r="A258" s="244"/>
      <c r="B258" s="244"/>
      <c r="C258" s="244"/>
      <c r="D258" s="244"/>
      <c r="E258" s="179"/>
      <c r="F258" s="244"/>
      <c r="G258" s="244"/>
      <c r="H258" s="244"/>
      <c r="I258" s="244"/>
      <c r="J258" s="244"/>
      <c r="K258" s="179"/>
      <c r="L258" s="244"/>
      <c r="M258" s="244"/>
      <c r="N258" s="244"/>
      <c r="O258" s="244"/>
      <c r="P258" s="244"/>
      <c r="Q258" s="244"/>
    </row>
    <row r="259" spans="1:17" ht="15.75" customHeight="1" x14ac:dyDescent="0.25">
      <c r="A259" s="244"/>
      <c r="B259" s="244"/>
      <c r="C259" s="244"/>
      <c r="D259" s="244"/>
      <c r="E259" s="179"/>
      <c r="F259" s="244"/>
      <c r="G259" s="244"/>
      <c r="H259" s="244"/>
      <c r="I259" s="244"/>
      <c r="J259" s="244"/>
      <c r="K259" s="179"/>
      <c r="L259" s="244"/>
      <c r="M259" s="244"/>
      <c r="N259" s="244"/>
      <c r="O259" s="244"/>
      <c r="P259" s="244"/>
      <c r="Q259" s="244"/>
    </row>
    <row r="260" spans="1:17" ht="15.75" customHeight="1" x14ac:dyDescent="0.25">
      <c r="A260" s="244"/>
      <c r="B260" s="244"/>
      <c r="C260" s="244"/>
      <c r="D260" s="244"/>
      <c r="E260" s="179"/>
      <c r="F260" s="244"/>
      <c r="G260" s="244"/>
      <c r="H260" s="244"/>
      <c r="I260" s="244"/>
      <c r="J260" s="244"/>
      <c r="K260" s="179"/>
      <c r="L260" s="244"/>
      <c r="M260" s="244"/>
      <c r="N260" s="244"/>
      <c r="O260" s="244"/>
      <c r="P260" s="244"/>
      <c r="Q260" s="244"/>
    </row>
    <row r="261" spans="1:17" ht="15.75" customHeight="1" x14ac:dyDescent="0.25">
      <c r="A261" s="244"/>
      <c r="B261" s="244"/>
      <c r="C261" s="244"/>
      <c r="D261" s="244"/>
      <c r="E261" s="179"/>
      <c r="F261" s="244"/>
      <c r="G261" s="244"/>
      <c r="H261" s="244"/>
      <c r="I261" s="244"/>
      <c r="J261" s="244"/>
      <c r="K261" s="179"/>
      <c r="L261" s="244"/>
      <c r="M261" s="244"/>
      <c r="N261" s="244"/>
      <c r="O261" s="244"/>
      <c r="P261" s="244"/>
      <c r="Q261" s="244"/>
    </row>
    <row r="262" spans="1:17" ht="15.75" customHeight="1" x14ac:dyDescent="0.25">
      <c r="A262" s="244"/>
      <c r="B262" s="244"/>
      <c r="C262" s="244"/>
      <c r="D262" s="244"/>
      <c r="E262" s="179"/>
      <c r="F262" s="244"/>
      <c r="G262" s="244"/>
      <c r="H262" s="244"/>
      <c r="I262" s="244"/>
      <c r="J262" s="244"/>
      <c r="K262" s="179"/>
      <c r="L262" s="244"/>
      <c r="M262" s="244"/>
      <c r="N262" s="244"/>
      <c r="O262" s="244"/>
      <c r="P262" s="244"/>
      <c r="Q262" s="244"/>
    </row>
    <row r="263" spans="1:17" ht="15.75" customHeight="1" x14ac:dyDescent="0.25">
      <c r="A263" s="244"/>
      <c r="B263" s="244"/>
      <c r="C263" s="244"/>
      <c r="D263" s="244"/>
      <c r="E263" s="179"/>
      <c r="F263" s="244"/>
      <c r="G263" s="244"/>
      <c r="H263" s="244"/>
      <c r="I263" s="244"/>
      <c r="J263" s="244"/>
      <c r="K263" s="179"/>
      <c r="L263" s="244"/>
      <c r="M263" s="244"/>
      <c r="N263" s="244"/>
      <c r="O263" s="244"/>
      <c r="P263" s="244"/>
      <c r="Q263" s="244"/>
    </row>
    <row r="264" spans="1:17" ht="15.75" customHeight="1" x14ac:dyDescent="0.25">
      <c r="A264" s="244"/>
      <c r="B264" s="244"/>
      <c r="C264" s="244"/>
      <c r="D264" s="244"/>
      <c r="E264" s="179"/>
      <c r="F264" s="244"/>
      <c r="G264" s="244"/>
      <c r="H264" s="244"/>
      <c r="I264" s="244"/>
      <c r="J264" s="244"/>
      <c r="K264" s="179"/>
      <c r="L264" s="244"/>
      <c r="M264" s="244"/>
      <c r="N264" s="244"/>
      <c r="O264" s="244"/>
      <c r="P264" s="244"/>
      <c r="Q264" s="244"/>
    </row>
    <row r="265" spans="1:17" ht="15.75" customHeight="1" x14ac:dyDescent="0.25">
      <c r="A265" s="244"/>
      <c r="B265" s="244"/>
      <c r="C265" s="244"/>
      <c r="D265" s="244"/>
      <c r="E265" s="179"/>
      <c r="F265" s="244"/>
      <c r="G265" s="244"/>
      <c r="H265" s="244"/>
      <c r="I265" s="244"/>
      <c r="J265" s="244"/>
      <c r="K265" s="179"/>
      <c r="L265" s="244"/>
      <c r="M265" s="244"/>
      <c r="N265" s="244"/>
      <c r="O265" s="244"/>
      <c r="P265" s="244"/>
      <c r="Q265" s="244"/>
    </row>
    <row r="266" spans="1:17" ht="15.75" customHeight="1" x14ac:dyDescent="0.25">
      <c r="A266" s="244"/>
      <c r="B266" s="244"/>
      <c r="C266" s="244"/>
      <c r="D266" s="244"/>
      <c r="E266" s="179"/>
      <c r="F266" s="244"/>
      <c r="G266" s="244"/>
      <c r="H266" s="244"/>
      <c r="I266" s="244"/>
      <c r="J266" s="244"/>
      <c r="K266" s="179"/>
      <c r="L266" s="244"/>
      <c r="M266" s="244"/>
      <c r="N266" s="244"/>
      <c r="O266" s="244"/>
      <c r="P266" s="244"/>
      <c r="Q266" s="244"/>
    </row>
    <row r="267" spans="1:17" ht="15.75" customHeight="1" x14ac:dyDescent="0.25">
      <c r="A267" s="244"/>
      <c r="B267" s="244"/>
      <c r="C267" s="244"/>
      <c r="D267" s="244"/>
      <c r="E267" s="179"/>
      <c r="F267" s="244"/>
      <c r="G267" s="244"/>
      <c r="H267" s="244"/>
      <c r="I267" s="244"/>
      <c r="J267" s="244"/>
      <c r="K267" s="179"/>
      <c r="L267" s="244"/>
      <c r="M267" s="244"/>
      <c r="N267" s="244"/>
      <c r="O267" s="244"/>
      <c r="P267" s="244"/>
      <c r="Q267" s="244"/>
    </row>
    <row r="268" spans="1:17" ht="15.75" customHeight="1" x14ac:dyDescent="0.25">
      <c r="A268" s="244"/>
      <c r="B268" s="244"/>
      <c r="C268" s="244"/>
      <c r="D268" s="244"/>
      <c r="E268" s="179"/>
      <c r="F268" s="244"/>
      <c r="G268" s="244"/>
      <c r="H268" s="244"/>
      <c r="I268" s="244"/>
      <c r="J268" s="244"/>
      <c r="K268" s="179"/>
      <c r="L268" s="244"/>
      <c r="M268" s="244"/>
      <c r="N268" s="244"/>
      <c r="O268" s="244"/>
      <c r="P268" s="244"/>
      <c r="Q268" s="244"/>
    </row>
    <row r="269" spans="1:17" ht="15.75" customHeight="1" x14ac:dyDescent="0.25">
      <c r="A269" s="244"/>
      <c r="B269" s="244"/>
      <c r="C269" s="244"/>
      <c r="D269" s="244"/>
      <c r="E269" s="179"/>
      <c r="F269" s="244"/>
      <c r="G269" s="244"/>
      <c r="H269" s="244"/>
      <c r="I269" s="244"/>
      <c r="J269" s="244"/>
      <c r="K269" s="179"/>
      <c r="L269" s="244"/>
      <c r="M269" s="244"/>
      <c r="N269" s="244"/>
      <c r="O269" s="244"/>
      <c r="P269" s="244"/>
      <c r="Q269" s="244"/>
    </row>
    <row r="270" spans="1:17" ht="15.75" customHeight="1" x14ac:dyDescent="0.25">
      <c r="A270" s="244"/>
      <c r="B270" s="244"/>
      <c r="C270" s="244"/>
      <c r="D270" s="244"/>
      <c r="E270" s="179"/>
      <c r="F270" s="244"/>
      <c r="G270" s="244"/>
      <c r="H270" s="244"/>
      <c r="I270" s="244"/>
      <c r="J270" s="244"/>
      <c r="K270" s="179"/>
      <c r="L270" s="244"/>
      <c r="M270" s="244"/>
      <c r="N270" s="244"/>
      <c r="O270" s="244"/>
      <c r="P270" s="244"/>
      <c r="Q270" s="244"/>
    </row>
    <row r="271" spans="1:17" ht="15.75" customHeight="1" x14ac:dyDescent="0.25">
      <c r="A271" s="244"/>
      <c r="B271" s="244"/>
      <c r="C271" s="244"/>
      <c r="D271" s="244"/>
      <c r="E271" s="179"/>
      <c r="F271" s="244"/>
      <c r="G271" s="244"/>
      <c r="H271" s="244"/>
      <c r="I271" s="244"/>
      <c r="J271" s="244"/>
      <c r="K271" s="179"/>
      <c r="L271" s="244"/>
      <c r="M271" s="244"/>
      <c r="N271" s="244"/>
      <c r="O271" s="244"/>
      <c r="P271" s="244"/>
      <c r="Q271" s="244"/>
    </row>
    <row r="272" spans="1:17" ht="15.75" customHeight="1" x14ac:dyDescent="0.25">
      <c r="A272" s="244"/>
      <c r="B272" s="244"/>
      <c r="C272" s="244"/>
      <c r="D272" s="244"/>
      <c r="E272" s="179"/>
      <c r="F272" s="244"/>
      <c r="G272" s="244"/>
      <c r="H272" s="244"/>
      <c r="I272" s="244"/>
      <c r="J272" s="244"/>
      <c r="K272" s="179"/>
      <c r="L272" s="244"/>
      <c r="M272" s="244"/>
      <c r="N272" s="244"/>
      <c r="O272" s="244"/>
      <c r="P272" s="244"/>
      <c r="Q272" s="244"/>
    </row>
    <row r="273" spans="1:17" ht="15.75" customHeight="1" x14ac:dyDescent="0.25">
      <c r="A273" s="244"/>
      <c r="B273" s="244"/>
      <c r="C273" s="244"/>
      <c r="D273" s="244"/>
      <c r="E273" s="179"/>
      <c r="F273" s="244"/>
      <c r="G273" s="244"/>
      <c r="H273" s="244"/>
      <c r="I273" s="244"/>
      <c r="J273" s="244"/>
      <c r="K273" s="179"/>
      <c r="L273" s="244"/>
      <c r="M273" s="244"/>
      <c r="N273" s="244"/>
      <c r="O273" s="244"/>
      <c r="P273" s="244"/>
      <c r="Q273" s="244"/>
    </row>
    <row r="274" spans="1:17" ht="15.75" customHeight="1" x14ac:dyDescent="0.25">
      <c r="A274" s="244"/>
      <c r="B274" s="244"/>
      <c r="C274" s="244"/>
      <c r="D274" s="244"/>
      <c r="E274" s="179"/>
      <c r="F274" s="244"/>
      <c r="G274" s="244"/>
      <c r="H274" s="244"/>
      <c r="I274" s="244"/>
      <c r="J274" s="244"/>
      <c r="K274" s="179"/>
      <c r="L274" s="244"/>
      <c r="M274" s="244"/>
      <c r="N274" s="244"/>
      <c r="O274" s="244"/>
      <c r="P274" s="244"/>
      <c r="Q274" s="244"/>
    </row>
    <row r="275" spans="1:17" ht="15.75" customHeight="1" x14ac:dyDescent="0.25">
      <c r="A275" s="244"/>
      <c r="B275" s="244"/>
      <c r="C275" s="244"/>
      <c r="D275" s="244"/>
      <c r="E275" s="179"/>
      <c r="F275" s="244"/>
      <c r="G275" s="244"/>
      <c r="H275" s="244"/>
      <c r="I275" s="244"/>
      <c r="J275" s="244"/>
      <c r="K275" s="179"/>
      <c r="L275" s="244"/>
      <c r="M275" s="244"/>
      <c r="N275" s="244"/>
      <c r="O275" s="244"/>
      <c r="P275" s="244"/>
      <c r="Q275" s="244"/>
    </row>
    <row r="276" spans="1:17" ht="15.75" customHeight="1" x14ac:dyDescent="0.25">
      <c r="A276" s="244"/>
      <c r="B276" s="244"/>
      <c r="C276" s="244"/>
      <c r="D276" s="244"/>
      <c r="E276" s="179"/>
      <c r="F276" s="244"/>
      <c r="G276" s="244"/>
      <c r="H276" s="244"/>
      <c r="I276" s="244"/>
      <c r="J276" s="244"/>
      <c r="K276" s="179"/>
      <c r="L276" s="244"/>
      <c r="M276" s="244"/>
      <c r="N276" s="244"/>
      <c r="O276" s="244"/>
      <c r="P276" s="244"/>
      <c r="Q276" s="244"/>
    </row>
    <row r="277" spans="1:17" ht="15.75" customHeight="1" x14ac:dyDescent="0.25">
      <c r="A277" s="244"/>
      <c r="B277" s="244"/>
      <c r="C277" s="244"/>
      <c r="D277" s="244"/>
      <c r="E277" s="179"/>
      <c r="F277" s="244"/>
      <c r="G277" s="244"/>
      <c r="H277" s="244"/>
      <c r="I277" s="244"/>
      <c r="J277" s="244"/>
      <c r="K277" s="179"/>
      <c r="L277" s="244"/>
      <c r="M277" s="244"/>
      <c r="N277" s="244"/>
      <c r="O277" s="244"/>
      <c r="P277" s="244"/>
      <c r="Q277" s="244"/>
    </row>
    <row r="278" spans="1:17" ht="15.75" customHeight="1" x14ac:dyDescent="0.25">
      <c r="A278" s="244"/>
      <c r="B278" s="244"/>
      <c r="C278" s="244"/>
      <c r="D278" s="244"/>
      <c r="E278" s="179"/>
      <c r="F278" s="244"/>
      <c r="G278" s="244"/>
      <c r="H278" s="244"/>
      <c r="I278" s="244"/>
      <c r="J278" s="244"/>
      <c r="K278" s="179"/>
      <c r="L278" s="244"/>
      <c r="M278" s="244"/>
      <c r="N278" s="244"/>
      <c r="O278" s="244"/>
      <c r="P278" s="244"/>
      <c r="Q278" s="244"/>
    </row>
    <row r="279" spans="1:17" ht="15.75" customHeight="1" x14ac:dyDescent="0.25">
      <c r="A279" s="244"/>
      <c r="B279" s="244"/>
      <c r="C279" s="244"/>
      <c r="D279" s="244"/>
      <c r="E279" s="179"/>
      <c r="F279" s="244"/>
      <c r="G279" s="244"/>
      <c r="H279" s="244"/>
      <c r="I279" s="244"/>
      <c r="J279" s="244"/>
      <c r="K279" s="179"/>
      <c r="L279" s="244"/>
      <c r="M279" s="244"/>
      <c r="N279" s="244"/>
      <c r="O279" s="244"/>
      <c r="P279" s="244"/>
      <c r="Q279" s="244"/>
    </row>
    <row r="280" spans="1:17" ht="15.75" customHeight="1" x14ac:dyDescent="0.25">
      <c r="A280" s="244"/>
      <c r="B280" s="244"/>
      <c r="C280" s="244"/>
      <c r="D280" s="244"/>
      <c r="E280" s="179"/>
      <c r="F280" s="244"/>
      <c r="G280" s="244"/>
      <c r="H280" s="244"/>
      <c r="I280" s="244"/>
      <c r="J280" s="244"/>
      <c r="K280" s="179"/>
      <c r="L280" s="244"/>
      <c r="M280" s="244"/>
      <c r="N280" s="244"/>
      <c r="O280" s="244"/>
      <c r="P280" s="244"/>
      <c r="Q280" s="244"/>
    </row>
    <row r="281" spans="1:17" ht="15.75" customHeight="1" x14ac:dyDescent="0.25">
      <c r="A281" s="244"/>
      <c r="B281" s="244"/>
      <c r="C281" s="244"/>
      <c r="D281" s="244"/>
      <c r="E281" s="179"/>
      <c r="F281" s="244"/>
      <c r="G281" s="244"/>
      <c r="H281" s="244"/>
      <c r="I281" s="244"/>
      <c r="J281" s="244"/>
      <c r="K281" s="179"/>
      <c r="L281" s="244"/>
      <c r="M281" s="244"/>
      <c r="N281" s="244"/>
      <c r="O281" s="244"/>
      <c r="P281" s="244"/>
      <c r="Q281" s="244"/>
    </row>
    <row r="282" spans="1:17" ht="15.75" customHeight="1" x14ac:dyDescent="0.25">
      <c r="A282" s="244"/>
      <c r="B282" s="244"/>
      <c r="C282" s="244"/>
      <c r="D282" s="244"/>
      <c r="E282" s="179"/>
      <c r="F282" s="244"/>
      <c r="G282" s="244"/>
      <c r="H282" s="244"/>
      <c r="I282" s="244"/>
      <c r="J282" s="244"/>
      <c r="K282" s="179"/>
      <c r="L282" s="244"/>
      <c r="M282" s="244"/>
      <c r="N282" s="244"/>
      <c r="O282" s="244"/>
      <c r="P282" s="244"/>
      <c r="Q282" s="244"/>
    </row>
    <row r="283" spans="1:17" ht="15.75" customHeight="1" x14ac:dyDescent="0.25">
      <c r="A283" s="244"/>
      <c r="B283" s="244"/>
      <c r="C283" s="244"/>
      <c r="D283" s="244"/>
      <c r="E283" s="179"/>
      <c r="F283" s="244"/>
      <c r="G283" s="244"/>
      <c r="H283" s="244"/>
      <c r="I283" s="244"/>
      <c r="J283" s="244"/>
      <c r="K283" s="179"/>
      <c r="L283" s="244"/>
      <c r="M283" s="244"/>
      <c r="N283" s="244"/>
      <c r="O283" s="244"/>
      <c r="P283" s="244"/>
      <c r="Q283" s="244"/>
    </row>
    <row r="284" spans="1:17" ht="15.75" customHeight="1" x14ac:dyDescent="0.25">
      <c r="A284" s="244"/>
      <c r="B284" s="244"/>
      <c r="C284" s="244"/>
      <c r="D284" s="244"/>
      <c r="E284" s="179"/>
      <c r="F284" s="244"/>
      <c r="G284" s="244"/>
      <c r="H284" s="244"/>
      <c r="I284" s="244"/>
      <c r="J284" s="244"/>
      <c r="K284" s="179"/>
      <c r="L284" s="244"/>
      <c r="M284" s="244"/>
      <c r="N284" s="244"/>
      <c r="O284" s="244"/>
      <c r="P284" s="244"/>
      <c r="Q284" s="244"/>
    </row>
    <row r="285" spans="1:17" ht="15.75" customHeight="1" x14ac:dyDescent="0.25">
      <c r="A285" s="244"/>
      <c r="B285" s="244"/>
      <c r="C285" s="244"/>
      <c r="D285" s="244"/>
      <c r="E285" s="179"/>
      <c r="F285" s="244"/>
      <c r="G285" s="244"/>
      <c r="H285" s="244"/>
      <c r="I285" s="244"/>
      <c r="J285" s="244"/>
      <c r="K285" s="179"/>
      <c r="L285" s="244"/>
      <c r="M285" s="244"/>
      <c r="N285" s="244"/>
      <c r="O285" s="244"/>
      <c r="P285" s="244"/>
      <c r="Q285" s="244"/>
    </row>
    <row r="286" spans="1:17" ht="15.75" customHeight="1" x14ac:dyDescent="0.25">
      <c r="A286" s="244"/>
      <c r="B286" s="244"/>
      <c r="C286" s="244"/>
      <c r="D286" s="244"/>
      <c r="E286" s="179"/>
      <c r="F286" s="244"/>
      <c r="G286" s="244"/>
      <c r="H286" s="244"/>
      <c r="I286" s="244"/>
      <c r="J286" s="244"/>
      <c r="K286" s="179"/>
      <c r="L286" s="244"/>
      <c r="M286" s="244"/>
      <c r="N286" s="244"/>
      <c r="O286" s="244"/>
      <c r="P286" s="244"/>
      <c r="Q286" s="244"/>
    </row>
    <row r="287" spans="1:17" ht="15.75" customHeight="1" x14ac:dyDescent="0.25">
      <c r="A287" s="244"/>
      <c r="B287" s="244"/>
      <c r="C287" s="244"/>
      <c r="D287" s="244"/>
      <c r="E287" s="179"/>
      <c r="F287" s="244"/>
      <c r="G287" s="244"/>
      <c r="H287" s="244"/>
      <c r="I287" s="244"/>
      <c r="J287" s="244"/>
      <c r="K287" s="179"/>
      <c r="L287" s="244"/>
      <c r="M287" s="244"/>
      <c r="N287" s="244"/>
      <c r="O287" s="244"/>
      <c r="P287" s="244"/>
      <c r="Q287" s="244"/>
    </row>
    <row r="288" spans="1:17" ht="15.75" customHeight="1" x14ac:dyDescent="0.25">
      <c r="A288" s="244"/>
      <c r="B288" s="244"/>
      <c r="C288" s="244"/>
      <c r="D288" s="244"/>
      <c r="E288" s="179"/>
      <c r="F288" s="244"/>
      <c r="G288" s="244"/>
      <c r="H288" s="244"/>
      <c r="I288" s="244"/>
      <c r="J288" s="244"/>
      <c r="K288" s="179"/>
      <c r="L288" s="244"/>
      <c r="M288" s="244"/>
      <c r="N288" s="244"/>
      <c r="O288" s="244"/>
      <c r="P288" s="244"/>
      <c r="Q288" s="244"/>
    </row>
    <row r="289" spans="1:17" ht="15.75" customHeight="1" x14ac:dyDescent="0.25">
      <c r="A289" s="244"/>
      <c r="B289" s="244"/>
      <c r="C289" s="244"/>
      <c r="D289" s="244"/>
      <c r="E289" s="179"/>
      <c r="F289" s="244"/>
      <c r="G289" s="244"/>
      <c r="H289" s="244"/>
      <c r="I289" s="244"/>
      <c r="J289" s="244"/>
      <c r="K289" s="179"/>
      <c r="L289" s="244"/>
      <c r="M289" s="244"/>
      <c r="N289" s="244"/>
      <c r="O289" s="244"/>
      <c r="P289" s="244"/>
      <c r="Q289" s="244"/>
    </row>
    <row r="290" spans="1:17" ht="15.75" customHeight="1" x14ac:dyDescent="0.25">
      <c r="A290" s="244"/>
      <c r="B290" s="244"/>
      <c r="C290" s="244"/>
      <c r="D290" s="244"/>
      <c r="E290" s="179"/>
      <c r="F290" s="244"/>
      <c r="G290" s="244"/>
      <c r="H290" s="244"/>
      <c r="I290" s="244"/>
      <c r="J290" s="244"/>
      <c r="K290" s="179"/>
      <c r="L290" s="244"/>
      <c r="M290" s="244"/>
      <c r="N290" s="244"/>
      <c r="O290" s="244"/>
      <c r="P290" s="244"/>
      <c r="Q290" s="244"/>
    </row>
    <row r="291" spans="1:17" ht="15.75" customHeight="1" x14ac:dyDescent="0.25">
      <c r="A291" s="244"/>
      <c r="B291" s="244"/>
      <c r="C291" s="244"/>
      <c r="D291" s="244"/>
      <c r="E291" s="179"/>
      <c r="F291" s="244"/>
      <c r="G291" s="244"/>
      <c r="H291" s="244"/>
      <c r="I291" s="244"/>
      <c r="J291" s="244"/>
      <c r="K291" s="179"/>
      <c r="L291" s="244"/>
      <c r="M291" s="244"/>
      <c r="N291" s="244"/>
      <c r="O291" s="244"/>
      <c r="P291" s="244"/>
      <c r="Q291" s="244"/>
    </row>
    <row r="292" spans="1:17" ht="15.75" customHeight="1" x14ac:dyDescent="0.25">
      <c r="A292" s="244"/>
      <c r="B292" s="244"/>
      <c r="C292" s="244"/>
      <c r="D292" s="244"/>
      <c r="E292" s="179"/>
      <c r="F292" s="244"/>
      <c r="G292" s="244"/>
      <c r="H292" s="244"/>
      <c r="I292" s="244"/>
      <c r="J292" s="244"/>
      <c r="K292" s="179"/>
      <c r="L292" s="244"/>
      <c r="M292" s="244"/>
      <c r="N292" s="244"/>
      <c r="O292" s="244"/>
      <c r="P292" s="244"/>
      <c r="Q292" s="244"/>
    </row>
    <row r="293" spans="1:17" ht="15.75" customHeight="1" x14ac:dyDescent="0.25">
      <c r="A293" s="244"/>
      <c r="B293" s="244"/>
      <c r="C293" s="244"/>
      <c r="D293" s="244"/>
      <c r="E293" s="179"/>
      <c r="F293" s="244"/>
      <c r="G293" s="244"/>
      <c r="H293" s="244"/>
      <c r="I293" s="244"/>
      <c r="J293" s="244"/>
      <c r="K293" s="179"/>
      <c r="L293" s="244"/>
      <c r="M293" s="244"/>
      <c r="N293" s="244"/>
      <c r="O293" s="244"/>
      <c r="P293" s="244"/>
      <c r="Q293" s="244"/>
    </row>
    <row r="294" spans="1:17" ht="15.75" customHeight="1" x14ac:dyDescent="0.25">
      <c r="A294" s="244"/>
      <c r="B294" s="244"/>
      <c r="C294" s="244"/>
      <c r="D294" s="244"/>
      <c r="E294" s="179"/>
      <c r="F294" s="244"/>
      <c r="G294" s="244"/>
      <c r="H294" s="244"/>
      <c r="I294" s="244"/>
      <c r="J294" s="244"/>
      <c r="K294" s="179"/>
      <c r="L294" s="244"/>
      <c r="M294" s="244"/>
      <c r="N294" s="244"/>
      <c r="O294" s="244"/>
      <c r="P294" s="244"/>
      <c r="Q294" s="244"/>
    </row>
    <row r="295" spans="1:17" ht="15.75" customHeight="1" x14ac:dyDescent="0.25">
      <c r="A295" s="244"/>
      <c r="B295" s="244"/>
      <c r="C295" s="244"/>
      <c r="D295" s="244"/>
      <c r="E295" s="179"/>
      <c r="F295" s="244"/>
      <c r="G295" s="244"/>
      <c r="H295" s="244"/>
      <c r="I295" s="244"/>
      <c r="J295" s="244"/>
      <c r="K295" s="179"/>
      <c r="L295" s="244"/>
      <c r="M295" s="244"/>
      <c r="N295" s="244"/>
      <c r="O295" s="244"/>
      <c r="P295" s="244"/>
      <c r="Q295" s="244"/>
    </row>
    <row r="296" spans="1:17" ht="15.75" customHeight="1" x14ac:dyDescent="0.25">
      <c r="A296" s="244"/>
      <c r="B296" s="244"/>
      <c r="C296" s="244"/>
      <c r="D296" s="244"/>
      <c r="E296" s="179"/>
      <c r="F296" s="244"/>
      <c r="G296" s="244"/>
      <c r="H296" s="244"/>
      <c r="I296" s="244"/>
      <c r="J296" s="244"/>
      <c r="K296" s="179"/>
      <c r="L296" s="244"/>
      <c r="M296" s="244"/>
      <c r="N296" s="244"/>
      <c r="O296" s="244"/>
      <c r="P296" s="244"/>
      <c r="Q296" s="244"/>
    </row>
    <row r="297" spans="1:17" ht="15.75" customHeight="1" x14ac:dyDescent="0.25">
      <c r="A297" s="244"/>
      <c r="B297" s="244"/>
      <c r="C297" s="244"/>
      <c r="D297" s="244"/>
      <c r="E297" s="179"/>
      <c r="F297" s="244"/>
      <c r="G297" s="244"/>
      <c r="H297" s="244"/>
      <c r="I297" s="244"/>
      <c r="J297" s="244"/>
      <c r="K297" s="179"/>
      <c r="L297" s="244"/>
      <c r="M297" s="244"/>
      <c r="N297" s="244"/>
      <c r="O297" s="244"/>
      <c r="P297" s="244"/>
      <c r="Q297" s="244"/>
    </row>
    <row r="298" spans="1:17" ht="15.75" customHeight="1" x14ac:dyDescent="0.25">
      <c r="A298" s="244"/>
      <c r="B298" s="244"/>
      <c r="C298" s="244"/>
      <c r="D298" s="244"/>
      <c r="E298" s="179"/>
      <c r="F298" s="244"/>
      <c r="G298" s="244"/>
      <c r="H298" s="244"/>
      <c r="I298" s="244"/>
      <c r="J298" s="244"/>
      <c r="K298" s="179"/>
      <c r="L298" s="244"/>
      <c r="M298" s="244"/>
      <c r="N298" s="244"/>
      <c r="O298" s="244"/>
      <c r="P298" s="244"/>
      <c r="Q298" s="244"/>
    </row>
    <row r="299" spans="1:17" ht="15.75" customHeight="1" x14ac:dyDescent="0.25">
      <c r="A299" s="244"/>
      <c r="B299" s="244"/>
      <c r="C299" s="244"/>
      <c r="D299" s="244"/>
      <c r="E299" s="179"/>
      <c r="F299" s="244"/>
      <c r="G299" s="244"/>
      <c r="H299" s="244"/>
      <c r="I299" s="244"/>
      <c r="J299" s="244"/>
      <c r="K299" s="179"/>
      <c r="L299" s="244"/>
      <c r="M299" s="244"/>
      <c r="N299" s="244"/>
      <c r="O299" s="244"/>
      <c r="P299" s="244"/>
      <c r="Q299" s="244"/>
    </row>
    <row r="300" spans="1:17" ht="15.75" customHeight="1" x14ac:dyDescent="0.25">
      <c r="A300" s="244"/>
      <c r="B300" s="244"/>
      <c r="C300" s="244"/>
      <c r="D300" s="244"/>
      <c r="E300" s="179"/>
      <c r="F300" s="244"/>
      <c r="G300" s="244"/>
      <c r="H300" s="244"/>
      <c r="I300" s="244"/>
      <c r="J300" s="244"/>
      <c r="K300" s="179"/>
      <c r="L300" s="244"/>
      <c r="M300" s="244"/>
      <c r="N300" s="244"/>
      <c r="O300" s="244"/>
      <c r="P300" s="244"/>
      <c r="Q300" s="244"/>
    </row>
    <row r="301" spans="1:17" ht="15.75" customHeight="1" x14ac:dyDescent="0.25">
      <c r="A301" s="244"/>
      <c r="B301" s="244"/>
      <c r="C301" s="244"/>
      <c r="D301" s="244"/>
      <c r="E301" s="179"/>
      <c r="F301" s="244"/>
      <c r="G301" s="244"/>
      <c r="H301" s="244"/>
      <c r="I301" s="244"/>
      <c r="J301" s="244"/>
      <c r="K301" s="179"/>
      <c r="L301" s="244"/>
      <c r="M301" s="244"/>
      <c r="N301" s="244"/>
      <c r="O301" s="244"/>
      <c r="P301" s="244"/>
      <c r="Q301" s="244"/>
    </row>
    <row r="302" spans="1:17" ht="15.75" customHeight="1" x14ac:dyDescent="0.25">
      <c r="A302" s="244"/>
      <c r="B302" s="244"/>
      <c r="C302" s="244"/>
      <c r="D302" s="244"/>
      <c r="E302" s="179"/>
      <c r="F302" s="244"/>
      <c r="G302" s="244"/>
      <c r="H302" s="244"/>
      <c r="I302" s="244"/>
      <c r="J302" s="244"/>
      <c r="K302" s="179"/>
      <c r="L302" s="244"/>
      <c r="M302" s="244"/>
      <c r="N302" s="244"/>
      <c r="O302" s="244"/>
      <c r="P302" s="244"/>
      <c r="Q302" s="244"/>
    </row>
    <row r="303" spans="1:17" ht="15.75" customHeight="1" x14ac:dyDescent="0.25">
      <c r="A303" s="244"/>
      <c r="B303" s="244"/>
      <c r="C303" s="244"/>
      <c r="D303" s="244"/>
      <c r="E303" s="179"/>
      <c r="F303" s="244"/>
      <c r="G303" s="244"/>
      <c r="H303" s="244"/>
      <c r="I303" s="244"/>
      <c r="J303" s="244"/>
      <c r="K303" s="179"/>
      <c r="L303" s="244"/>
      <c r="M303" s="244"/>
      <c r="N303" s="244"/>
      <c r="O303" s="244"/>
      <c r="P303" s="244"/>
      <c r="Q303" s="244"/>
    </row>
    <row r="304" spans="1:17" ht="15.75" customHeight="1" x14ac:dyDescent="0.25">
      <c r="A304" s="244"/>
      <c r="B304" s="244"/>
      <c r="C304" s="244"/>
      <c r="D304" s="244"/>
      <c r="E304" s="179"/>
      <c r="F304" s="244"/>
      <c r="G304" s="244"/>
      <c r="H304" s="244"/>
      <c r="I304" s="244"/>
      <c r="J304" s="244"/>
      <c r="K304" s="179"/>
      <c r="L304" s="244"/>
      <c r="M304" s="244"/>
      <c r="N304" s="244"/>
      <c r="O304" s="244"/>
      <c r="P304" s="244"/>
      <c r="Q304" s="244"/>
    </row>
    <row r="305" spans="1:17" ht="15.75" customHeight="1" x14ac:dyDescent="0.25">
      <c r="A305" s="244"/>
      <c r="B305" s="244"/>
      <c r="C305" s="244"/>
      <c r="D305" s="244"/>
      <c r="E305" s="179"/>
      <c r="F305" s="244"/>
      <c r="G305" s="244"/>
      <c r="H305" s="244"/>
      <c r="I305" s="244"/>
      <c r="J305" s="244"/>
      <c r="K305" s="179"/>
      <c r="L305" s="244"/>
      <c r="M305" s="244"/>
      <c r="N305" s="244"/>
      <c r="O305" s="244"/>
      <c r="P305" s="244"/>
      <c r="Q305" s="244"/>
    </row>
    <row r="306" spans="1:17" ht="15.75" customHeight="1" x14ac:dyDescent="0.25">
      <c r="A306" s="244"/>
      <c r="B306" s="244"/>
      <c r="C306" s="244"/>
      <c r="D306" s="244"/>
      <c r="E306" s="179"/>
      <c r="F306" s="244"/>
      <c r="G306" s="244"/>
      <c r="H306" s="244"/>
      <c r="I306" s="244"/>
      <c r="J306" s="244"/>
      <c r="K306" s="179"/>
      <c r="L306" s="244"/>
      <c r="M306" s="244"/>
      <c r="N306" s="244"/>
      <c r="O306" s="244"/>
      <c r="P306" s="244"/>
      <c r="Q306" s="244"/>
    </row>
    <row r="307" spans="1:17" ht="15.75" customHeight="1" x14ac:dyDescent="0.25">
      <c r="A307" s="244"/>
      <c r="B307" s="244"/>
      <c r="C307" s="244"/>
      <c r="D307" s="244"/>
      <c r="E307" s="179"/>
      <c r="F307" s="244"/>
      <c r="G307" s="244"/>
      <c r="H307" s="244"/>
      <c r="I307" s="244"/>
      <c r="J307" s="244"/>
      <c r="K307" s="179"/>
      <c r="L307" s="244"/>
      <c r="M307" s="244"/>
      <c r="N307" s="244"/>
      <c r="O307" s="244"/>
      <c r="P307" s="244"/>
      <c r="Q307" s="244"/>
    </row>
    <row r="308" spans="1:17" ht="15.75" customHeight="1" x14ac:dyDescent="0.25">
      <c r="A308" s="244"/>
      <c r="B308" s="244"/>
      <c r="C308" s="244"/>
      <c r="D308" s="244"/>
      <c r="E308" s="179"/>
      <c r="F308" s="244"/>
      <c r="G308" s="244"/>
      <c r="H308" s="244"/>
      <c r="I308" s="244"/>
      <c r="J308" s="244"/>
      <c r="K308" s="179"/>
      <c r="L308" s="244"/>
      <c r="M308" s="244"/>
      <c r="N308" s="244"/>
      <c r="O308" s="244"/>
      <c r="P308" s="244"/>
      <c r="Q308" s="244"/>
    </row>
    <row r="309" spans="1:17" ht="15.75" customHeight="1" x14ac:dyDescent="0.25">
      <c r="A309" s="244"/>
      <c r="B309" s="244"/>
      <c r="C309" s="244"/>
      <c r="D309" s="244"/>
      <c r="E309" s="179"/>
      <c r="F309" s="244"/>
      <c r="G309" s="244"/>
      <c r="H309" s="244"/>
      <c r="I309" s="244"/>
      <c r="J309" s="244"/>
      <c r="K309" s="179"/>
      <c r="L309" s="244"/>
      <c r="M309" s="244"/>
      <c r="N309" s="244"/>
      <c r="O309" s="244"/>
      <c r="P309" s="244"/>
      <c r="Q309" s="244"/>
    </row>
    <row r="310" spans="1:17" ht="15.75" customHeight="1" x14ac:dyDescent="0.25">
      <c r="A310" s="244"/>
      <c r="B310" s="244"/>
      <c r="C310" s="244"/>
      <c r="D310" s="244"/>
      <c r="E310" s="179"/>
      <c r="F310" s="244"/>
      <c r="G310" s="244"/>
      <c r="H310" s="244"/>
      <c r="I310" s="244"/>
      <c r="J310" s="244"/>
      <c r="K310" s="179"/>
      <c r="L310" s="244"/>
      <c r="M310" s="244"/>
      <c r="N310" s="244"/>
      <c r="O310" s="244"/>
      <c r="P310" s="244"/>
      <c r="Q310" s="244"/>
    </row>
    <row r="311" spans="1:17" ht="15.75" customHeight="1" x14ac:dyDescent="0.25">
      <c r="A311" s="244"/>
      <c r="B311" s="244"/>
      <c r="C311" s="244"/>
      <c r="D311" s="244"/>
      <c r="E311" s="179"/>
      <c r="F311" s="244"/>
      <c r="G311" s="244"/>
      <c r="H311" s="244"/>
      <c r="I311" s="244"/>
      <c r="J311" s="244"/>
      <c r="K311" s="179"/>
      <c r="L311" s="244"/>
      <c r="M311" s="244"/>
      <c r="N311" s="244"/>
      <c r="O311" s="244"/>
      <c r="P311" s="244"/>
      <c r="Q311" s="244"/>
    </row>
    <row r="312" spans="1:17" ht="15.75" customHeight="1" x14ac:dyDescent="0.25">
      <c r="A312" s="244"/>
      <c r="B312" s="244"/>
      <c r="C312" s="244"/>
      <c r="D312" s="244"/>
      <c r="E312" s="179"/>
      <c r="F312" s="244"/>
      <c r="G312" s="244"/>
      <c r="H312" s="244"/>
      <c r="I312" s="244"/>
      <c r="J312" s="244"/>
      <c r="K312" s="179"/>
      <c r="L312" s="244"/>
      <c r="M312" s="244"/>
      <c r="N312" s="244"/>
      <c r="O312" s="244"/>
      <c r="P312" s="244"/>
      <c r="Q312" s="244"/>
    </row>
    <row r="313" spans="1:17" ht="15.75" customHeight="1" x14ac:dyDescent="0.25">
      <c r="A313" s="244"/>
      <c r="B313" s="244"/>
      <c r="C313" s="244"/>
      <c r="D313" s="244"/>
      <c r="E313" s="179"/>
      <c r="F313" s="244"/>
      <c r="G313" s="244"/>
      <c r="H313" s="244"/>
      <c r="I313" s="244"/>
      <c r="J313" s="244"/>
      <c r="K313" s="179"/>
      <c r="L313" s="244"/>
      <c r="M313" s="244"/>
      <c r="N313" s="244"/>
      <c r="O313" s="244"/>
      <c r="P313" s="244"/>
      <c r="Q313" s="244"/>
    </row>
    <row r="314" spans="1:17" ht="15.75" customHeight="1" x14ac:dyDescent="0.25">
      <c r="A314" s="244"/>
      <c r="B314" s="244"/>
      <c r="C314" s="244"/>
      <c r="D314" s="244"/>
      <c r="E314" s="179"/>
      <c r="F314" s="244"/>
      <c r="G314" s="244"/>
      <c r="H314" s="244"/>
      <c r="I314" s="244"/>
      <c r="J314" s="244"/>
      <c r="K314" s="179"/>
      <c r="L314" s="244"/>
      <c r="M314" s="244"/>
      <c r="N314" s="244"/>
      <c r="O314" s="244"/>
      <c r="P314" s="244"/>
      <c r="Q314" s="244"/>
    </row>
    <row r="315" spans="1:17" ht="15.75" customHeight="1" x14ac:dyDescent="0.25">
      <c r="A315" s="244"/>
      <c r="B315" s="244"/>
      <c r="C315" s="244"/>
      <c r="D315" s="244"/>
      <c r="E315" s="179"/>
      <c r="F315" s="244"/>
      <c r="G315" s="244"/>
      <c r="H315" s="244"/>
      <c r="I315" s="244"/>
      <c r="J315" s="244"/>
      <c r="K315" s="179"/>
      <c r="L315" s="244"/>
      <c r="M315" s="244"/>
      <c r="N315" s="244"/>
      <c r="O315" s="244"/>
      <c r="P315" s="244"/>
      <c r="Q315" s="244"/>
    </row>
    <row r="316" spans="1:17" ht="15.75" customHeight="1" x14ac:dyDescent="0.25">
      <c r="A316" s="244"/>
      <c r="B316" s="244"/>
      <c r="C316" s="244"/>
      <c r="D316" s="244"/>
      <c r="E316" s="179"/>
      <c r="F316" s="244"/>
      <c r="G316" s="244"/>
      <c r="H316" s="244"/>
      <c r="I316" s="244"/>
      <c r="J316" s="244"/>
      <c r="K316" s="179"/>
      <c r="L316" s="244"/>
      <c r="M316" s="244"/>
      <c r="N316" s="244"/>
      <c r="O316" s="244"/>
      <c r="P316" s="244"/>
      <c r="Q316" s="244"/>
    </row>
    <row r="317" spans="1:17" ht="15.75" customHeight="1" x14ac:dyDescent="0.25">
      <c r="A317" s="244"/>
      <c r="B317" s="244"/>
      <c r="C317" s="244"/>
      <c r="D317" s="244"/>
      <c r="E317" s="179"/>
      <c r="F317" s="244"/>
      <c r="G317" s="244"/>
      <c r="H317" s="244"/>
      <c r="I317" s="244"/>
      <c r="J317" s="244"/>
      <c r="K317" s="179"/>
      <c r="L317" s="244"/>
      <c r="M317" s="244"/>
      <c r="N317" s="244"/>
      <c r="O317" s="244"/>
      <c r="P317" s="244"/>
      <c r="Q317" s="244"/>
    </row>
    <row r="318" spans="1:17" ht="15.75" customHeight="1" x14ac:dyDescent="0.25">
      <c r="A318" s="244"/>
      <c r="B318" s="244"/>
      <c r="C318" s="244"/>
      <c r="D318" s="244"/>
      <c r="E318" s="179"/>
      <c r="F318" s="244"/>
      <c r="G318" s="244"/>
      <c r="H318" s="244"/>
      <c r="I318" s="244"/>
      <c r="J318" s="244"/>
      <c r="K318" s="179"/>
      <c r="L318" s="244"/>
      <c r="M318" s="244"/>
      <c r="N318" s="244"/>
      <c r="O318" s="244"/>
      <c r="P318" s="244"/>
      <c r="Q318" s="244"/>
    </row>
    <row r="319" spans="1:17" ht="15.75" customHeight="1" x14ac:dyDescent="0.25">
      <c r="A319" s="244"/>
      <c r="B319" s="244"/>
      <c r="C319" s="244"/>
      <c r="D319" s="244"/>
      <c r="E319" s="179"/>
      <c r="F319" s="244"/>
      <c r="G319" s="244"/>
      <c r="H319" s="244"/>
      <c r="I319" s="244"/>
      <c r="J319" s="244"/>
      <c r="K319" s="179"/>
      <c r="L319" s="244"/>
      <c r="M319" s="244"/>
      <c r="N319" s="244"/>
      <c r="O319" s="244"/>
      <c r="P319" s="244"/>
      <c r="Q319" s="244"/>
    </row>
    <row r="320" spans="1:17" ht="15.75" customHeight="1" x14ac:dyDescent="0.25">
      <c r="A320" s="244"/>
      <c r="B320" s="244"/>
      <c r="C320" s="244"/>
      <c r="D320" s="244"/>
      <c r="E320" s="179"/>
      <c r="F320" s="244"/>
      <c r="G320" s="244"/>
      <c r="H320" s="244"/>
      <c r="I320" s="244"/>
      <c r="J320" s="244"/>
      <c r="K320" s="179"/>
      <c r="L320" s="244"/>
      <c r="M320" s="244"/>
      <c r="N320" s="244"/>
      <c r="O320" s="244"/>
      <c r="P320" s="244"/>
      <c r="Q320" s="244"/>
    </row>
    <row r="321" spans="1:17" ht="15.75" customHeight="1" x14ac:dyDescent="0.25">
      <c r="A321" s="244"/>
      <c r="B321" s="244"/>
      <c r="C321" s="244"/>
      <c r="D321" s="244"/>
      <c r="E321" s="179"/>
      <c r="F321" s="244"/>
      <c r="G321" s="244"/>
      <c r="H321" s="244"/>
      <c r="I321" s="244"/>
      <c r="J321" s="244"/>
      <c r="K321" s="179"/>
      <c r="L321" s="244"/>
      <c r="M321" s="244"/>
      <c r="N321" s="244"/>
      <c r="O321" s="244"/>
      <c r="P321" s="244"/>
      <c r="Q321" s="244"/>
    </row>
    <row r="322" spans="1:17" ht="15.75" customHeight="1" x14ac:dyDescent="0.25">
      <c r="A322" s="244"/>
      <c r="B322" s="244"/>
      <c r="C322" s="244"/>
      <c r="D322" s="244"/>
      <c r="E322" s="179"/>
      <c r="F322" s="244"/>
      <c r="G322" s="244"/>
      <c r="H322" s="244"/>
      <c r="I322" s="244"/>
      <c r="J322" s="244"/>
      <c r="K322" s="179"/>
      <c r="L322" s="244"/>
      <c r="M322" s="244"/>
      <c r="N322" s="244"/>
      <c r="O322" s="244"/>
      <c r="P322" s="244"/>
      <c r="Q322" s="244"/>
    </row>
    <row r="323" spans="1:17" ht="15.75" customHeight="1" x14ac:dyDescent="0.25">
      <c r="A323" s="244"/>
      <c r="B323" s="244"/>
      <c r="C323" s="244"/>
      <c r="D323" s="244"/>
      <c r="E323" s="179"/>
      <c r="F323" s="244"/>
      <c r="G323" s="244"/>
      <c r="H323" s="244"/>
      <c r="I323" s="244"/>
      <c r="J323" s="244"/>
      <c r="K323" s="179"/>
      <c r="L323" s="244"/>
      <c r="M323" s="244"/>
      <c r="N323" s="244"/>
      <c r="O323" s="244"/>
      <c r="P323" s="244"/>
      <c r="Q323" s="244"/>
    </row>
    <row r="324" spans="1:17" ht="15.75" customHeight="1" x14ac:dyDescent="0.25">
      <c r="A324" s="244"/>
      <c r="B324" s="244"/>
      <c r="C324" s="244"/>
      <c r="D324" s="244"/>
      <c r="E324" s="179"/>
      <c r="F324" s="244"/>
      <c r="G324" s="244"/>
      <c r="H324" s="244"/>
      <c r="I324" s="244"/>
      <c r="J324" s="244"/>
      <c r="K324" s="179"/>
      <c r="L324" s="244"/>
      <c r="M324" s="244"/>
      <c r="N324" s="244"/>
      <c r="O324" s="244"/>
      <c r="P324" s="244"/>
      <c r="Q324" s="244"/>
    </row>
    <row r="325" spans="1:17" ht="15.75" customHeight="1" x14ac:dyDescent="0.25">
      <c r="A325" s="244"/>
      <c r="B325" s="244"/>
      <c r="C325" s="244"/>
      <c r="D325" s="244"/>
      <c r="E325" s="179"/>
      <c r="F325" s="244"/>
      <c r="G325" s="244"/>
      <c r="H325" s="244"/>
      <c r="I325" s="244"/>
      <c r="J325" s="244"/>
      <c r="K325" s="179"/>
      <c r="L325" s="244"/>
      <c r="M325" s="244"/>
      <c r="N325" s="244"/>
      <c r="O325" s="244"/>
      <c r="P325" s="244"/>
      <c r="Q325" s="244"/>
    </row>
    <row r="326" spans="1:17" ht="15.75" customHeight="1" x14ac:dyDescent="0.25">
      <c r="A326" s="244"/>
      <c r="B326" s="244"/>
      <c r="C326" s="244"/>
      <c r="D326" s="244"/>
      <c r="E326" s="179"/>
      <c r="F326" s="244"/>
      <c r="G326" s="244"/>
      <c r="H326" s="244"/>
      <c r="I326" s="244"/>
      <c r="J326" s="244"/>
      <c r="K326" s="179"/>
      <c r="L326" s="244"/>
      <c r="M326" s="244"/>
      <c r="N326" s="244"/>
      <c r="O326" s="244"/>
      <c r="P326" s="244"/>
      <c r="Q326" s="244"/>
    </row>
    <row r="327" spans="1:17" ht="15.75" customHeight="1" x14ac:dyDescent="0.25">
      <c r="A327" s="244"/>
      <c r="B327" s="244"/>
      <c r="C327" s="244"/>
      <c r="D327" s="244"/>
      <c r="E327" s="179"/>
      <c r="F327" s="244"/>
      <c r="G327" s="244"/>
      <c r="H327" s="244"/>
      <c r="I327" s="244"/>
      <c r="J327" s="244"/>
      <c r="K327" s="179"/>
      <c r="L327" s="244"/>
      <c r="M327" s="244"/>
      <c r="N327" s="244"/>
      <c r="O327" s="244"/>
      <c r="P327" s="244"/>
      <c r="Q327" s="244"/>
    </row>
    <row r="328" spans="1:17" ht="15.75" customHeight="1" x14ac:dyDescent="0.25">
      <c r="A328" s="244"/>
      <c r="B328" s="244"/>
      <c r="C328" s="244"/>
      <c r="D328" s="244"/>
      <c r="E328" s="179"/>
      <c r="F328" s="244"/>
      <c r="G328" s="244"/>
      <c r="H328" s="244"/>
      <c r="I328" s="244"/>
      <c r="J328" s="244"/>
      <c r="K328" s="179"/>
      <c r="L328" s="244"/>
      <c r="M328" s="244"/>
      <c r="N328" s="244"/>
      <c r="O328" s="244"/>
      <c r="P328" s="244"/>
      <c r="Q328" s="244"/>
    </row>
    <row r="329" spans="1:17" ht="15.75" customHeight="1" x14ac:dyDescent="0.25">
      <c r="A329" s="244"/>
      <c r="B329" s="244"/>
      <c r="C329" s="244"/>
      <c r="D329" s="244"/>
      <c r="E329" s="179"/>
      <c r="F329" s="244"/>
      <c r="G329" s="244"/>
      <c r="H329" s="244"/>
      <c r="I329" s="244"/>
      <c r="J329" s="244"/>
      <c r="K329" s="179"/>
      <c r="L329" s="244"/>
      <c r="M329" s="244"/>
      <c r="N329" s="244"/>
      <c r="O329" s="244"/>
      <c r="P329" s="244"/>
      <c r="Q329" s="244"/>
    </row>
    <row r="330" spans="1:17" ht="15.75" customHeight="1" x14ac:dyDescent="0.25">
      <c r="A330" s="244"/>
      <c r="B330" s="244"/>
      <c r="C330" s="244"/>
      <c r="D330" s="244"/>
      <c r="E330" s="179"/>
      <c r="F330" s="244"/>
      <c r="G330" s="244"/>
      <c r="H330" s="244"/>
      <c r="I330" s="244"/>
      <c r="J330" s="244"/>
      <c r="K330" s="179"/>
      <c r="L330" s="244"/>
      <c r="M330" s="244"/>
      <c r="N330" s="244"/>
      <c r="O330" s="244"/>
      <c r="P330" s="244"/>
      <c r="Q330" s="244"/>
    </row>
    <row r="331" spans="1:17" ht="15.75" customHeight="1" x14ac:dyDescent="0.25">
      <c r="A331" s="244"/>
      <c r="B331" s="244"/>
      <c r="C331" s="244"/>
      <c r="D331" s="244"/>
      <c r="E331" s="179"/>
      <c r="F331" s="244"/>
      <c r="G331" s="244"/>
      <c r="H331" s="244"/>
      <c r="I331" s="244"/>
      <c r="J331" s="244"/>
      <c r="K331" s="179"/>
      <c r="L331" s="244"/>
      <c r="M331" s="244"/>
      <c r="N331" s="244"/>
      <c r="O331" s="244"/>
      <c r="P331" s="244"/>
      <c r="Q331" s="244"/>
    </row>
    <row r="332" spans="1:17" ht="15.75" customHeight="1" x14ac:dyDescent="0.25">
      <c r="A332" s="244"/>
      <c r="B332" s="244"/>
      <c r="C332" s="244"/>
      <c r="D332" s="244"/>
      <c r="E332" s="179"/>
      <c r="F332" s="244"/>
      <c r="G332" s="244"/>
      <c r="H332" s="244"/>
      <c r="I332" s="244"/>
      <c r="J332" s="244"/>
      <c r="K332" s="179"/>
      <c r="L332" s="244"/>
      <c r="M332" s="244"/>
      <c r="N332" s="244"/>
      <c r="O332" s="244"/>
      <c r="P332" s="244"/>
      <c r="Q332" s="244"/>
    </row>
    <row r="333" spans="1:17" ht="15.75" customHeight="1" x14ac:dyDescent="0.25">
      <c r="A333" s="244"/>
      <c r="B333" s="244"/>
      <c r="C333" s="244"/>
      <c r="D333" s="244"/>
      <c r="E333" s="179"/>
      <c r="F333" s="244"/>
      <c r="G333" s="244"/>
      <c r="H333" s="244"/>
      <c r="I333" s="244"/>
      <c r="J333" s="244"/>
      <c r="K333" s="179"/>
      <c r="L333" s="244"/>
      <c r="M333" s="244"/>
      <c r="N333" s="244"/>
      <c r="O333" s="244"/>
      <c r="P333" s="244"/>
      <c r="Q333" s="244"/>
    </row>
    <row r="334" spans="1:17" ht="15.75" customHeight="1" x14ac:dyDescent="0.25">
      <c r="A334" s="244"/>
      <c r="B334" s="244"/>
      <c r="C334" s="244"/>
      <c r="D334" s="244"/>
      <c r="E334" s="179"/>
      <c r="F334" s="244"/>
      <c r="G334" s="244"/>
      <c r="H334" s="244"/>
      <c r="I334" s="244"/>
      <c r="J334" s="244"/>
      <c r="K334" s="179"/>
      <c r="L334" s="244"/>
      <c r="M334" s="244"/>
      <c r="N334" s="244"/>
      <c r="O334" s="244"/>
      <c r="P334" s="244"/>
      <c r="Q334" s="244"/>
    </row>
    <row r="335" spans="1:17" ht="15.75" customHeight="1" x14ac:dyDescent="0.25">
      <c r="A335" s="244"/>
      <c r="B335" s="244"/>
      <c r="C335" s="244"/>
      <c r="D335" s="244"/>
      <c r="E335" s="179"/>
      <c r="F335" s="244"/>
      <c r="G335" s="244"/>
      <c r="H335" s="244"/>
      <c r="I335" s="244"/>
      <c r="J335" s="244"/>
      <c r="K335" s="179"/>
      <c r="L335" s="244"/>
      <c r="M335" s="244"/>
      <c r="N335" s="244"/>
      <c r="O335" s="244"/>
      <c r="P335" s="244"/>
      <c r="Q335" s="244"/>
    </row>
    <row r="336" spans="1:17" ht="15.75" customHeight="1" x14ac:dyDescent="0.25">
      <c r="A336" s="244"/>
      <c r="B336" s="244"/>
      <c r="C336" s="244"/>
      <c r="D336" s="244"/>
      <c r="E336" s="179"/>
      <c r="F336" s="244"/>
      <c r="G336" s="244"/>
      <c r="H336" s="244"/>
      <c r="I336" s="244"/>
      <c r="J336" s="244"/>
      <c r="K336" s="179"/>
      <c r="L336" s="244"/>
      <c r="M336" s="244"/>
      <c r="N336" s="244"/>
      <c r="O336" s="244"/>
      <c r="P336" s="244"/>
      <c r="Q336" s="244"/>
    </row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5">
    <mergeCell ref="B4:B5"/>
    <mergeCell ref="C4:C5"/>
    <mergeCell ref="D4:I4"/>
    <mergeCell ref="J4:O4"/>
    <mergeCell ref="B69:C6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C988"/>
  <sheetViews>
    <sheetView workbookViewId="0">
      <pane xSplit="3" ySplit="6" topLeftCell="D111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2.5703125" defaultRowHeight="15" customHeight="1" x14ac:dyDescent="0.2"/>
  <cols>
    <col min="1" max="1" width="5.5703125" customWidth="1"/>
    <col min="2" max="2" width="9.7109375" customWidth="1"/>
    <col min="3" max="3" width="43.140625" customWidth="1"/>
    <col min="4" max="4" width="12.5703125" customWidth="1"/>
    <col min="5" max="6" width="12.5703125" hidden="1" customWidth="1"/>
    <col min="7" max="9" width="12.5703125" hidden="1"/>
    <col min="10" max="10" width="12.5703125" customWidth="1"/>
    <col min="11" max="12" width="12.5703125" hidden="1" customWidth="1"/>
    <col min="13" max="15" width="12.5703125" hidden="1"/>
    <col min="16" max="29" width="12.5703125" customWidth="1"/>
  </cols>
  <sheetData>
    <row r="1" spans="1:29" ht="15.75" customHeight="1" x14ac:dyDescent="0.25">
      <c r="A1" s="244"/>
      <c r="B1" s="245" t="s">
        <v>0</v>
      </c>
      <c r="C1" s="244"/>
      <c r="D1" s="244"/>
      <c r="E1" s="179"/>
      <c r="F1" s="244"/>
      <c r="G1" s="244"/>
      <c r="H1" s="244"/>
      <c r="I1" s="244"/>
      <c r="J1" s="244"/>
      <c r="K1" s="179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</row>
    <row r="2" spans="1:29" ht="15.75" customHeight="1" x14ac:dyDescent="0.25">
      <c r="A2" s="244"/>
      <c r="B2" s="246" t="s">
        <v>350</v>
      </c>
      <c r="C2" s="244"/>
      <c r="D2" s="244"/>
      <c r="E2" s="179"/>
      <c r="F2" s="244"/>
      <c r="G2" s="244"/>
      <c r="H2" s="244"/>
      <c r="I2" s="244"/>
      <c r="J2" s="244"/>
      <c r="K2" s="179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</row>
    <row r="3" spans="1:29" ht="15.75" customHeight="1" x14ac:dyDescent="0.25">
      <c r="A3" s="244"/>
      <c r="B3" s="244"/>
      <c r="C3" s="244"/>
      <c r="D3" s="244"/>
      <c r="E3" s="179"/>
      <c r="F3" s="244"/>
      <c r="G3" s="244"/>
      <c r="H3" s="244"/>
      <c r="I3" s="244"/>
      <c r="J3" s="244"/>
      <c r="K3" s="179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</row>
    <row r="4" spans="1:29" ht="15.75" customHeight="1" x14ac:dyDescent="0.25">
      <c r="A4" s="244"/>
      <c r="B4" s="980" t="s">
        <v>167</v>
      </c>
      <c r="C4" s="984" t="s">
        <v>46</v>
      </c>
      <c r="D4" s="965" t="s">
        <v>168</v>
      </c>
      <c r="E4" s="930"/>
      <c r="F4" s="930"/>
      <c r="G4" s="930"/>
      <c r="H4" s="930"/>
      <c r="I4" s="931"/>
      <c r="J4" s="965" t="s">
        <v>169</v>
      </c>
      <c r="K4" s="930"/>
      <c r="L4" s="930"/>
      <c r="M4" s="930"/>
      <c r="N4" s="930"/>
      <c r="O4" s="931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5"/>
    </row>
    <row r="5" spans="1:29" ht="31.5" x14ac:dyDescent="0.2">
      <c r="A5" s="306"/>
      <c r="B5" s="951"/>
      <c r="C5" s="978"/>
      <c r="D5" s="515" t="s">
        <v>170</v>
      </c>
      <c r="E5" s="516" t="s">
        <v>18</v>
      </c>
      <c r="F5" s="516" t="s">
        <v>171</v>
      </c>
      <c r="G5" s="516" t="s">
        <v>18</v>
      </c>
      <c r="H5" s="516" t="s">
        <v>172</v>
      </c>
      <c r="I5" s="518" t="s">
        <v>260</v>
      </c>
      <c r="J5" s="514" t="s">
        <v>170</v>
      </c>
      <c r="K5" s="774" t="s">
        <v>18</v>
      </c>
      <c r="L5" s="516" t="s">
        <v>171</v>
      </c>
      <c r="M5" s="516" t="s">
        <v>18</v>
      </c>
      <c r="N5" s="516" t="s">
        <v>172</v>
      </c>
      <c r="O5" s="518" t="s">
        <v>260</v>
      </c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</row>
    <row r="6" spans="1:29" ht="15.75" hidden="1" x14ac:dyDescent="0.25">
      <c r="A6" s="244"/>
      <c r="B6" s="270"/>
      <c r="C6" s="271" t="s">
        <v>78</v>
      </c>
      <c r="D6" s="466">
        <v>0</v>
      </c>
      <c r="E6" s="372"/>
      <c r="F6" s="412"/>
      <c r="G6" s="372"/>
      <c r="H6" s="412"/>
      <c r="I6" s="373"/>
      <c r="J6" s="466">
        <v>0</v>
      </c>
      <c r="K6" s="372"/>
      <c r="L6" s="412"/>
      <c r="M6" s="372"/>
      <c r="N6" s="412"/>
      <c r="O6" s="373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</row>
    <row r="7" spans="1:29" ht="15.75" hidden="1" x14ac:dyDescent="0.25">
      <c r="A7" s="244"/>
      <c r="B7" s="270"/>
      <c r="C7" s="271" t="s">
        <v>85</v>
      </c>
      <c r="D7" s="467">
        <v>0</v>
      </c>
      <c r="E7" s="313"/>
      <c r="F7" s="415"/>
      <c r="G7" s="313"/>
      <c r="H7" s="415"/>
      <c r="I7" s="271"/>
      <c r="J7" s="467">
        <v>0</v>
      </c>
      <c r="K7" s="313"/>
      <c r="L7" s="415"/>
      <c r="M7" s="313"/>
      <c r="N7" s="415"/>
      <c r="O7" s="271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</row>
    <row r="8" spans="1:29" ht="15.75" hidden="1" x14ac:dyDescent="0.25">
      <c r="A8" s="244"/>
      <c r="B8" s="270"/>
      <c r="C8" s="271" t="s">
        <v>92</v>
      </c>
      <c r="D8" s="467">
        <v>0</v>
      </c>
      <c r="E8" s="313"/>
      <c r="F8" s="415"/>
      <c r="G8" s="313"/>
      <c r="H8" s="415"/>
      <c r="I8" s="271"/>
      <c r="J8" s="467">
        <v>0</v>
      </c>
      <c r="K8" s="313"/>
      <c r="L8" s="415"/>
      <c r="M8" s="313"/>
      <c r="N8" s="415"/>
      <c r="O8" s="271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</row>
    <row r="9" spans="1:29" ht="15.75" hidden="1" x14ac:dyDescent="0.25">
      <c r="A9" s="244"/>
      <c r="B9" s="270"/>
      <c r="C9" s="271" t="s">
        <v>99</v>
      </c>
      <c r="D9" s="467">
        <v>0</v>
      </c>
      <c r="E9" s="313"/>
      <c r="F9" s="415"/>
      <c r="G9" s="313"/>
      <c r="H9" s="415"/>
      <c r="I9" s="271"/>
      <c r="J9" s="467">
        <v>0</v>
      </c>
      <c r="K9" s="313"/>
      <c r="L9" s="415"/>
      <c r="M9" s="313"/>
      <c r="N9" s="415"/>
      <c r="O9" s="271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</row>
    <row r="10" spans="1:29" ht="15.75" hidden="1" x14ac:dyDescent="0.25">
      <c r="A10" s="244"/>
      <c r="B10" s="270"/>
      <c r="C10" s="271" t="s">
        <v>106</v>
      </c>
      <c r="D10" s="467">
        <f>SUM(D8:D9)-D27</f>
        <v>-124708.89</v>
      </c>
      <c r="E10" s="313"/>
      <c r="F10" s="415"/>
      <c r="G10" s="313"/>
      <c r="H10" s="415"/>
      <c r="I10" s="271"/>
      <c r="J10" s="467">
        <f>SUM(J8:J9)-J27</f>
        <v>-103369</v>
      </c>
      <c r="K10" s="313"/>
      <c r="L10" s="415"/>
      <c r="M10" s="313"/>
      <c r="N10" s="415"/>
      <c r="O10" s="271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</row>
    <row r="11" spans="1:29" ht="15.75" hidden="1" x14ac:dyDescent="0.25">
      <c r="A11" s="244"/>
      <c r="B11" s="270"/>
      <c r="C11" s="271" t="s">
        <v>113</v>
      </c>
      <c r="D11" s="467"/>
      <c r="E11" s="313"/>
      <c r="F11" s="415"/>
      <c r="G11" s="313"/>
      <c r="H11" s="415"/>
      <c r="I11" s="271"/>
      <c r="J11" s="467"/>
      <c r="K11" s="313"/>
      <c r="L11" s="415"/>
      <c r="M11" s="313"/>
      <c r="N11" s="415"/>
      <c r="O11" s="271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</row>
    <row r="12" spans="1:29" ht="15.75" hidden="1" x14ac:dyDescent="0.25">
      <c r="A12" s="244"/>
      <c r="B12" s="270"/>
      <c r="C12" s="271" t="s">
        <v>120</v>
      </c>
      <c r="D12" s="467"/>
      <c r="E12" s="313"/>
      <c r="F12" s="415"/>
      <c r="G12" s="313"/>
      <c r="H12" s="415"/>
      <c r="I12" s="271"/>
      <c r="J12" s="467"/>
      <c r="K12" s="313"/>
      <c r="L12" s="415"/>
      <c r="M12" s="313"/>
      <c r="N12" s="415"/>
      <c r="O12" s="271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</row>
    <row r="13" spans="1:29" ht="15.75" hidden="1" x14ac:dyDescent="0.25">
      <c r="A13" s="244"/>
      <c r="B13" s="270"/>
      <c r="C13" s="339"/>
      <c r="D13" s="467"/>
      <c r="E13" s="313"/>
      <c r="F13" s="415"/>
      <c r="G13" s="186"/>
      <c r="H13" s="415"/>
      <c r="I13" s="339"/>
      <c r="J13" s="467"/>
      <c r="K13" s="313"/>
      <c r="L13" s="415"/>
      <c r="M13" s="186"/>
      <c r="N13" s="415"/>
      <c r="O13" s="339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</row>
    <row r="14" spans="1:29" ht="15.75" hidden="1" x14ac:dyDescent="0.25">
      <c r="A14" s="244"/>
      <c r="B14" s="270"/>
      <c r="C14" s="339"/>
      <c r="D14" s="467"/>
      <c r="E14" s="313"/>
      <c r="F14" s="415"/>
      <c r="G14" s="186"/>
      <c r="H14" s="415"/>
      <c r="I14" s="339"/>
      <c r="J14" s="467"/>
      <c r="K14" s="313"/>
      <c r="L14" s="415"/>
      <c r="M14" s="186"/>
      <c r="N14" s="415"/>
      <c r="O14" s="339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</row>
    <row r="15" spans="1:29" ht="15.75" customHeight="1" x14ac:dyDescent="0.25">
      <c r="A15" s="244"/>
      <c r="B15" s="549" t="s">
        <v>173</v>
      </c>
      <c r="C15" s="754" t="s">
        <v>322</v>
      </c>
      <c r="D15" s="509">
        <f>SUM(D16:D20)</f>
        <v>124708.89</v>
      </c>
      <c r="E15" s="733"/>
      <c r="F15" s="448"/>
      <c r="G15" s="454"/>
      <c r="H15" s="448">
        <f>SUM(H16:H19)</f>
        <v>48936.42</v>
      </c>
      <c r="I15" s="455"/>
      <c r="J15" s="509">
        <f>SUM(J16:J20)</f>
        <v>103369</v>
      </c>
      <c r="K15" s="313"/>
      <c r="L15" s="415"/>
      <c r="M15" s="186"/>
      <c r="N15" s="415">
        <f>SUM(N16:N19)</f>
        <v>53228</v>
      </c>
      <c r="O15" s="339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</row>
    <row r="16" spans="1:29" ht="15.75" customHeight="1" x14ac:dyDescent="0.25">
      <c r="A16" s="244"/>
      <c r="B16" s="270"/>
      <c r="C16" s="339"/>
      <c r="D16" s="467"/>
      <c r="E16" s="313"/>
      <c r="F16" s="415"/>
      <c r="G16" s="186"/>
      <c r="H16" s="415"/>
      <c r="I16" s="339"/>
      <c r="J16" s="467"/>
      <c r="K16" s="313"/>
      <c r="L16" s="415"/>
      <c r="M16" s="186"/>
      <c r="N16" s="415"/>
      <c r="O16" s="339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</row>
    <row r="17" spans="1:29" ht="15.75" customHeight="1" x14ac:dyDescent="0.25">
      <c r="A17" s="244"/>
      <c r="B17" s="270" t="s">
        <v>23</v>
      </c>
      <c r="C17" s="339" t="s">
        <v>351</v>
      </c>
      <c r="D17" s="467">
        <v>48936.42</v>
      </c>
      <c r="E17" s="332">
        <f t="shared" ref="E17:E18" si="0">D17/D$27</f>
        <v>0.39240522467965194</v>
      </c>
      <c r="F17" s="415"/>
      <c r="G17" s="186"/>
      <c r="H17" s="415">
        <f>D17-F17</f>
        <v>48936.42</v>
      </c>
      <c r="I17" s="339"/>
      <c r="J17" s="467">
        <v>53228</v>
      </c>
      <c r="K17" s="332">
        <f t="shared" ref="K17:K18" si="1">J17/J$27</f>
        <v>0.51493194284553401</v>
      </c>
      <c r="L17" s="415"/>
      <c r="M17" s="186"/>
      <c r="N17" s="415">
        <f>J17-L17</f>
        <v>53228</v>
      </c>
      <c r="O17" s="339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</row>
    <row r="18" spans="1:29" ht="15.75" customHeight="1" x14ac:dyDescent="0.25">
      <c r="A18" s="244"/>
      <c r="B18" s="264"/>
      <c r="C18" s="339" t="s">
        <v>352</v>
      </c>
      <c r="D18" s="467">
        <v>69393.25</v>
      </c>
      <c r="E18" s="332">
        <f t="shared" si="0"/>
        <v>0.55644188638035352</v>
      </c>
      <c r="F18" s="415"/>
      <c r="G18" s="186"/>
      <c r="H18" s="415"/>
      <c r="I18" s="339"/>
      <c r="J18" s="467">
        <v>50141</v>
      </c>
      <c r="K18" s="332">
        <f t="shared" si="1"/>
        <v>0.48506805715446605</v>
      </c>
      <c r="L18" s="415"/>
      <c r="M18" s="186"/>
      <c r="N18" s="415"/>
      <c r="O18" s="339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</row>
    <row r="19" spans="1:29" ht="15.75" customHeight="1" x14ac:dyDescent="0.25">
      <c r="A19" s="244"/>
      <c r="B19" s="331"/>
      <c r="C19" s="339" t="s">
        <v>179</v>
      </c>
      <c r="D19" s="467">
        <f>2909.5+3469.72</f>
        <v>6379.2199999999993</v>
      </c>
      <c r="E19" s="186"/>
      <c r="F19" s="415"/>
      <c r="G19" s="186"/>
      <c r="H19" s="415"/>
      <c r="I19" s="339"/>
      <c r="J19" s="467"/>
      <c r="K19" s="186"/>
      <c r="L19" s="415"/>
      <c r="M19" s="186"/>
      <c r="N19" s="415"/>
      <c r="O19" s="339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</row>
    <row r="20" spans="1:29" ht="15.75" customHeight="1" x14ac:dyDescent="0.25">
      <c r="A20" s="244"/>
      <c r="B20" s="331"/>
      <c r="C20" s="339"/>
      <c r="D20" s="467"/>
      <c r="E20" s="313"/>
      <c r="F20" s="415"/>
      <c r="G20" s="186"/>
      <c r="H20" s="415"/>
      <c r="I20" s="339"/>
      <c r="J20" s="467"/>
      <c r="K20" s="313"/>
      <c r="L20" s="415"/>
      <c r="M20" s="186"/>
      <c r="N20" s="415"/>
      <c r="O20" s="339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</row>
    <row r="21" spans="1:29" ht="15.75" customHeight="1" x14ac:dyDescent="0.25">
      <c r="A21" s="244"/>
      <c r="B21" s="270"/>
      <c r="C21" s="339"/>
      <c r="D21" s="467"/>
      <c r="E21" s="313"/>
      <c r="F21" s="415"/>
      <c r="G21" s="186"/>
      <c r="H21" s="415"/>
      <c r="I21" s="339"/>
      <c r="J21" s="467"/>
      <c r="K21" s="313"/>
      <c r="L21" s="415"/>
      <c r="M21" s="186"/>
      <c r="N21" s="415"/>
      <c r="O21" s="339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</row>
    <row r="22" spans="1:29" ht="15.75" customHeight="1" x14ac:dyDescent="0.25">
      <c r="A22" s="244"/>
      <c r="B22" s="270" t="s">
        <v>21</v>
      </c>
      <c r="C22" s="339" t="s">
        <v>21</v>
      </c>
      <c r="D22" s="496">
        <v>0</v>
      </c>
      <c r="E22" s="529"/>
      <c r="F22" s="529"/>
      <c r="G22" s="775"/>
      <c r="H22" s="529">
        <v>0</v>
      </c>
      <c r="I22" s="776"/>
      <c r="J22" s="496">
        <v>0</v>
      </c>
      <c r="K22" s="313"/>
      <c r="L22" s="415"/>
      <c r="M22" s="186"/>
      <c r="N22" s="415">
        <v>0</v>
      </c>
      <c r="O22" s="339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</row>
    <row r="23" spans="1:29" ht="15.75" customHeight="1" x14ac:dyDescent="0.25">
      <c r="A23" s="244"/>
      <c r="B23" s="270" t="s">
        <v>22</v>
      </c>
      <c r="C23" s="339" t="s">
        <v>22</v>
      </c>
      <c r="D23" s="496">
        <v>0</v>
      </c>
      <c r="E23" s="529"/>
      <c r="F23" s="529"/>
      <c r="G23" s="775"/>
      <c r="H23" s="529">
        <v>0</v>
      </c>
      <c r="I23" s="776"/>
      <c r="J23" s="496">
        <v>0</v>
      </c>
      <c r="K23" s="313"/>
      <c r="L23" s="415"/>
      <c r="M23" s="186"/>
      <c r="N23" s="415">
        <v>0</v>
      </c>
      <c r="O23" s="339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</row>
    <row r="24" spans="1:29" ht="15.75" customHeight="1" x14ac:dyDescent="0.25">
      <c r="A24" s="244"/>
      <c r="B24" s="270" t="s">
        <v>23</v>
      </c>
      <c r="C24" s="339" t="s">
        <v>180</v>
      </c>
      <c r="D24" s="756">
        <f>SUM(D16:D19)</f>
        <v>124708.89</v>
      </c>
      <c r="E24" s="313"/>
      <c r="F24" s="420"/>
      <c r="G24" s="186"/>
      <c r="H24" s="420">
        <f>SUM(H16:H19)</f>
        <v>48936.42</v>
      </c>
      <c r="I24" s="339"/>
      <c r="J24" s="756">
        <f>SUM(J16:J19)</f>
        <v>103369</v>
      </c>
      <c r="K24" s="313"/>
      <c r="L24" s="420"/>
      <c r="M24" s="186"/>
      <c r="N24" s="420">
        <f>SUM(N16:N19)</f>
        <v>53228</v>
      </c>
      <c r="O24" s="339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</row>
    <row r="25" spans="1:29" ht="15.75" customHeight="1" x14ac:dyDescent="0.25">
      <c r="A25" s="244"/>
      <c r="B25" s="331"/>
      <c r="C25" s="339"/>
      <c r="D25" s="467"/>
      <c r="E25" s="313"/>
      <c r="F25" s="313"/>
      <c r="G25" s="186"/>
      <c r="H25" s="186"/>
      <c r="I25" s="339"/>
      <c r="J25" s="467"/>
      <c r="K25" s="313"/>
      <c r="L25" s="313"/>
      <c r="M25" s="186"/>
      <c r="N25" s="186"/>
      <c r="O25" s="339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</row>
    <row r="26" spans="1:29" ht="15.75" hidden="1" customHeight="1" x14ac:dyDescent="0.25">
      <c r="A26" s="244"/>
      <c r="B26" s="346"/>
      <c r="C26" s="404" t="s">
        <v>181</v>
      </c>
      <c r="D26" s="468"/>
      <c r="E26" s="316"/>
      <c r="F26" s="316"/>
      <c r="G26" s="458"/>
      <c r="H26" s="458"/>
      <c r="I26" s="404"/>
      <c r="J26" s="468"/>
      <c r="K26" s="316"/>
      <c r="L26" s="316"/>
      <c r="M26" s="458"/>
      <c r="N26" s="458"/>
      <c r="O26" s="404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  <c r="AC26" s="244"/>
    </row>
    <row r="27" spans="1:29" ht="15.75" customHeight="1" x14ac:dyDescent="0.25">
      <c r="A27" s="244"/>
      <c r="B27" s="347"/>
      <c r="C27" s="410" t="s">
        <v>182</v>
      </c>
      <c r="D27" s="485">
        <f>D22+D23+D24+D26</f>
        <v>124708.89</v>
      </c>
      <c r="E27" s="348"/>
      <c r="F27" s="411">
        <f>F22+F23+F24+F26</f>
        <v>0</v>
      </c>
      <c r="G27" s="459"/>
      <c r="H27" s="411">
        <f>H22+H23+H24+H26</f>
        <v>48936.42</v>
      </c>
      <c r="I27" s="410"/>
      <c r="J27" s="485">
        <f>J22+J23+J24+J26</f>
        <v>103369</v>
      </c>
      <c r="K27" s="348"/>
      <c r="L27" s="411">
        <f>L22+L23+L24+L26</f>
        <v>0</v>
      </c>
      <c r="M27" s="459"/>
      <c r="N27" s="411">
        <f>N22+N23+N24+N26</f>
        <v>53228</v>
      </c>
      <c r="O27" s="410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</row>
    <row r="28" spans="1:29" ht="15.75" hidden="1" customHeight="1" x14ac:dyDescent="0.25">
      <c r="A28" s="244"/>
      <c r="B28" s="324"/>
      <c r="C28" s="393"/>
      <c r="D28" s="324"/>
      <c r="E28" s="372"/>
      <c r="F28" s="372"/>
      <c r="G28" s="372"/>
      <c r="H28" s="372"/>
      <c r="I28" s="373"/>
      <c r="J28" s="324"/>
      <c r="K28" s="372"/>
      <c r="L28" s="372"/>
      <c r="M28" s="372"/>
      <c r="N28" s="372"/>
      <c r="O28" s="373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</row>
    <row r="29" spans="1:29" ht="15.75" hidden="1" customHeight="1" x14ac:dyDescent="0.25">
      <c r="A29" s="244"/>
      <c r="B29" s="331"/>
      <c r="C29" s="339"/>
      <c r="D29" s="467"/>
      <c r="E29" s="332"/>
      <c r="F29" s="415"/>
      <c r="G29" s="415"/>
      <c r="H29" s="415"/>
      <c r="I29" s="486"/>
      <c r="J29" s="467"/>
      <c r="K29" s="332"/>
      <c r="L29" s="415"/>
      <c r="M29" s="415"/>
      <c r="N29" s="415"/>
      <c r="O29" s="486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244"/>
      <c r="AC29" s="244"/>
    </row>
    <row r="30" spans="1:29" ht="15.75" hidden="1" customHeight="1" x14ac:dyDescent="0.25">
      <c r="A30" s="244"/>
      <c r="B30" s="331"/>
      <c r="C30" s="339"/>
      <c r="D30" s="467"/>
      <c r="E30" s="332"/>
      <c r="F30" s="415"/>
      <c r="G30" s="415"/>
      <c r="H30" s="415"/>
      <c r="I30" s="486"/>
      <c r="J30" s="467"/>
      <c r="K30" s="332"/>
      <c r="L30" s="415"/>
      <c r="M30" s="415"/>
      <c r="N30" s="415"/>
      <c r="O30" s="486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  <c r="AC30" s="244"/>
    </row>
    <row r="31" spans="1:29" ht="15.75" hidden="1" customHeight="1" x14ac:dyDescent="0.25">
      <c r="A31" s="244"/>
      <c r="B31" s="331"/>
      <c r="C31" s="339"/>
      <c r="D31" s="467"/>
      <c r="E31" s="332"/>
      <c r="F31" s="415"/>
      <c r="G31" s="415"/>
      <c r="H31" s="415"/>
      <c r="I31" s="486"/>
      <c r="J31" s="467"/>
      <c r="K31" s="332"/>
      <c r="L31" s="415"/>
      <c r="M31" s="415"/>
      <c r="N31" s="415"/>
      <c r="O31" s="486"/>
      <c r="P31" s="244"/>
      <c r="Q31" s="244"/>
      <c r="R31" s="244"/>
      <c r="S31" s="244"/>
      <c r="T31" s="244"/>
      <c r="U31" s="244"/>
      <c r="V31" s="244"/>
      <c r="W31" s="244"/>
      <c r="X31" s="244"/>
      <c r="Y31" s="244"/>
      <c r="Z31" s="244"/>
      <c r="AA31" s="244"/>
      <c r="AB31" s="244"/>
      <c r="AC31" s="244"/>
    </row>
    <row r="32" spans="1:29" ht="15.75" hidden="1" customHeight="1" x14ac:dyDescent="0.25">
      <c r="A32" s="244"/>
      <c r="B32" s="331"/>
      <c r="C32" s="339"/>
      <c r="D32" s="467"/>
      <c r="E32" s="332"/>
      <c r="F32" s="415"/>
      <c r="G32" s="415"/>
      <c r="H32" s="415"/>
      <c r="I32" s="486"/>
      <c r="J32" s="467"/>
      <c r="K32" s="332"/>
      <c r="L32" s="415"/>
      <c r="M32" s="415"/>
      <c r="N32" s="415"/>
      <c r="O32" s="486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</row>
    <row r="33" spans="1:29" ht="15.75" hidden="1" customHeight="1" x14ac:dyDescent="0.25">
      <c r="A33" s="244"/>
      <c r="B33" s="331"/>
      <c r="C33" s="339"/>
      <c r="D33" s="467"/>
      <c r="E33" s="332"/>
      <c r="F33" s="415"/>
      <c r="G33" s="415"/>
      <c r="H33" s="415"/>
      <c r="I33" s="486"/>
      <c r="J33" s="467"/>
      <c r="K33" s="332"/>
      <c r="L33" s="415"/>
      <c r="M33" s="415"/>
      <c r="N33" s="415"/>
      <c r="O33" s="486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  <c r="AC33" s="244"/>
    </row>
    <row r="34" spans="1:29" ht="15.75" hidden="1" customHeight="1" x14ac:dyDescent="0.25">
      <c r="A34" s="244"/>
      <c r="B34" s="331"/>
      <c r="C34" s="339"/>
      <c r="D34" s="467"/>
      <c r="E34" s="332"/>
      <c r="F34" s="415"/>
      <c r="G34" s="415"/>
      <c r="H34" s="415"/>
      <c r="I34" s="486"/>
      <c r="J34" s="467"/>
      <c r="K34" s="332"/>
      <c r="L34" s="415"/>
      <c r="M34" s="415"/>
      <c r="N34" s="415"/>
      <c r="O34" s="486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</row>
    <row r="35" spans="1:29" ht="15.75" hidden="1" customHeight="1" x14ac:dyDescent="0.25">
      <c r="A35" s="244"/>
      <c r="B35" s="331"/>
      <c r="C35" s="339"/>
      <c r="D35" s="467"/>
      <c r="E35" s="332"/>
      <c r="F35" s="415"/>
      <c r="G35" s="415"/>
      <c r="H35" s="415"/>
      <c r="I35" s="486"/>
      <c r="J35" s="467"/>
      <c r="K35" s="332"/>
      <c r="L35" s="415"/>
      <c r="M35" s="415"/>
      <c r="N35" s="415"/>
      <c r="O35" s="48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</row>
    <row r="36" spans="1:29" ht="15.75" customHeight="1" x14ac:dyDescent="0.25">
      <c r="A36" s="244"/>
      <c r="B36" s="270"/>
      <c r="C36" s="271"/>
      <c r="D36" s="467"/>
      <c r="E36" s="313"/>
      <c r="F36" s="186"/>
      <c r="G36" s="186"/>
      <c r="H36" s="186"/>
      <c r="I36" s="339"/>
      <c r="J36" s="467"/>
      <c r="K36" s="313"/>
      <c r="L36" s="186"/>
      <c r="M36" s="186"/>
      <c r="N36" s="186"/>
      <c r="O36" s="339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244"/>
    </row>
    <row r="37" spans="1:29" ht="15.75" customHeight="1" x14ac:dyDescent="0.25">
      <c r="A37" s="244"/>
      <c r="B37" s="985" t="s">
        <v>186</v>
      </c>
      <c r="C37" s="986"/>
      <c r="D37" s="467"/>
      <c r="E37" s="313"/>
      <c r="F37" s="186"/>
      <c r="G37" s="186"/>
      <c r="H37" s="186"/>
      <c r="I37" s="339"/>
      <c r="J37" s="467"/>
      <c r="K37" s="313"/>
      <c r="L37" s="186"/>
      <c r="M37" s="186"/>
      <c r="N37" s="186"/>
      <c r="O37" s="339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</row>
    <row r="38" spans="1:29" ht="15.75" customHeight="1" x14ac:dyDescent="0.25">
      <c r="A38" s="244"/>
      <c r="B38" s="270" t="s">
        <v>28</v>
      </c>
      <c r="C38" s="339"/>
      <c r="D38" s="467"/>
      <c r="E38" s="313"/>
      <c r="F38" s="186"/>
      <c r="G38" s="186"/>
      <c r="H38" s="186"/>
      <c r="I38" s="339"/>
      <c r="J38" s="467"/>
      <c r="K38" s="313"/>
      <c r="L38" s="186"/>
      <c r="M38" s="186"/>
      <c r="N38" s="186"/>
      <c r="O38" s="339"/>
      <c r="P38" s="244"/>
      <c r="Q38" s="244"/>
      <c r="R38" s="244"/>
      <c r="S38" s="244"/>
      <c r="T38" s="244"/>
      <c r="U38" s="244"/>
      <c r="V38" s="244"/>
      <c r="W38" s="244"/>
      <c r="X38" s="244"/>
      <c r="Y38" s="244"/>
      <c r="Z38" s="244"/>
      <c r="AA38" s="244"/>
      <c r="AB38" s="244"/>
      <c r="AC38" s="244"/>
    </row>
    <row r="39" spans="1:29" ht="15.75" customHeight="1" x14ac:dyDescent="0.25">
      <c r="A39" s="244"/>
      <c r="B39" s="331"/>
      <c r="C39" s="423" t="s">
        <v>187</v>
      </c>
      <c r="D39" s="467"/>
      <c r="E39" s="313"/>
      <c r="F39" s="186"/>
      <c r="G39" s="186"/>
      <c r="H39" s="186"/>
      <c r="I39" s="339"/>
      <c r="J39" s="467"/>
      <c r="K39" s="313"/>
      <c r="L39" s="186"/>
      <c r="M39" s="186"/>
      <c r="N39" s="186"/>
      <c r="O39" s="339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B39" s="244"/>
      <c r="AC39" s="244"/>
    </row>
    <row r="40" spans="1:29" ht="15.75" customHeight="1" x14ac:dyDescent="0.25">
      <c r="A40" s="244"/>
      <c r="B40" s="331"/>
      <c r="C40" s="339" t="s">
        <v>188</v>
      </c>
      <c r="D40" s="467">
        <f>'MSBC CK Allocation'!C37</f>
        <v>89732.440421975887</v>
      </c>
      <c r="E40" s="467">
        <f>'MSBC CK Allocation'!D37</f>
        <v>121783.14403456055</v>
      </c>
      <c r="F40" s="467">
        <f>'MSBC CK Allocation'!E37</f>
        <v>0</v>
      </c>
      <c r="G40" s="467">
        <f>'MSBC CK Allocation'!F37</f>
        <v>0</v>
      </c>
      <c r="H40" s="467">
        <f>'MSBC CK Allocation'!G37</f>
        <v>0</v>
      </c>
      <c r="I40" s="467">
        <f>'MSBC CK Allocation'!H37</f>
        <v>0</v>
      </c>
      <c r="J40" s="467">
        <f>'MSBC CK Allocation'!D37</f>
        <v>121783.14403456055</v>
      </c>
      <c r="K40" s="332"/>
      <c r="L40" s="186"/>
      <c r="M40" s="186"/>
      <c r="N40" s="415"/>
      <c r="O40" s="339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</row>
    <row r="41" spans="1:29" ht="15.75" customHeight="1" x14ac:dyDescent="0.25">
      <c r="A41" s="244"/>
      <c r="B41" s="331"/>
      <c r="C41" s="339" t="s">
        <v>189</v>
      </c>
      <c r="D41" s="467">
        <v>64451.783199843565</v>
      </c>
      <c r="E41" s="313"/>
      <c r="F41" s="186"/>
      <c r="G41" s="186"/>
      <c r="H41" s="415"/>
      <c r="I41" s="339"/>
      <c r="J41" s="467">
        <v>58135.18</v>
      </c>
      <c r="K41" s="313"/>
      <c r="L41" s="186"/>
      <c r="M41" s="186"/>
      <c r="N41" s="415"/>
      <c r="O41" s="339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  <c r="AC41" s="244"/>
    </row>
    <row r="42" spans="1:29" ht="15.75" customHeight="1" x14ac:dyDescent="0.25">
      <c r="A42" s="244"/>
      <c r="B42" s="331"/>
      <c r="C42" s="339" t="s">
        <v>22</v>
      </c>
      <c r="D42" s="467"/>
      <c r="E42" s="313"/>
      <c r="F42" s="186"/>
      <c r="G42" s="186"/>
      <c r="H42" s="415"/>
      <c r="I42" s="339"/>
      <c r="J42" s="467"/>
      <c r="K42" s="313"/>
      <c r="L42" s="186"/>
      <c r="M42" s="186"/>
      <c r="N42" s="415"/>
      <c r="O42" s="339"/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244"/>
      <c r="AA42" s="244"/>
      <c r="AB42" s="244"/>
      <c r="AC42" s="244"/>
    </row>
    <row r="43" spans="1:29" ht="15.75" customHeight="1" x14ac:dyDescent="0.25">
      <c r="A43" s="244"/>
      <c r="B43" s="331"/>
      <c r="C43" s="339" t="s">
        <v>190</v>
      </c>
      <c r="D43" s="467">
        <f>'Calculation Sheet for GST on Pu'!C29</f>
        <v>2709.3949064602743</v>
      </c>
      <c r="E43" s="467">
        <f>'Calculation Sheet for GST on Pu'!D29</f>
        <v>2391.0628174263834</v>
      </c>
      <c r="F43" s="467">
        <f>'Calculation Sheet for GST on Pu'!E29</f>
        <v>0</v>
      </c>
      <c r="G43" s="467">
        <f>'Calculation Sheet for GST on Pu'!F29</f>
        <v>0</v>
      </c>
      <c r="H43" s="467">
        <f>'Calculation Sheet for GST on Pu'!G29</f>
        <v>0</v>
      </c>
      <c r="I43" s="467">
        <f>'Calculation Sheet for GST on Pu'!H29</f>
        <v>0</v>
      </c>
      <c r="J43" s="467">
        <f>'Calculation Sheet for GST on Pu'!D29</f>
        <v>2391.0628174263834</v>
      </c>
      <c r="K43" s="313"/>
      <c r="L43" s="186"/>
      <c r="M43" s="186"/>
      <c r="N43" s="415"/>
      <c r="O43" s="339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</row>
    <row r="44" spans="1:29" ht="15.75" customHeight="1" x14ac:dyDescent="0.25">
      <c r="A44" s="244"/>
      <c r="B44" s="331"/>
      <c r="C44" s="339" t="s">
        <v>191</v>
      </c>
      <c r="D44" s="467">
        <f>SUM(D40:D43)</f>
        <v>156893.61852827974</v>
      </c>
      <c r="E44" s="332">
        <f>D44/D$27</f>
        <v>1.2580788629285349</v>
      </c>
      <c r="F44" s="758">
        <f>SUM(F40:F43)</f>
        <v>0</v>
      </c>
      <c r="G44" s="186"/>
      <c r="H44" s="758">
        <f>SUM(H40:H43)</f>
        <v>0</v>
      </c>
      <c r="I44" s="339"/>
      <c r="J44" s="467">
        <f>SUM(J40:J43)</f>
        <v>182309.38685198693</v>
      </c>
      <c r="K44" s="332">
        <f>J44/J$27</f>
        <v>1.7636756363318493</v>
      </c>
      <c r="L44" s="186">
        <f>SUM(L40:L43)</f>
        <v>0</v>
      </c>
      <c r="M44" s="186"/>
      <c r="N44" s="758">
        <f>SUM(N40:N43)</f>
        <v>0</v>
      </c>
      <c r="O44" s="339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</row>
    <row r="45" spans="1:29" ht="15.75" customHeight="1" x14ac:dyDescent="0.25">
      <c r="A45" s="244"/>
      <c r="B45" s="346"/>
      <c r="C45" s="404" t="s">
        <v>192</v>
      </c>
      <c r="D45" s="468">
        <v>8754</v>
      </c>
      <c r="E45" s="316"/>
      <c r="F45" s="458"/>
      <c r="G45" s="458"/>
      <c r="H45" s="458"/>
      <c r="I45" s="404"/>
      <c r="J45" s="468">
        <v>668</v>
      </c>
      <c r="K45" s="316"/>
      <c r="L45" s="458"/>
      <c r="M45" s="458"/>
      <c r="N45" s="458"/>
      <c r="O45" s="404"/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</row>
    <row r="46" spans="1:29" ht="15.75" customHeight="1" x14ac:dyDescent="0.25">
      <c r="A46" s="244"/>
      <c r="B46" s="551"/>
      <c r="C46" s="552" t="s">
        <v>193</v>
      </c>
      <c r="D46" s="257">
        <f>D44+D45</f>
        <v>165647.61852827974</v>
      </c>
      <c r="E46" s="322">
        <f>D46/D$27</f>
        <v>1.3282743397706429</v>
      </c>
      <c r="F46" s="553">
        <f>F44+F45</f>
        <v>0</v>
      </c>
      <c r="G46" s="553"/>
      <c r="H46" s="553">
        <f>H44+H45</f>
        <v>0</v>
      </c>
      <c r="I46" s="552"/>
      <c r="J46" s="257">
        <f>J44+J45</f>
        <v>182977.38685198693</v>
      </c>
      <c r="K46" s="322">
        <f>J46/J$27</f>
        <v>1.7701379219300459</v>
      </c>
      <c r="L46" s="553">
        <f>L44+L45</f>
        <v>0</v>
      </c>
      <c r="M46" s="553"/>
      <c r="N46" s="553">
        <f>N44+N45</f>
        <v>0</v>
      </c>
      <c r="O46" s="552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6"/>
      <c r="AB46" s="246"/>
      <c r="AC46" s="246"/>
    </row>
    <row r="47" spans="1:29" ht="15.75" customHeight="1" x14ac:dyDescent="0.25">
      <c r="A47" s="244"/>
      <c r="B47" s="777"/>
      <c r="C47" s="778" t="s">
        <v>32</v>
      </c>
      <c r="D47" s="367">
        <f>D27-D46</f>
        <v>-40938.728528279738</v>
      </c>
      <c r="E47" s="367"/>
      <c r="F47" s="777"/>
      <c r="G47" s="777"/>
      <c r="H47" s="777"/>
      <c r="I47" s="777"/>
      <c r="J47" s="367">
        <f>J27-J46</f>
        <v>-79608.386851986928</v>
      </c>
      <c r="K47" s="779"/>
      <c r="L47" s="780"/>
      <c r="M47" s="780"/>
      <c r="N47" s="780"/>
      <c r="O47" s="781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</row>
    <row r="48" spans="1:29" ht="15.75" customHeight="1" x14ac:dyDescent="0.25">
      <c r="A48" s="244"/>
      <c r="B48" s="371"/>
      <c r="C48" s="782" t="s">
        <v>194</v>
      </c>
      <c r="D48" s="466"/>
      <c r="E48" s="372"/>
      <c r="F48" s="560"/>
      <c r="G48" s="560"/>
      <c r="H48" s="412">
        <f t="shared" ref="H48:H54" si="2">D48-F48</f>
        <v>0</v>
      </c>
      <c r="I48" s="393"/>
      <c r="J48" s="466"/>
      <c r="K48" s="313"/>
      <c r="L48" s="186"/>
      <c r="M48" s="186"/>
      <c r="N48" s="415">
        <f t="shared" ref="N48:N54" si="3">J48-L48</f>
        <v>0</v>
      </c>
      <c r="O48" s="339"/>
      <c r="P48" s="244"/>
      <c r="Q48" s="244"/>
      <c r="R48" s="244"/>
      <c r="S48" s="244"/>
      <c r="T48" s="244"/>
      <c r="U48" s="244"/>
      <c r="V48" s="244"/>
      <c r="W48" s="244"/>
      <c r="X48" s="244"/>
      <c r="Y48" s="244"/>
      <c r="Z48" s="244"/>
      <c r="AA48" s="244"/>
      <c r="AB48" s="244"/>
      <c r="AC48" s="244"/>
    </row>
    <row r="49" spans="1:29" ht="15.75" customHeight="1" x14ac:dyDescent="0.25">
      <c r="A49" s="244"/>
      <c r="B49" s="331"/>
      <c r="C49" s="339" t="s">
        <v>195</v>
      </c>
      <c r="D49" s="467"/>
      <c r="E49" s="313"/>
      <c r="F49" s="758"/>
      <c r="G49" s="186"/>
      <c r="H49" s="415">
        <f t="shared" si="2"/>
        <v>0</v>
      </c>
      <c r="I49" s="339"/>
      <c r="J49" s="467"/>
      <c r="K49" s="313"/>
      <c r="L49" s="758"/>
      <c r="M49" s="186"/>
      <c r="N49" s="415">
        <f t="shared" si="3"/>
        <v>0</v>
      </c>
      <c r="O49" s="339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</row>
    <row r="50" spans="1:29" ht="15.75" customHeight="1" x14ac:dyDescent="0.25">
      <c r="A50" s="244"/>
      <c r="B50" s="331"/>
      <c r="C50" s="339" t="s">
        <v>196</v>
      </c>
      <c r="D50" s="467"/>
      <c r="E50" s="313"/>
      <c r="F50" s="186"/>
      <c r="G50" s="186"/>
      <c r="H50" s="415">
        <f t="shared" si="2"/>
        <v>0</v>
      </c>
      <c r="I50" s="339"/>
      <c r="J50" s="467"/>
      <c r="K50" s="313"/>
      <c r="L50" s="186"/>
      <c r="M50" s="186"/>
      <c r="N50" s="415">
        <f t="shared" si="3"/>
        <v>0</v>
      </c>
      <c r="O50" s="339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</row>
    <row r="51" spans="1:29" ht="15.75" customHeight="1" x14ac:dyDescent="0.25">
      <c r="A51" s="244"/>
      <c r="B51" s="331"/>
      <c r="C51" s="339" t="s">
        <v>266</v>
      </c>
      <c r="D51" s="467"/>
      <c r="E51" s="313"/>
      <c r="F51" s="186"/>
      <c r="G51" s="186"/>
      <c r="H51" s="415">
        <f t="shared" si="2"/>
        <v>0</v>
      </c>
      <c r="I51" s="339"/>
      <c r="J51" s="467"/>
      <c r="K51" s="313"/>
      <c r="L51" s="186"/>
      <c r="M51" s="186"/>
      <c r="N51" s="415">
        <f t="shared" si="3"/>
        <v>0</v>
      </c>
      <c r="O51" s="339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</row>
    <row r="52" spans="1:29" ht="15.75" customHeight="1" x14ac:dyDescent="0.25">
      <c r="A52" s="244"/>
      <c r="B52" s="331"/>
      <c r="C52" s="339" t="s">
        <v>197</v>
      </c>
      <c r="D52" s="467"/>
      <c r="E52" s="313"/>
      <c r="F52" s="186"/>
      <c r="G52" s="186"/>
      <c r="H52" s="415">
        <f t="shared" si="2"/>
        <v>0</v>
      </c>
      <c r="I52" s="339"/>
      <c r="J52" s="467"/>
      <c r="K52" s="313"/>
      <c r="L52" s="186"/>
      <c r="M52" s="186"/>
      <c r="N52" s="415">
        <f t="shared" si="3"/>
        <v>0</v>
      </c>
      <c r="O52" s="339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  <c r="AA52" s="244"/>
      <c r="AB52" s="244"/>
      <c r="AC52" s="244"/>
    </row>
    <row r="53" spans="1:29" ht="15.75" customHeight="1" x14ac:dyDescent="0.25">
      <c r="A53" s="244"/>
      <c r="B53" s="331"/>
      <c r="C53" s="339" t="s">
        <v>198</v>
      </c>
      <c r="D53" s="467"/>
      <c r="E53" s="313"/>
      <c r="F53" s="186"/>
      <c r="G53" s="186"/>
      <c r="H53" s="415">
        <f t="shared" si="2"/>
        <v>0</v>
      </c>
      <c r="I53" s="339"/>
      <c r="J53" s="467"/>
      <c r="K53" s="313"/>
      <c r="L53" s="186"/>
      <c r="M53" s="186"/>
      <c r="N53" s="415">
        <f t="shared" si="3"/>
        <v>0</v>
      </c>
      <c r="O53" s="339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  <c r="AC53" s="244"/>
    </row>
    <row r="54" spans="1:29" ht="15.75" customHeight="1" x14ac:dyDescent="0.25">
      <c r="A54" s="244"/>
      <c r="B54" s="331"/>
      <c r="C54" s="339" t="s">
        <v>199</v>
      </c>
      <c r="D54" s="467"/>
      <c r="E54" s="313"/>
      <c r="F54" s="186"/>
      <c r="G54" s="186"/>
      <c r="H54" s="415">
        <f t="shared" si="2"/>
        <v>0</v>
      </c>
      <c r="I54" s="339"/>
      <c r="J54" s="467"/>
      <c r="K54" s="313"/>
      <c r="L54" s="186"/>
      <c r="M54" s="186"/>
      <c r="N54" s="415">
        <f t="shared" si="3"/>
        <v>0</v>
      </c>
      <c r="O54" s="339"/>
      <c r="P54" s="244"/>
      <c r="Q54" s="244"/>
      <c r="R54" s="244"/>
      <c r="S54" s="244"/>
      <c r="T54" s="244"/>
      <c r="U54" s="244"/>
      <c r="V54" s="244"/>
      <c r="W54" s="244"/>
      <c r="X54" s="244"/>
      <c r="Y54" s="244"/>
      <c r="Z54" s="244"/>
      <c r="AA54" s="244"/>
      <c r="AB54" s="244"/>
      <c r="AC54" s="244"/>
    </row>
    <row r="55" spans="1:29" ht="15.75" customHeight="1" x14ac:dyDescent="0.25">
      <c r="A55" s="244"/>
      <c r="B55" s="331"/>
      <c r="C55" s="339" t="s">
        <v>200</v>
      </c>
      <c r="D55" s="509">
        <f>SUM(D49:D54)</f>
        <v>0</v>
      </c>
      <c r="E55" s="733"/>
      <c r="F55" s="448">
        <f>SUM(F49:F54)</f>
        <v>0</v>
      </c>
      <c r="G55" s="454"/>
      <c r="H55" s="448">
        <f>SUM(H49:H54)</f>
        <v>0</v>
      </c>
      <c r="I55" s="455"/>
      <c r="J55" s="509">
        <f>SUM(J49:J54)</f>
        <v>0</v>
      </c>
      <c r="K55" s="313"/>
      <c r="L55" s="415">
        <f>SUM(L49:L54)</f>
        <v>0</v>
      </c>
      <c r="M55" s="186"/>
      <c r="N55" s="415">
        <f>SUM(N49:N54)</f>
        <v>0</v>
      </c>
      <c r="O55" s="339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</row>
    <row r="56" spans="1:29" ht="15.75" customHeight="1" x14ac:dyDescent="0.25">
      <c r="A56" s="244"/>
      <c r="B56" s="963" t="s">
        <v>204</v>
      </c>
      <c r="C56" s="964"/>
      <c r="D56" s="468"/>
      <c r="E56" s="316"/>
      <c r="F56" s="458"/>
      <c r="G56" s="458"/>
      <c r="H56" s="458"/>
      <c r="I56" s="404"/>
      <c r="J56" s="468"/>
      <c r="K56" s="316"/>
      <c r="L56" s="458"/>
      <c r="M56" s="458"/>
      <c r="N56" s="458"/>
      <c r="O56" s="404"/>
      <c r="P56" s="244"/>
      <c r="Q56" s="244"/>
      <c r="R56" s="244"/>
      <c r="S56" s="244"/>
      <c r="T56" s="244"/>
      <c r="U56" s="244"/>
      <c r="V56" s="244"/>
      <c r="W56" s="244"/>
      <c r="X56" s="244"/>
      <c r="Y56" s="244"/>
      <c r="Z56" s="244"/>
      <c r="AA56" s="244"/>
      <c r="AB56" s="244"/>
      <c r="AC56" s="244"/>
    </row>
    <row r="57" spans="1:29" ht="15.75" customHeight="1" x14ac:dyDescent="0.25">
      <c r="A57" s="244"/>
      <c r="B57" s="347"/>
      <c r="C57" s="498" t="s">
        <v>205</v>
      </c>
      <c r="D57" s="485">
        <f>SUM(D58:D63)</f>
        <v>38620.46</v>
      </c>
      <c r="E57" s="321">
        <f t="shared" ref="E57:E60" si="4">D57/D$27</f>
        <v>0.30968489896750745</v>
      </c>
      <c r="F57" s="411">
        <f>SUM(F58:F63)</f>
        <v>0</v>
      </c>
      <c r="G57" s="321" t="e">
        <f t="shared" ref="G57:G60" si="5">F57/F$27</f>
        <v>#DIV/0!</v>
      </c>
      <c r="H57" s="411">
        <f>SUM(H58:H63)</f>
        <v>35851.46</v>
      </c>
      <c r="I57" s="323">
        <f t="shared" ref="I57:I60" si="6">H57/H$27</f>
        <v>0.73261305179250957</v>
      </c>
      <c r="J57" s="485">
        <f>SUM(J58:J63)</f>
        <v>4563</v>
      </c>
      <c r="K57" s="321">
        <f t="shared" ref="K57:K60" si="7">J57/J$27</f>
        <v>4.4142828120616436E-2</v>
      </c>
      <c r="L57" s="411">
        <f>SUM(L58:L63)</f>
        <v>0</v>
      </c>
      <c r="M57" s="321" t="e">
        <f t="shared" ref="M57:M60" si="8">L57/L$27</f>
        <v>#DIV/0!</v>
      </c>
      <c r="N57" s="411">
        <f>SUM(N58:N63)</f>
        <v>2428</v>
      </c>
      <c r="O57" s="323">
        <f t="shared" ref="O57:O60" si="9">N57/N$27</f>
        <v>4.5615089802359662E-2</v>
      </c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</row>
    <row r="58" spans="1:29" ht="15.75" customHeight="1" x14ac:dyDescent="0.25">
      <c r="A58" s="244"/>
      <c r="B58" s="371"/>
      <c r="C58" s="393" t="s">
        <v>268</v>
      </c>
      <c r="D58" s="466">
        <v>2769</v>
      </c>
      <c r="E58" s="326">
        <f t="shared" si="4"/>
        <v>2.2203709775622252E-2</v>
      </c>
      <c r="F58" s="412"/>
      <c r="G58" s="326" t="e">
        <f t="shared" si="5"/>
        <v>#DIV/0!</v>
      </c>
      <c r="H58" s="412"/>
      <c r="I58" s="330">
        <f t="shared" si="6"/>
        <v>0</v>
      </c>
      <c r="J58" s="466">
        <v>2135</v>
      </c>
      <c r="K58" s="326">
        <f t="shared" si="7"/>
        <v>2.0654161305613868E-2</v>
      </c>
      <c r="L58" s="412"/>
      <c r="M58" s="326" t="e">
        <f t="shared" si="8"/>
        <v>#DIV/0!</v>
      </c>
      <c r="N58" s="412"/>
      <c r="O58" s="330">
        <f t="shared" si="9"/>
        <v>0</v>
      </c>
      <c r="P58" s="244"/>
      <c r="Q58" s="244"/>
      <c r="R58" s="244"/>
      <c r="S58" s="244"/>
      <c r="T58" s="244"/>
      <c r="U58" s="244"/>
      <c r="V58" s="244"/>
      <c r="W58" s="244"/>
      <c r="X58" s="244"/>
      <c r="Y58" s="244"/>
      <c r="Z58" s="244"/>
      <c r="AA58" s="244"/>
      <c r="AB58" s="244"/>
      <c r="AC58" s="244"/>
    </row>
    <row r="59" spans="1:29" ht="15.75" customHeight="1" x14ac:dyDescent="0.25">
      <c r="A59" s="244"/>
      <c r="B59" s="331"/>
      <c r="C59" s="450" t="s">
        <v>269</v>
      </c>
      <c r="D59" s="265">
        <v>0</v>
      </c>
      <c r="E59" s="332">
        <f t="shared" si="4"/>
        <v>0</v>
      </c>
      <c r="F59" s="415"/>
      <c r="G59" s="332" t="e">
        <f t="shared" si="5"/>
        <v>#DIV/0!</v>
      </c>
      <c r="H59" s="415"/>
      <c r="I59" s="336">
        <f t="shared" si="6"/>
        <v>0</v>
      </c>
      <c r="J59" s="265">
        <v>0</v>
      </c>
      <c r="K59" s="332">
        <f t="shared" si="7"/>
        <v>0</v>
      </c>
      <c r="L59" s="415"/>
      <c r="M59" s="332" t="e">
        <f t="shared" si="8"/>
        <v>#DIV/0!</v>
      </c>
      <c r="N59" s="415"/>
      <c r="O59" s="336">
        <f t="shared" si="9"/>
        <v>0</v>
      </c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</row>
    <row r="60" spans="1:29" ht="15.75" customHeight="1" x14ac:dyDescent="0.25">
      <c r="A60" s="244"/>
      <c r="B60" s="331"/>
      <c r="C60" s="339" t="s">
        <v>212</v>
      </c>
      <c r="D60" s="265">
        <v>0</v>
      </c>
      <c r="E60" s="332">
        <f t="shared" si="4"/>
        <v>0</v>
      </c>
      <c r="F60" s="415"/>
      <c r="G60" s="332" t="e">
        <f t="shared" si="5"/>
        <v>#DIV/0!</v>
      </c>
      <c r="H60" s="415"/>
      <c r="I60" s="336">
        <f t="shared" si="6"/>
        <v>0</v>
      </c>
      <c r="J60" s="265">
        <v>0</v>
      </c>
      <c r="K60" s="332">
        <f t="shared" si="7"/>
        <v>0</v>
      </c>
      <c r="L60" s="415"/>
      <c r="M60" s="332" t="e">
        <f t="shared" si="8"/>
        <v>#DIV/0!</v>
      </c>
      <c r="N60" s="415"/>
      <c r="O60" s="336">
        <f t="shared" si="9"/>
        <v>0</v>
      </c>
      <c r="P60" s="244"/>
      <c r="Q60" s="244"/>
      <c r="R60" s="244"/>
      <c r="S60" s="244"/>
      <c r="T60" s="244"/>
      <c r="U60" s="244"/>
      <c r="V60" s="244"/>
      <c r="W60" s="244"/>
      <c r="X60" s="244"/>
      <c r="Y60" s="244"/>
      <c r="Z60" s="244"/>
      <c r="AA60" s="244"/>
      <c r="AB60" s="244"/>
      <c r="AC60" s="244"/>
    </row>
    <row r="61" spans="1:29" ht="15.75" customHeight="1" x14ac:dyDescent="0.25">
      <c r="A61" s="244"/>
      <c r="B61" s="331"/>
      <c r="C61" s="339" t="s">
        <v>307</v>
      </c>
      <c r="D61" s="265">
        <v>0</v>
      </c>
      <c r="E61" s="332"/>
      <c r="F61" s="415"/>
      <c r="G61" s="332"/>
      <c r="H61" s="415"/>
      <c r="I61" s="336"/>
      <c r="J61" s="265">
        <v>0</v>
      </c>
      <c r="K61" s="332"/>
      <c r="L61" s="415"/>
      <c r="M61" s="332"/>
      <c r="N61" s="415"/>
      <c r="O61" s="336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</row>
    <row r="62" spans="1:29" ht="15.75" customHeight="1" x14ac:dyDescent="0.25">
      <c r="A62" s="244"/>
      <c r="B62" s="331"/>
      <c r="C62" s="450" t="s">
        <v>345</v>
      </c>
      <c r="D62" s="265">
        <v>0</v>
      </c>
      <c r="E62" s="332">
        <f t="shared" ref="E62:E63" si="10">D62/D$27</f>
        <v>0</v>
      </c>
      <c r="F62" s="415"/>
      <c r="G62" s="332" t="e">
        <f t="shared" ref="G62:G63" si="11">F62/F$27</f>
        <v>#DIV/0!</v>
      </c>
      <c r="H62" s="415"/>
      <c r="I62" s="336">
        <f t="shared" ref="I62:I63" si="12">H62/H$27</f>
        <v>0</v>
      </c>
      <c r="J62" s="265">
        <v>0</v>
      </c>
      <c r="K62" s="332">
        <f t="shared" ref="K62:K63" si="13">J62/J$27</f>
        <v>0</v>
      </c>
      <c r="L62" s="415"/>
      <c r="M62" s="332" t="e">
        <f t="shared" ref="M62:M63" si="14">L62/L$27</f>
        <v>#DIV/0!</v>
      </c>
      <c r="N62" s="415"/>
      <c r="O62" s="336">
        <f t="shared" ref="O62:O63" si="15">N62/N$27</f>
        <v>0</v>
      </c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  <c r="AC62" s="244"/>
    </row>
    <row r="63" spans="1:29" ht="15.75" customHeight="1" x14ac:dyDescent="0.25">
      <c r="A63" s="244"/>
      <c r="B63" s="331"/>
      <c r="C63" s="339" t="s">
        <v>271</v>
      </c>
      <c r="D63" s="265">
        <f>(16818.54)+19032.92</f>
        <v>35851.46</v>
      </c>
      <c r="E63" s="332">
        <f t="shared" si="10"/>
        <v>0.2874811891918852</v>
      </c>
      <c r="F63" s="313">
        <v>0</v>
      </c>
      <c r="G63" s="332" t="e">
        <f t="shared" si="11"/>
        <v>#DIV/0!</v>
      </c>
      <c r="H63" s="415">
        <f>D63-F63</f>
        <v>35851.46</v>
      </c>
      <c r="I63" s="336">
        <f t="shared" si="12"/>
        <v>0.73261305179250957</v>
      </c>
      <c r="J63" s="265">
        <v>2428</v>
      </c>
      <c r="K63" s="332">
        <f t="shared" si="13"/>
        <v>2.3488666815002564E-2</v>
      </c>
      <c r="L63" s="313">
        <v>0</v>
      </c>
      <c r="M63" s="332" t="e">
        <f t="shared" si="14"/>
        <v>#DIV/0!</v>
      </c>
      <c r="N63" s="415">
        <f>J63-L63</f>
        <v>2428</v>
      </c>
      <c r="O63" s="336">
        <f t="shared" si="15"/>
        <v>4.5615089802359662E-2</v>
      </c>
      <c r="P63" s="244"/>
      <c r="Q63" s="244"/>
      <c r="R63" s="244"/>
      <c r="S63" s="244"/>
      <c r="T63" s="244"/>
      <c r="U63" s="244"/>
      <c r="V63" s="244"/>
      <c r="W63" s="244"/>
      <c r="X63" s="244"/>
      <c r="Y63" s="244"/>
      <c r="Z63" s="244"/>
      <c r="AA63" s="244"/>
      <c r="AB63" s="244"/>
      <c r="AC63" s="244"/>
    </row>
    <row r="64" spans="1:29" ht="15.75" customHeight="1" x14ac:dyDescent="0.25">
      <c r="A64" s="244"/>
      <c r="B64" s="346"/>
      <c r="C64" s="563"/>
      <c r="D64" s="468"/>
      <c r="E64" s="316"/>
      <c r="F64" s="458"/>
      <c r="G64" s="458"/>
      <c r="H64" s="458"/>
      <c r="I64" s="404"/>
      <c r="J64" s="468"/>
      <c r="K64" s="316"/>
      <c r="L64" s="458"/>
      <c r="M64" s="458"/>
      <c r="N64" s="458"/>
      <c r="O64" s="404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4"/>
    </row>
    <row r="65" spans="1:29" ht="15.75" customHeight="1" x14ac:dyDescent="0.25">
      <c r="A65" s="244"/>
      <c r="B65" s="347"/>
      <c r="C65" s="498" t="s">
        <v>35</v>
      </c>
      <c r="D65" s="485">
        <f>SUM(D66:D72)</f>
        <v>53013.93</v>
      </c>
      <c r="E65" s="321">
        <f>D65/D$27</f>
        <v>0.42510145026549429</v>
      </c>
      <c r="F65" s="411">
        <f>SUM(F66:F72)</f>
        <v>0</v>
      </c>
      <c r="G65" s="763" t="e">
        <f>F65/F$27</f>
        <v>#DIV/0!</v>
      </c>
      <c r="H65" s="411">
        <f>SUM(H66:H70)</f>
        <v>0</v>
      </c>
      <c r="I65" s="410"/>
      <c r="J65" s="485">
        <f>SUM(J66:J72)</f>
        <v>16021.92</v>
      </c>
      <c r="K65" s="321">
        <f>J65/J$27</f>
        <v>0.15499733962793488</v>
      </c>
      <c r="L65" s="411">
        <f>SUM(L66:L72)</f>
        <v>0</v>
      </c>
      <c r="M65" s="763" t="e">
        <f>L65/L$27</f>
        <v>#DIV/0!</v>
      </c>
      <c r="N65" s="411">
        <f>SUM(N66:N70)</f>
        <v>0</v>
      </c>
      <c r="O65" s="410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  <c r="AB65" s="246"/>
      <c r="AC65" s="246"/>
    </row>
    <row r="66" spans="1:29" ht="15.75" hidden="1" customHeight="1" x14ac:dyDescent="0.25">
      <c r="A66" s="244"/>
      <c r="B66" s="371"/>
      <c r="C66" s="393" t="s">
        <v>215</v>
      </c>
      <c r="D66" s="466"/>
      <c r="E66" s="372"/>
      <c r="F66" s="412"/>
      <c r="G66" s="560"/>
      <c r="H66" s="412"/>
      <c r="I66" s="393"/>
      <c r="J66" s="466"/>
      <c r="K66" s="372"/>
      <c r="L66" s="412"/>
      <c r="M66" s="560"/>
      <c r="N66" s="412"/>
      <c r="O66" s="393"/>
      <c r="P66" s="244"/>
      <c r="Q66" s="244"/>
      <c r="R66" s="244"/>
      <c r="S66" s="244"/>
      <c r="T66" s="244"/>
      <c r="U66" s="244"/>
      <c r="V66" s="244"/>
      <c r="W66" s="244"/>
      <c r="X66" s="244"/>
      <c r="Y66" s="244"/>
      <c r="Z66" s="244"/>
      <c r="AA66" s="244"/>
      <c r="AB66" s="244"/>
      <c r="AC66" s="244"/>
    </row>
    <row r="67" spans="1:29" ht="15.75" hidden="1" customHeight="1" x14ac:dyDescent="0.25">
      <c r="A67" s="244"/>
      <c r="B67" s="331"/>
      <c r="C67" s="339" t="s">
        <v>216</v>
      </c>
      <c r="D67" s="467"/>
      <c r="E67" s="313"/>
      <c r="F67" s="415"/>
      <c r="G67" s="186"/>
      <c r="H67" s="415"/>
      <c r="I67" s="339"/>
      <c r="J67" s="468"/>
      <c r="K67" s="313"/>
      <c r="L67" s="415"/>
      <c r="M67" s="186"/>
      <c r="N67" s="415"/>
      <c r="O67" s="339"/>
      <c r="P67" s="244"/>
      <c r="Q67" s="244"/>
      <c r="R67" s="244"/>
      <c r="S67" s="244"/>
      <c r="T67" s="244"/>
      <c r="U67" s="244"/>
      <c r="V67" s="244"/>
      <c r="W67" s="244"/>
      <c r="X67" s="244"/>
      <c r="Y67" s="244"/>
      <c r="Z67" s="244"/>
      <c r="AA67" s="244"/>
      <c r="AB67" s="244"/>
      <c r="AC67" s="244"/>
    </row>
    <row r="68" spans="1:29" ht="15.75" customHeight="1" x14ac:dyDescent="0.25">
      <c r="A68" s="244"/>
      <c r="B68" s="331"/>
      <c r="C68" s="339" t="s">
        <v>272</v>
      </c>
      <c r="D68" s="467">
        <v>7375.17</v>
      </c>
      <c r="E68" s="769">
        <f>D68/D17</f>
        <v>0.15070922637986187</v>
      </c>
      <c r="F68" s="415"/>
      <c r="G68" s="769"/>
      <c r="H68" s="415"/>
      <c r="I68" s="312"/>
      <c r="J68" s="655">
        <f>2742.62+1928.72+1553.08+1794.73</f>
        <v>8019.15</v>
      </c>
      <c r="K68" s="783">
        <f>J68/J17</f>
        <v>0.15065660930337416</v>
      </c>
      <c r="L68" s="415"/>
      <c r="M68" s="769"/>
      <c r="N68" s="415"/>
      <c r="O68" s="339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  <c r="AC68" s="244"/>
    </row>
    <row r="69" spans="1:29" ht="15.75" customHeight="1" x14ac:dyDescent="0.25">
      <c r="A69" s="244"/>
      <c r="B69" s="331"/>
      <c r="C69" s="339" t="s">
        <v>346</v>
      </c>
      <c r="D69" s="265"/>
      <c r="E69" s="769"/>
      <c r="F69" s="415"/>
      <c r="G69" s="769"/>
      <c r="H69" s="415"/>
      <c r="I69" s="339"/>
      <c r="J69" s="261"/>
      <c r="K69" s="769"/>
      <c r="L69" s="415"/>
      <c r="M69" s="769"/>
      <c r="N69" s="415"/>
      <c r="O69" s="339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  <c r="AC69" s="244"/>
    </row>
    <row r="70" spans="1:29" ht="15.75" customHeight="1" x14ac:dyDescent="0.25">
      <c r="A70" s="244"/>
      <c r="B70" s="331"/>
      <c r="C70" s="339" t="s">
        <v>308</v>
      </c>
      <c r="D70" s="265">
        <v>10258.76</v>
      </c>
      <c r="E70" s="769">
        <f>D70/D18</f>
        <v>0.14783512805640317</v>
      </c>
      <c r="F70" s="415"/>
      <c r="G70" s="769"/>
      <c r="H70" s="415"/>
      <c r="I70" s="339"/>
      <c r="J70" s="26">
        <v>7412.77</v>
      </c>
      <c r="K70" s="769">
        <f>J70/J18</f>
        <v>0.14783849544285116</v>
      </c>
      <c r="L70" s="415"/>
      <c r="M70" s="769"/>
      <c r="N70" s="415"/>
      <c r="O70" s="339"/>
      <c r="P70" s="244"/>
      <c r="Q70" s="244"/>
      <c r="R70" s="244"/>
      <c r="S70" s="244"/>
      <c r="T70" s="244"/>
      <c r="U70" s="244"/>
      <c r="V70" s="244"/>
      <c r="W70" s="244"/>
      <c r="X70" s="244"/>
      <c r="Y70" s="244"/>
      <c r="Z70" s="244"/>
      <c r="AA70" s="244"/>
      <c r="AB70" s="244"/>
      <c r="AC70" s="244"/>
    </row>
    <row r="71" spans="1:29" ht="15.75" customHeight="1" x14ac:dyDescent="0.25">
      <c r="A71" s="244"/>
      <c r="B71" s="331"/>
      <c r="C71" s="339" t="s">
        <v>347</v>
      </c>
      <c r="D71" s="265"/>
      <c r="E71" s="769"/>
      <c r="F71" s="415"/>
      <c r="G71" s="769"/>
      <c r="H71" s="415"/>
      <c r="I71" s="339"/>
      <c r="J71" s="265"/>
      <c r="K71" s="769"/>
      <c r="L71" s="415"/>
      <c r="M71" s="769"/>
      <c r="N71" s="415"/>
      <c r="O71" s="339"/>
      <c r="P71" s="244"/>
      <c r="Q71" s="244"/>
      <c r="R71" s="244"/>
      <c r="S71" s="244"/>
      <c r="T71" s="244"/>
      <c r="U71" s="244"/>
      <c r="V71" s="244"/>
      <c r="W71" s="244"/>
      <c r="X71" s="244"/>
      <c r="Y71" s="244"/>
      <c r="Z71" s="244"/>
      <c r="AA71" s="244"/>
      <c r="AB71" s="244"/>
      <c r="AC71" s="244"/>
    </row>
    <row r="72" spans="1:29" ht="15.75" customHeight="1" x14ac:dyDescent="0.25">
      <c r="A72" s="244"/>
      <c r="B72" s="331"/>
      <c r="C72" s="339" t="s">
        <v>348</v>
      </c>
      <c r="D72" s="265">
        <f>34800+580</f>
        <v>35380</v>
      </c>
      <c r="E72" s="769">
        <f>D72/D27</f>
        <v>0.283700704897622</v>
      </c>
      <c r="F72" s="415"/>
      <c r="G72" s="769"/>
      <c r="H72" s="415"/>
      <c r="I72" s="339"/>
      <c r="J72" s="261">
        <v>590</v>
      </c>
      <c r="K72" s="769">
        <f>J72/J27</f>
        <v>5.7077073397246757E-3</v>
      </c>
      <c r="L72" s="415"/>
      <c r="M72" s="769"/>
      <c r="N72" s="415"/>
      <c r="O72" s="339"/>
      <c r="P72" s="244"/>
      <c r="Q72" s="244"/>
      <c r="R72" s="244"/>
      <c r="S72" s="244"/>
      <c r="T72" s="244"/>
      <c r="U72" s="244"/>
      <c r="V72" s="244"/>
      <c r="W72" s="244"/>
      <c r="X72" s="244"/>
      <c r="Y72" s="244"/>
      <c r="Z72" s="244"/>
      <c r="AA72" s="244"/>
      <c r="AB72" s="244"/>
      <c r="AC72" s="244"/>
    </row>
    <row r="73" spans="1:29" ht="15.75" customHeight="1" x14ac:dyDescent="0.25">
      <c r="A73" s="244"/>
      <c r="B73" s="346"/>
      <c r="C73" s="404"/>
      <c r="D73" s="468"/>
      <c r="E73" s="316"/>
      <c r="F73" s="458"/>
      <c r="G73" s="458"/>
      <c r="H73" s="458"/>
      <c r="I73" s="404"/>
      <c r="J73" s="468"/>
      <c r="K73" s="316"/>
      <c r="L73" s="458"/>
      <c r="M73" s="458"/>
      <c r="N73" s="458"/>
      <c r="O73" s="404"/>
      <c r="P73" s="244"/>
      <c r="Q73" s="244"/>
      <c r="R73" s="244"/>
      <c r="S73" s="244"/>
      <c r="T73" s="244"/>
      <c r="U73" s="244"/>
      <c r="V73" s="244"/>
      <c r="W73" s="244"/>
      <c r="X73" s="244"/>
      <c r="Y73" s="244"/>
      <c r="Z73" s="244"/>
      <c r="AA73" s="244"/>
      <c r="AB73" s="244"/>
      <c r="AC73" s="244"/>
    </row>
    <row r="74" spans="1:29" ht="15.75" customHeight="1" x14ac:dyDescent="0.25">
      <c r="A74" s="244"/>
      <c r="B74" s="347"/>
      <c r="C74" s="498" t="s">
        <v>219</v>
      </c>
      <c r="D74" s="257">
        <f>SUM(D75:D78)</f>
        <v>0</v>
      </c>
      <c r="E74" s="321">
        <f>D74/D$27</f>
        <v>0</v>
      </c>
      <c r="F74" s="459">
        <f>SUM(F75:F78)</f>
        <v>0</v>
      </c>
      <c r="G74" s="763" t="e">
        <f>F74/F$27</f>
        <v>#DIV/0!</v>
      </c>
      <c r="H74" s="784">
        <f>SUM(H75:H78)</f>
        <v>0</v>
      </c>
      <c r="I74" s="410"/>
      <c r="J74" s="257">
        <f>SUM(J75:J78)</f>
        <v>0</v>
      </c>
      <c r="K74" s="321">
        <f>J74/J$27</f>
        <v>0</v>
      </c>
      <c r="L74" s="459">
        <f>SUM(L75:L78)</f>
        <v>0</v>
      </c>
      <c r="M74" s="763" t="e">
        <f>L74/L$27</f>
        <v>#DIV/0!</v>
      </c>
      <c r="N74" s="784">
        <f>SUM(N75:N78)</f>
        <v>0</v>
      </c>
      <c r="O74" s="410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  <c r="AB74" s="246"/>
      <c r="AC74" s="246"/>
    </row>
    <row r="75" spans="1:29" ht="15.75" hidden="1" customHeight="1" x14ac:dyDescent="0.25">
      <c r="A75" s="244"/>
      <c r="B75" s="371"/>
      <c r="C75" s="393" t="s">
        <v>220</v>
      </c>
      <c r="D75" s="261"/>
      <c r="E75" s="326"/>
      <c r="F75" s="560"/>
      <c r="G75" s="773"/>
      <c r="H75" s="412"/>
      <c r="I75" s="393"/>
      <c r="J75" s="261"/>
      <c r="K75" s="326"/>
      <c r="L75" s="560"/>
      <c r="M75" s="773"/>
      <c r="N75" s="412"/>
      <c r="O75" s="393"/>
      <c r="P75" s="244"/>
      <c r="Q75" s="244"/>
      <c r="R75" s="244"/>
      <c r="S75" s="244"/>
      <c r="T75" s="244"/>
      <c r="U75" s="244"/>
      <c r="V75" s="244"/>
      <c r="W75" s="244"/>
      <c r="X75" s="244"/>
      <c r="Y75" s="244"/>
      <c r="Z75" s="244"/>
      <c r="AA75" s="244"/>
      <c r="AB75" s="244"/>
      <c r="AC75" s="244"/>
    </row>
    <row r="76" spans="1:29" ht="15.75" hidden="1" customHeight="1" x14ac:dyDescent="0.25">
      <c r="A76" s="244"/>
      <c r="B76" s="331"/>
      <c r="C76" s="339" t="s">
        <v>221</v>
      </c>
      <c r="D76" s="265"/>
      <c r="E76" s="332"/>
      <c r="F76" s="186"/>
      <c r="G76" s="769"/>
      <c r="H76" s="415"/>
      <c r="I76" s="339"/>
      <c r="J76" s="265"/>
      <c r="K76" s="332"/>
      <c r="L76" s="186"/>
      <c r="M76" s="769"/>
      <c r="N76" s="415"/>
      <c r="O76" s="339"/>
      <c r="P76" s="244"/>
      <c r="Q76" s="244"/>
      <c r="R76" s="244"/>
      <c r="S76" s="244"/>
      <c r="T76" s="244"/>
      <c r="U76" s="244"/>
      <c r="V76" s="244"/>
      <c r="W76" s="244"/>
      <c r="X76" s="244"/>
      <c r="Y76" s="244"/>
      <c r="Z76" s="244"/>
      <c r="AA76" s="244"/>
      <c r="AB76" s="244"/>
      <c r="AC76" s="244"/>
    </row>
    <row r="77" spans="1:29" ht="15.75" hidden="1" customHeight="1" x14ac:dyDescent="0.25">
      <c r="A77" s="244"/>
      <c r="B77" s="331"/>
      <c r="C77" s="339" t="s">
        <v>222</v>
      </c>
      <c r="D77" s="265"/>
      <c r="E77" s="313"/>
      <c r="F77" s="186"/>
      <c r="G77" s="186"/>
      <c r="H77" s="186"/>
      <c r="I77" s="339"/>
      <c r="J77" s="265"/>
      <c r="K77" s="313"/>
      <c r="L77" s="186"/>
      <c r="M77" s="186"/>
      <c r="N77" s="186"/>
      <c r="O77" s="339"/>
      <c r="P77" s="244"/>
      <c r="Q77" s="244"/>
      <c r="R77" s="244"/>
      <c r="S77" s="244"/>
      <c r="T77" s="244"/>
      <c r="U77" s="244"/>
      <c r="V77" s="244"/>
      <c r="W77" s="244"/>
      <c r="X77" s="244"/>
      <c r="Y77" s="244"/>
      <c r="Z77" s="244"/>
      <c r="AA77" s="244"/>
      <c r="AB77" s="244"/>
      <c r="AC77" s="244"/>
    </row>
    <row r="78" spans="1:29" ht="15.75" hidden="1" customHeight="1" x14ac:dyDescent="0.25">
      <c r="A78" s="244"/>
      <c r="B78" s="331"/>
      <c r="C78" s="339" t="s">
        <v>223</v>
      </c>
      <c r="D78" s="265"/>
      <c r="E78" s="313"/>
      <c r="F78" s="186"/>
      <c r="G78" s="186"/>
      <c r="H78" s="186"/>
      <c r="I78" s="339"/>
      <c r="J78" s="265"/>
      <c r="K78" s="313"/>
      <c r="L78" s="186"/>
      <c r="M78" s="186"/>
      <c r="N78" s="186"/>
      <c r="O78" s="339"/>
      <c r="P78" s="244"/>
      <c r="Q78" s="244"/>
      <c r="R78" s="244"/>
      <c r="S78" s="244"/>
      <c r="T78" s="244"/>
      <c r="U78" s="244"/>
      <c r="V78" s="244"/>
      <c r="W78" s="244"/>
      <c r="X78" s="244"/>
      <c r="Y78" s="244"/>
      <c r="Z78" s="244"/>
      <c r="AA78" s="244"/>
      <c r="AB78" s="244"/>
      <c r="AC78" s="244"/>
    </row>
    <row r="79" spans="1:29" ht="15.75" customHeight="1" x14ac:dyDescent="0.25">
      <c r="A79" s="244"/>
      <c r="B79" s="346"/>
      <c r="C79" s="563"/>
      <c r="D79" s="276"/>
      <c r="E79" s="316"/>
      <c r="F79" s="458"/>
      <c r="G79" s="458"/>
      <c r="H79" s="458"/>
      <c r="I79" s="404"/>
      <c r="J79" s="276"/>
      <c r="K79" s="316"/>
      <c r="L79" s="458"/>
      <c r="M79" s="458"/>
      <c r="N79" s="458"/>
      <c r="O79" s="404"/>
      <c r="P79" s="244"/>
      <c r="Q79" s="244"/>
      <c r="R79" s="244"/>
      <c r="S79" s="244"/>
      <c r="T79" s="244"/>
      <c r="U79" s="244"/>
      <c r="V79" s="244"/>
      <c r="W79" s="244"/>
      <c r="X79" s="244"/>
      <c r="Y79" s="244"/>
      <c r="Z79" s="244"/>
      <c r="AA79" s="244"/>
      <c r="AB79" s="244"/>
      <c r="AC79" s="244"/>
    </row>
    <row r="80" spans="1:29" ht="15.75" customHeight="1" x14ac:dyDescent="0.25">
      <c r="A80" s="244"/>
      <c r="B80" s="497"/>
      <c r="C80" s="498" t="s">
        <v>37</v>
      </c>
      <c r="D80" s="280">
        <f>SUM(D81:D87)</f>
        <v>0</v>
      </c>
      <c r="E80" s="565">
        <f>D80/D$27</f>
        <v>0</v>
      </c>
      <c r="F80" s="475">
        <f>SUM(F81:F87)</f>
        <v>0</v>
      </c>
      <c r="G80" s="771" t="e">
        <f>F80/F$27</f>
        <v>#DIV/0!</v>
      </c>
      <c r="H80" s="475">
        <f>SUM(H81:H87)</f>
        <v>0</v>
      </c>
      <c r="I80" s="568"/>
      <c r="J80" s="280">
        <f>SUM(J81:J87)</f>
        <v>0</v>
      </c>
      <c r="K80" s="565">
        <f>J80/J$27</f>
        <v>0</v>
      </c>
      <c r="L80" s="475">
        <f>SUM(L81:L87)</f>
        <v>0</v>
      </c>
      <c r="M80" s="771" t="e">
        <f>L80/L$27</f>
        <v>#DIV/0!</v>
      </c>
      <c r="N80" s="475">
        <f>SUM(N81:N87)</f>
        <v>0</v>
      </c>
      <c r="O80" s="568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  <c r="AA80" s="246"/>
      <c r="AB80" s="246"/>
      <c r="AC80" s="246"/>
    </row>
    <row r="81" spans="1:29" ht="15.75" hidden="1" customHeight="1" x14ac:dyDescent="0.25">
      <c r="A81" s="244"/>
      <c r="B81" s="371"/>
      <c r="C81" s="393" t="s">
        <v>224</v>
      </c>
      <c r="D81" s="261"/>
      <c r="E81" s="326"/>
      <c r="F81" s="560"/>
      <c r="G81" s="773"/>
      <c r="H81" s="412"/>
      <c r="I81" s="393"/>
      <c r="J81" s="261"/>
      <c r="K81" s="326"/>
      <c r="L81" s="560"/>
      <c r="M81" s="773"/>
      <c r="N81" s="412"/>
      <c r="O81" s="393"/>
      <c r="P81" s="244"/>
      <c r="Q81" s="244"/>
      <c r="R81" s="244"/>
      <c r="S81" s="244"/>
      <c r="T81" s="244"/>
      <c r="U81" s="244"/>
      <c r="V81" s="244"/>
      <c r="W81" s="244"/>
      <c r="X81" s="244"/>
      <c r="Y81" s="244"/>
      <c r="Z81" s="244"/>
      <c r="AA81" s="244"/>
      <c r="AB81" s="244"/>
      <c r="AC81" s="244"/>
    </row>
    <row r="82" spans="1:29" ht="15.75" hidden="1" customHeight="1" x14ac:dyDescent="0.25">
      <c r="A82" s="244"/>
      <c r="B82" s="331"/>
      <c r="C82" s="339" t="s">
        <v>225</v>
      </c>
      <c r="D82" s="265"/>
      <c r="E82" s="332"/>
      <c r="F82" s="186"/>
      <c r="G82" s="769"/>
      <c r="H82" s="415"/>
      <c r="I82" s="339"/>
      <c r="J82" s="265"/>
      <c r="K82" s="332"/>
      <c r="L82" s="186"/>
      <c r="M82" s="769"/>
      <c r="N82" s="415"/>
      <c r="O82" s="339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  <c r="AA82" s="244"/>
      <c r="AB82" s="244"/>
      <c r="AC82" s="244"/>
    </row>
    <row r="83" spans="1:29" ht="15.75" hidden="1" customHeight="1" x14ac:dyDescent="0.25">
      <c r="A83" s="244"/>
      <c r="B83" s="331"/>
      <c r="C83" s="339" t="s">
        <v>226</v>
      </c>
      <c r="D83" s="265"/>
      <c r="E83" s="332"/>
      <c r="F83" s="186"/>
      <c r="G83" s="769"/>
      <c r="H83" s="415"/>
      <c r="I83" s="339"/>
      <c r="J83" s="265"/>
      <c r="K83" s="332"/>
      <c r="L83" s="186"/>
      <c r="M83" s="769"/>
      <c r="N83" s="415"/>
      <c r="O83" s="339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</row>
    <row r="84" spans="1:29" ht="15.75" hidden="1" customHeight="1" x14ac:dyDescent="0.25">
      <c r="A84" s="244"/>
      <c r="B84" s="331"/>
      <c r="C84" s="339" t="s">
        <v>228</v>
      </c>
      <c r="D84" s="265"/>
      <c r="E84" s="332"/>
      <c r="F84" s="186"/>
      <c r="G84" s="769"/>
      <c r="H84" s="415"/>
      <c r="I84" s="339"/>
      <c r="J84" s="265"/>
      <c r="K84" s="332"/>
      <c r="L84" s="186"/>
      <c r="M84" s="769"/>
      <c r="N84" s="415"/>
      <c r="O84" s="339"/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Z84" s="244"/>
      <c r="AA84" s="244"/>
      <c r="AB84" s="244"/>
      <c r="AC84" s="244"/>
    </row>
    <row r="85" spans="1:29" ht="15.75" hidden="1" customHeight="1" x14ac:dyDescent="0.25">
      <c r="A85" s="244"/>
      <c r="B85" s="331"/>
      <c r="C85" s="339" t="s">
        <v>229</v>
      </c>
      <c r="D85" s="265"/>
      <c r="E85" s="332"/>
      <c r="F85" s="186"/>
      <c r="G85" s="769"/>
      <c r="H85" s="415"/>
      <c r="I85" s="339"/>
      <c r="J85" s="265"/>
      <c r="K85" s="332"/>
      <c r="L85" s="186"/>
      <c r="M85" s="769"/>
      <c r="N85" s="415"/>
      <c r="O85" s="339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</row>
    <row r="86" spans="1:29" ht="15.75" hidden="1" customHeight="1" x14ac:dyDescent="0.25">
      <c r="A86" s="244"/>
      <c r="B86" s="331"/>
      <c r="C86" s="339" t="s">
        <v>230</v>
      </c>
      <c r="D86" s="265"/>
      <c r="E86" s="332"/>
      <c r="F86" s="186"/>
      <c r="G86" s="769"/>
      <c r="H86" s="415"/>
      <c r="I86" s="339"/>
      <c r="J86" s="265"/>
      <c r="K86" s="332"/>
      <c r="L86" s="186"/>
      <c r="M86" s="769"/>
      <c r="N86" s="415"/>
      <c r="O86" s="339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Z86" s="244"/>
      <c r="AA86" s="244"/>
      <c r="AB86" s="244"/>
      <c r="AC86" s="244"/>
    </row>
    <row r="87" spans="1:29" ht="15.75" hidden="1" customHeight="1" x14ac:dyDescent="0.25">
      <c r="A87" s="244"/>
      <c r="B87" s="331"/>
      <c r="C87" s="339" t="s">
        <v>231</v>
      </c>
      <c r="D87" s="265"/>
      <c r="E87" s="332"/>
      <c r="F87" s="186"/>
      <c r="G87" s="769"/>
      <c r="H87" s="415"/>
      <c r="I87" s="339"/>
      <c r="J87" s="265"/>
      <c r="K87" s="332"/>
      <c r="L87" s="186"/>
      <c r="M87" s="769"/>
      <c r="N87" s="415"/>
      <c r="O87" s="339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244"/>
      <c r="AB87" s="244"/>
      <c r="AC87" s="244"/>
    </row>
    <row r="88" spans="1:29" ht="15.75" customHeight="1" x14ac:dyDescent="0.25">
      <c r="A88" s="244"/>
      <c r="B88" s="331"/>
      <c r="C88" s="339" t="s">
        <v>230</v>
      </c>
      <c r="D88" s="265"/>
      <c r="E88" s="313"/>
      <c r="F88" s="186"/>
      <c r="G88" s="186"/>
      <c r="H88" s="415"/>
      <c r="I88" s="339"/>
      <c r="J88" s="265"/>
      <c r="K88" s="313"/>
      <c r="L88" s="186"/>
      <c r="M88" s="186"/>
      <c r="N88" s="415"/>
      <c r="O88" s="339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</row>
    <row r="89" spans="1:29" ht="15.75" customHeight="1" x14ac:dyDescent="0.25">
      <c r="A89" s="244"/>
      <c r="B89" s="346"/>
      <c r="C89" s="563"/>
      <c r="D89" s="276"/>
      <c r="E89" s="316"/>
      <c r="F89" s="458"/>
      <c r="G89" s="458"/>
      <c r="H89" s="458"/>
      <c r="I89" s="404"/>
      <c r="J89" s="276"/>
      <c r="K89" s="316"/>
      <c r="L89" s="458"/>
      <c r="M89" s="458"/>
      <c r="N89" s="458"/>
      <c r="O89" s="40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</row>
    <row r="90" spans="1:29" ht="15.75" customHeight="1" x14ac:dyDescent="0.25">
      <c r="A90" s="244"/>
      <c r="B90" s="497"/>
      <c r="C90" s="498" t="s">
        <v>38</v>
      </c>
      <c r="D90" s="280">
        <f>SUM(D91)</f>
        <v>0</v>
      </c>
      <c r="E90" s="565">
        <f>D90/D$27</f>
        <v>0</v>
      </c>
      <c r="F90" s="770">
        <f>SUM(F91)</f>
        <v>0</v>
      </c>
      <c r="G90" s="771" t="e">
        <f>F90/F$27</f>
        <v>#DIV/0!</v>
      </c>
      <c r="H90" s="772">
        <f>SUM(H91)</f>
        <v>0</v>
      </c>
      <c r="I90" s="568"/>
      <c r="J90" s="280">
        <f>SUM(J91)</f>
        <v>0</v>
      </c>
      <c r="K90" s="565">
        <f>J90/J$27</f>
        <v>0</v>
      </c>
      <c r="L90" s="770">
        <f>SUM(L91)</f>
        <v>0</v>
      </c>
      <c r="M90" s="771" t="e">
        <f>L90/L$27</f>
        <v>#DIV/0!</v>
      </c>
      <c r="N90" s="772">
        <f>SUM(N91)</f>
        <v>0</v>
      </c>
      <c r="O90" s="568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  <c r="AA90" s="246"/>
      <c r="AB90" s="246"/>
      <c r="AC90" s="246"/>
    </row>
    <row r="91" spans="1:29" ht="15.75" hidden="1" customHeight="1" x14ac:dyDescent="0.25">
      <c r="A91" s="244"/>
      <c r="B91" s="371"/>
      <c r="C91" s="393" t="s">
        <v>276</v>
      </c>
      <c r="D91" s="261">
        <v>0</v>
      </c>
      <c r="E91" s="326">
        <f>IFERROR((D91/D$27),"")</f>
        <v>0</v>
      </c>
      <c r="F91" s="560"/>
      <c r="G91" s="560"/>
      <c r="H91" s="412">
        <f>D91-F91</f>
        <v>0</v>
      </c>
      <c r="I91" s="393"/>
      <c r="J91" s="261">
        <v>0</v>
      </c>
      <c r="K91" s="326">
        <f>IFERROR((J91/J$27),"")</f>
        <v>0</v>
      </c>
      <c r="L91" s="560"/>
      <c r="M91" s="560"/>
      <c r="N91" s="412">
        <f>J91-L91</f>
        <v>0</v>
      </c>
      <c r="O91" s="393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</row>
    <row r="92" spans="1:29" ht="15.75" customHeight="1" x14ac:dyDescent="0.25">
      <c r="A92" s="244"/>
      <c r="B92" s="346"/>
      <c r="C92" s="404"/>
      <c r="D92" s="276"/>
      <c r="E92" s="316"/>
      <c r="F92" s="458"/>
      <c r="G92" s="458"/>
      <c r="H92" s="458"/>
      <c r="I92" s="404"/>
      <c r="J92" s="276"/>
      <c r="K92" s="316"/>
      <c r="L92" s="458"/>
      <c r="M92" s="458"/>
      <c r="N92" s="458"/>
      <c r="O92" s="40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</row>
    <row r="93" spans="1:29" ht="15.75" customHeight="1" x14ac:dyDescent="0.25">
      <c r="A93" s="244"/>
      <c r="B93" s="497"/>
      <c r="C93" s="498" t="s">
        <v>238</v>
      </c>
      <c r="D93" s="280">
        <f>SUM(D94:D95)</f>
        <v>23091</v>
      </c>
      <c r="E93" s="565">
        <f>D93/D$27</f>
        <v>0.18515921358934395</v>
      </c>
      <c r="F93" s="770">
        <f>SUM(F94:F95)</f>
        <v>0</v>
      </c>
      <c r="G93" s="771" t="e">
        <f>F93/F$27</f>
        <v>#DIV/0!</v>
      </c>
      <c r="H93" s="475">
        <f>SUM(H94:H95)</f>
        <v>0</v>
      </c>
      <c r="I93" s="568"/>
      <c r="J93" s="280">
        <f>SUM(J94:J95)</f>
        <v>23091</v>
      </c>
      <c r="K93" s="565">
        <f>J93/J$27</f>
        <v>0.2233841867484449</v>
      </c>
      <c r="L93" s="770">
        <f>SUM(L94:L95)</f>
        <v>0</v>
      </c>
      <c r="M93" s="771" t="e">
        <f>L93/L$27</f>
        <v>#DIV/0!</v>
      </c>
      <c r="N93" s="475">
        <f>SUM(N94:N95)</f>
        <v>0</v>
      </c>
      <c r="O93" s="568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  <c r="AB93" s="246"/>
      <c r="AC93" s="246"/>
    </row>
    <row r="94" spans="1:29" ht="15.75" customHeight="1" x14ac:dyDescent="0.25">
      <c r="A94" s="244"/>
      <c r="B94" s="371"/>
      <c r="C94" s="393" t="s">
        <v>239</v>
      </c>
      <c r="D94" s="261"/>
      <c r="E94" s="326"/>
      <c r="F94" s="560"/>
      <c r="G94" s="773"/>
      <c r="H94" s="412"/>
      <c r="I94" s="393"/>
      <c r="J94" s="261"/>
      <c r="K94" s="326"/>
      <c r="L94" s="560"/>
      <c r="M94" s="773"/>
      <c r="N94" s="412"/>
      <c r="O94" s="393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</row>
    <row r="95" spans="1:29" ht="15.75" customHeight="1" x14ac:dyDescent="0.25">
      <c r="A95" s="244"/>
      <c r="B95" s="331"/>
      <c r="C95" s="339" t="s">
        <v>289</v>
      </c>
      <c r="D95" s="265">
        <v>23091</v>
      </c>
      <c r="E95" s="332"/>
      <c r="F95" s="186"/>
      <c r="G95" s="769"/>
      <c r="H95" s="415"/>
      <c r="I95" s="339"/>
      <c r="J95" s="265">
        <v>23091</v>
      </c>
      <c r="K95" s="332"/>
      <c r="L95" s="186"/>
      <c r="M95" s="769"/>
      <c r="N95" s="415"/>
      <c r="O95" s="339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</row>
    <row r="96" spans="1:29" ht="15.75" customHeight="1" x14ac:dyDescent="0.25">
      <c r="A96" s="244"/>
      <c r="B96" s="346"/>
      <c r="C96" s="404"/>
      <c r="D96" s="276"/>
      <c r="E96" s="316"/>
      <c r="F96" s="458"/>
      <c r="G96" s="458"/>
      <c r="H96" s="458"/>
      <c r="I96" s="404"/>
      <c r="J96" s="276"/>
      <c r="K96" s="316"/>
      <c r="L96" s="458"/>
      <c r="M96" s="458"/>
      <c r="N96" s="458"/>
      <c r="O96" s="404"/>
      <c r="P96" s="244"/>
      <c r="Q96" s="244"/>
      <c r="R96" s="244"/>
      <c r="S96" s="244"/>
      <c r="T96" s="244"/>
      <c r="U96" s="244"/>
      <c r="V96" s="244"/>
      <c r="W96" s="244"/>
      <c r="X96" s="244"/>
      <c r="Y96" s="244"/>
      <c r="Z96" s="244"/>
      <c r="AA96" s="244"/>
      <c r="AB96" s="244"/>
      <c r="AC96" s="244"/>
    </row>
    <row r="97" spans="1:29" ht="15.75" customHeight="1" x14ac:dyDescent="0.25">
      <c r="A97" s="244"/>
      <c r="B97" s="497"/>
      <c r="C97" s="498" t="s">
        <v>40</v>
      </c>
      <c r="D97" s="280">
        <f>SUM(D98:D108)</f>
        <v>8100</v>
      </c>
      <c r="E97" s="565">
        <f>D97/D$27</f>
        <v>6.4951263699003337E-2</v>
      </c>
      <c r="F97" s="770">
        <f>SUM(F98:F108)</f>
        <v>0</v>
      </c>
      <c r="G97" s="771" t="e">
        <f>F97/F$27</f>
        <v>#DIV/0!</v>
      </c>
      <c r="H97" s="772">
        <f>SUM(H98:H108)</f>
        <v>0</v>
      </c>
      <c r="I97" s="568"/>
      <c r="J97" s="280">
        <f>SUM(J98:J108)</f>
        <v>0</v>
      </c>
      <c r="K97" s="565">
        <f>J97/J$27</f>
        <v>0</v>
      </c>
      <c r="L97" s="770">
        <f>SUM(L98:L108)</f>
        <v>0</v>
      </c>
      <c r="M97" s="771" t="e">
        <f>L97/L$27</f>
        <v>#DIV/0!</v>
      </c>
      <c r="N97" s="772">
        <f>SUM(N98:N108)</f>
        <v>0</v>
      </c>
      <c r="O97" s="568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</row>
    <row r="98" spans="1:29" ht="15.75" hidden="1" customHeight="1" x14ac:dyDescent="0.25">
      <c r="A98" s="244"/>
      <c r="B98" s="371"/>
      <c r="C98" s="393" t="s">
        <v>241</v>
      </c>
      <c r="D98" s="261"/>
      <c r="E98" s="326"/>
      <c r="F98" s="560"/>
      <c r="G98" s="773"/>
      <c r="H98" s="412"/>
      <c r="I98" s="393"/>
      <c r="J98" s="261"/>
      <c r="K98" s="326"/>
      <c r="L98" s="560"/>
      <c r="M98" s="773"/>
      <c r="N98" s="412"/>
      <c r="O98" s="393"/>
      <c r="P98" s="244"/>
      <c r="Q98" s="244"/>
      <c r="R98" s="244"/>
      <c r="S98" s="244"/>
      <c r="T98" s="244"/>
      <c r="U98" s="244"/>
      <c r="V98" s="244"/>
      <c r="W98" s="244"/>
      <c r="X98" s="244"/>
      <c r="Y98" s="244"/>
      <c r="Z98" s="244"/>
      <c r="AA98" s="244"/>
      <c r="AB98" s="244"/>
      <c r="AC98" s="244"/>
    </row>
    <row r="99" spans="1:29" ht="15.75" customHeight="1" x14ac:dyDescent="0.25">
      <c r="A99" s="244"/>
      <c r="B99" s="331"/>
      <c r="C99" s="339" t="s">
        <v>242</v>
      </c>
      <c r="D99" s="265">
        <v>8100</v>
      </c>
      <c r="E99" s="332"/>
      <c r="F99" s="186"/>
      <c r="G99" s="769"/>
      <c r="H99" s="415"/>
      <c r="I99" s="339"/>
      <c r="J99" s="265"/>
      <c r="K99" s="332"/>
      <c r="L99" s="186"/>
      <c r="M99" s="769"/>
      <c r="N99" s="415"/>
      <c r="O99" s="339"/>
      <c r="P99" s="244"/>
      <c r="Q99" s="244"/>
      <c r="R99" s="244"/>
      <c r="S99" s="244"/>
      <c r="T99" s="244"/>
      <c r="U99" s="244"/>
      <c r="V99" s="244"/>
      <c r="W99" s="244"/>
      <c r="X99" s="244"/>
      <c r="Y99" s="244"/>
      <c r="Z99" s="244"/>
      <c r="AA99" s="244"/>
      <c r="AB99" s="244"/>
      <c r="AC99" s="244"/>
    </row>
    <row r="100" spans="1:29" ht="15.75" hidden="1" customHeight="1" x14ac:dyDescent="0.25">
      <c r="A100" s="244"/>
      <c r="B100" s="331"/>
      <c r="C100" s="339" t="s">
        <v>243</v>
      </c>
      <c r="D100" s="265"/>
      <c r="E100" s="332"/>
      <c r="F100" s="186"/>
      <c r="G100" s="769"/>
      <c r="H100" s="415"/>
      <c r="I100" s="339"/>
      <c r="J100" s="265"/>
      <c r="K100" s="332"/>
      <c r="L100" s="186"/>
      <c r="M100" s="769"/>
      <c r="N100" s="415"/>
      <c r="O100" s="339"/>
      <c r="P100" s="244"/>
      <c r="Q100" s="244"/>
      <c r="R100" s="244"/>
      <c r="S100" s="244"/>
      <c r="T100" s="244"/>
      <c r="U100" s="244"/>
      <c r="V100" s="244"/>
      <c r="W100" s="244"/>
      <c r="X100" s="244"/>
      <c r="Y100" s="244"/>
      <c r="Z100" s="244"/>
      <c r="AA100" s="244"/>
      <c r="AB100" s="244"/>
      <c r="AC100" s="244"/>
    </row>
    <row r="101" spans="1:29" ht="15.75" hidden="1" customHeight="1" x14ac:dyDescent="0.25">
      <c r="A101" s="244"/>
      <c r="B101" s="331"/>
      <c r="C101" s="339" t="s">
        <v>244</v>
      </c>
      <c r="D101" s="265"/>
      <c r="E101" s="332"/>
      <c r="F101" s="186"/>
      <c r="G101" s="769"/>
      <c r="H101" s="415"/>
      <c r="I101" s="339"/>
      <c r="J101" s="265"/>
      <c r="K101" s="332"/>
      <c r="L101" s="186"/>
      <c r="M101" s="769"/>
      <c r="N101" s="415"/>
      <c r="O101" s="339"/>
      <c r="P101" s="244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  <c r="AA101" s="244"/>
      <c r="AB101" s="244"/>
      <c r="AC101" s="244"/>
    </row>
    <row r="102" spans="1:29" ht="15.75" hidden="1" customHeight="1" x14ac:dyDescent="0.25">
      <c r="A102" s="244"/>
      <c r="B102" s="331"/>
      <c r="C102" s="339" t="s">
        <v>290</v>
      </c>
      <c r="D102" s="265"/>
      <c r="E102" s="332"/>
      <c r="F102" s="186"/>
      <c r="G102" s="769"/>
      <c r="H102" s="415"/>
      <c r="I102" s="339"/>
      <c r="J102" s="265"/>
      <c r="K102" s="332"/>
      <c r="L102" s="186"/>
      <c r="M102" s="769"/>
      <c r="N102" s="415"/>
      <c r="O102" s="339"/>
      <c r="P102" s="244"/>
      <c r="Q102" s="244"/>
      <c r="R102" s="244"/>
      <c r="S102" s="244"/>
      <c r="T102" s="244"/>
      <c r="U102" s="244"/>
      <c r="V102" s="244"/>
      <c r="W102" s="244"/>
      <c r="X102" s="244"/>
      <c r="Y102" s="244"/>
      <c r="Z102" s="244"/>
      <c r="AA102" s="244"/>
      <c r="AB102" s="244"/>
      <c r="AC102" s="244"/>
    </row>
    <row r="103" spans="1:29" ht="15.75" hidden="1" customHeight="1" x14ac:dyDescent="0.25">
      <c r="A103" s="244"/>
      <c r="B103" s="331"/>
      <c r="C103" s="339" t="s">
        <v>247</v>
      </c>
      <c r="D103" s="265"/>
      <c r="E103" s="332"/>
      <c r="F103" s="186"/>
      <c r="G103" s="769"/>
      <c r="H103" s="415"/>
      <c r="I103" s="339"/>
      <c r="J103" s="265"/>
      <c r="K103" s="332"/>
      <c r="L103" s="186"/>
      <c r="M103" s="769"/>
      <c r="N103" s="415"/>
      <c r="O103" s="339"/>
      <c r="P103" s="244"/>
      <c r="Q103" s="244"/>
      <c r="R103" s="244"/>
      <c r="S103" s="244"/>
      <c r="T103" s="244"/>
      <c r="U103" s="244"/>
      <c r="V103" s="244"/>
      <c r="W103" s="244"/>
      <c r="X103" s="244"/>
      <c r="Y103" s="244"/>
      <c r="Z103" s="244"/>
      <c r="AA103" s="244"/>
      <c r="AB103" s="244"/>
      <c r="AC103" s="244"/>
    </row>
    <row r="104" spans="1:29" ht="15.75" hidden="1" customHeight="1" x14ac:dyDescent="0.25">
      <c r="A104" s="244"/>
      <c r="B104" s="331"/>
      <c r="C104" s="339" t="s">
        <v>249</v>
      </c>
      <c r="D104" s="265"/>
      <c r="E104" s="332"/>
      <c r="F104" s="186"/>
      <c r="G104" s="769"/>
      <c r="H104" s="415"/>
      <c r="I104" s="339"/>
      <c r="J104" s="265"/>
      <c r="K104" s="332"/>
      <c r="L104" s="186"/>
      <c r="M104" s="769"/>
      <c r="N104" s="415"/>
      <c r="O104" s="339"/>
      <c r="P104" s="244"/>
      <c r="Q104" s="244"/>
      <c r="R104" s="244"/>
      <c r="S104" s="244"/>
      <c r="T104" s="244"/>
      <c r="U104" s="244"/>
      <c r="V104" s="244"/>
      <c r="W104" s="244"/>
      <c r="X104" s="244"/>
      <c r="Y104" s="244"/>
      <c r="Z104" s="244"/>
      <c r="AA104" s="244"/>
      <c r="AB104" s="244"/>
      <c r="AC104" s="244"/>
    </row>
    <row r="105" spans="1:29" ht="15.75" hidden="1" customHeight="1" x14ac:dyDescent="0.25">
      <c r="A105" s="244"/>
      <c r="B105" s="331"/>
      <c r="C105" s="339" t="s">
        <v>250</v>
      </c>
      <c r="D105" s="265"/>
      <c r="E105" s="332"/>
      <c r="F105" s="186"/>
      <c r="G105" s="769"/>
      <c r="H105" s="415"/>
      <c r="I105" s="339"/>
      <c r="J105" s="265"/>
      <c r="K105" s="332"/>
      <c r="L105" s="186"/>
      <c r="M105" s="769"/>
      <c r="N105" s="415"/>
      <c r="O105" s="339"/>
      <c r="P105" s="244"/>
      <c r="Q105" s="244"/>
      <c r="R105" s="244"/>
      <c r="S105" s="244"/>
      <c r="T105" s="244"/>
      <c r="U105" s="244"/>
      <c r="V105" s="244"/>
      <c r="W105" s="244"/>
      <c r="X105" s="244"/>
      <c r="Y105" s="244"/>
      <c r="Z105" s="244"/>
      <c r="AA105" s="244"/>
      <c r="AB105" s="244"/>
      <c r="AC105" s="244"/>
    </row>
    <row r="106" spans="1:29" ht="15.75" hidden="1" customHeight="1" x14ac:dyDescent="0.25">
      <c r="A106" s="244"/>
      <c r="B106" s="331"/>
      <c r="C106" s="339" t="s">
        <v>251</v>
      </c>
      <c r="D106" s="265"/>
      <c r="E106" s="332"/>
      <c r="F106" s="186"/>
      <c r="G106" s="769"/>
      <c r="H106" s="415"/>
      <c r="I106" s="339"/>
      <c r="J106" s="265"/>
      <c r="K106" s="332"/>
      <c r="L106" s="186"/>
      <c r="M106" s="769"/>
      <c r="N106" s="415"/>
      <c r="O106" s="339"/>
      <c r="P106" s="244"/>
      <c r="Q106" s="244"/>
      <c r="R106" s="244"/>
      <c r="S106" s="244"/>
      <c r="T106" s="244"/>
      <c r="U106" s="244"/>
      <c r="V106" s="244"/>
      <c r="W106" s="244"/>
      <c r="X106" s="244"/>
      <c r="Y106" s="244"/>
      <c r="Z106" s="244"/>
      <c r="AA106" s="244"/>
      <c r="AB106" s="244"/>
      <c r="AC106" s="244"/>
    </row>
    <row r="107" spans="1:29" ht="15.75" hidden="1" customHeight="1" x14ac:dyDescent="0.25">
      <c r="A107" s="244"/>
      <c r="B107" s="331"/>
      <c r="C107" s="339" t="s">
        <v>252</v>
      </c>
      <c r="D107" s="265"/>
      <c r="E107" s="332"/>
      <c r="F107" s="186"/>
      <c r="G107" s="769"/>
      <c r="H107" s="415"/>
      <c r="I107" s="339"/>
      <c r="J107" s="265"/>
      <c r="K107" s="332"/>
      <c r="L107" s="186"/>
      <c r="M107" s="769"/>
      <c r="N107" s="415"/>
      <c r="O107" s="339"/>
      <c r="P107" s="244"/>
      <c r="Q107" s="244"/>
      <c r="R107" s="244"/>
      <c r="S107" s="244"/>
      <c r="T107" s="244"/>
      <c r="U107" s="244"/>
      <c r="V107" s="244"/>
      <c r="W107" s="244"/>
      <c r="X107" s="244"/>
      <c r="Y107" s="244"/>
      <c r="Z107" s="244"/>
      <c r="AA107" s="244"/>
      <c r="AB107" s="244"/>
      <c r="AC107" s="244"/>
    </row>
    <row r="108" spans="1:29" ht="15.75" hidden="1" customHeight="1" x14ac:dyDescent="0.25">
      <c r="A108" s="244"/>
      <c r="B108" s="331"/>
      <c r="C108" s="339" t="s">
        <v>303</v>
      </c>
      <c r="D108" s="265"/>
      <c r="E108" s="332"/>
      <c r="F108" s="186"/>
      <c r="G108" s="769"/>
      <c r="H108" s="415"/>
      <c r="I108" s="339"/>
      <c r="J108" s="265"/>
      <c r="K108" s="332"/>
      <c r="L108" s="186"/>
      <c r="M108" s="769"/>
      <c r="N108" s="415"/>
      <c r="O108" s="339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</row>
    <row r="109" spans="1:29" ht="15.75" hidden="1" customHeight="1" x14ac:dyDescent="0.25">
      <c r="A109" s="244"/>
      <c r="B109" s="331"/>
      <c r="C109" s="339" t="s">
        <v>280</v>
      </c>
      <c r="D109" s="265"/>
      <c r="E109" s="332"/>
      <c r="F109" s="186"/>
      <c r="G109" s="769"/>
      <c r="H109" s="186"/>
      <c r="I109" s="339"/>
      <c r="J109" s="265"/>
      <c r="K109" s="332"/>
      <c r="L109" s="186"/>
      <c r="M109" s="769"/>
      <c r="N109" s="186"/>
      <c r="O109" s="339"/>
      <c r="P109" s="244"/>
      <c r="Q109" s="244"/>
      <c r="R109" s="244"/>
      <c r="S109" s="244"/>
      <c r="T109" s="244"/>
      <c r="U109" s="244"/>
      <c r="V109" s="244"/>
      <c r="W109" s="244"/>
      <c r="X109" s="244"/>
      <c r="Y109" s="244"/>
      <c r="Z109" s="244"/>
      <c r="AA109" s="244"/>
      <c r="AB109" s="244"/>
      <c r="AC109" s="244"/>
    </row>
    <row r="110" spans="1:29" ht="15.75" customHeight="1" x14ac:dyDescent="0.25">
      <c r="A110" s="244"/>
      <c r="B110" s="331"/>
      <c r="C110" s="339" t="s">
        <v>247</v>
      </c>
      <c r="D110" s="265"/>
      <c r="E110" s="313"/>
      <c r="F110" s="186"/>
      <c r="G110" s="186"/>
      <c r="H110" s="186"/>
      <c r="I110" s="339"/>
      <c r="J110" s="265"/>
      <c r="K110" s="313"/>
      <c r="L110" s="186"/>
      <c r="M110" s="186"/>
      <c r="N110" s="186"/>
      <c r="O110" s="339"/>
      <c r="P110" s="244"/>
      <c r="Q110" s="244"/>
      <c r="R110" s="244"/>
      <c r="S110" s="244"/>
      <c r="T110" s="244"/>
      <c r="U110" s="244"/>
      <c r="V110" s="244"/>
      <c r="W110" s="244"/>
      <c r="X110" s="244"/>
      <c r="Y110" s="244"/>
      <c r="Z110" s="244"/>
      <c r="AA110" s="244"/>
      <c r="AB110" s="244"/>
      <c r="AC110" s="244"/>
    </row>
    <row r="111" spans="1:29" ht="15.75" customHeight="1" x14ac:dyDescent="0.25">
      <c r="A111" s="244"/>
      <c r="B111" s="346"/>
      <c r="C111" s="457"/>
      <c r="D111" s="276"/>
      <c r="E111" s="316"/>
      <c r="F111" s="458"/>
      <c r="G111" s="458"/>
      <c r="H111" s="458"/>
      <c r="I111" s="404"/>
      <c r="J111" s="276"/>
      <c r="K111" s="316"/>
      <c r="L111" s="458"/>
      <c r="M111" s="458"/>
      <c r="N111" s="458"/>
      <c r="O111" s="404"/>
      <c r="P111" s="244"/>
      <c r="Q111" s="244"/>
      <c r="R111" s="244"/>
      <c r="S111" s="244"/>
      <c r="T111" s="244"/>
      <c r="U111" s="244"/>
      <c r="V111" s="244"/>
      <c r="W111" s="244"/>
      <c r="X111" s="244"/>
      <c r="Y111" s="244"/>
      <c r="Z111" s="244"/>
      <c r="AA111" s="244"/>
      <c r="AB111" s="244"/>
      <c r="AC111" s="244"/>
    </row>
    <row r="112" spans="1:29" ht="15.75" customHeight="1" x14ac:dyDescent="0.25">
      <c r="A112" s="244"/>
      <c r="B112" s="497"/>
      <c r="C112" s="498" t="s">
        <v>41</v>
      </c>
      <c r="D112" s="280">
        <f>SUM(D113:D114)</f>
        <v>0</v>
      </c>
      <c r="E112" s="476"/>
      <c r="F112" s="475">
        <f>SUM(F113:F114)</f>
        <v>0</v>
      </c>
      <c r="G112" s="770"/>
      <c r="H112" s="475">
        <f>SUM(H113:H114)</f>
        <v>0</v>
      </c>
      <c r="I112" s="568"/>
      <c r="J112" s="280">
        <f>SUM(J113:J114)</f>
        <v>0</v>
      </c>
      <c r="K112" s="476"/>
      <c r="L112" s="475">
        <f>SUM(L113:L114)</f>
        <v>0</v>
      </c>
      <c r="M112" s="770"/>
      <c r="N112" s="475">
        <f>SUM(N113:N114)</f>
        <v>0</v>
      </c>
      <c r="O112" s="568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</row>
    <row r="113" spans="1:29" ht="15.75" hidden="1" customHeight="1" x14ac:dyDescent="0.25">
      <c r="A113" s="244"/>
      <c r="B113" s="371"/>
      <c r="C113" s="393" t="s">
        <v>253</v>
      </c>
      <c r="D113" s="261"/>
      <c r="E113" s="326">
        <f t="shared" ref="E113:E114" si="16">IFERROR((D113/D$27),"")</f>
        <v>0</v>
      </c>
      <c r="F113" s="560"/>
      <c r="G113" s="560"/>
      <c r="H113" s="412">
        <f t="shared" ref="H113:H114" si="17">D113-F113</f>
        <v>0</v>
      </c>
      <c r="I113" s="393"/>
      <c r="J113" s="261"/>
      <c r="K113" s="326">
        <f t="shared" ref="K113:K114" si="18">IFERROR((J113/J$27),"")</f>
        <v>0</v>
      </c>
      <c r="L113" s="560"/>
      <c r="M113" s="560"/>
      <c r="N113" s="412">
        <f t="shared" ref="N113:N114" si="19">J113-L113</f>
        <v>0</v>
      </c>
      <c r="O113" s="393"/>
      <c r="P113" s="244"/>
      <c r="Q113" s="244"/>
      <c r="R113" s="244"/>
      <c r="S113" s="244"/>
      <c r="T113" s="244"/>
      <c r="U113" s="244"/>
      <c r="V113" s="244"/>
      <c r="W113" s="244"/>
      <c r="X113" s="244"/>
      <c r="Y113" s="244"/>
      <c r="Z113" s="244"/>
      <c r="AA113" s="244"/>
      <c r="AB113" s="244"/>
      <c r="AC113" s="244"/>
    </row>
    <row r="114" spans="1:29" ht="15.75" hidden="1" customHeight="1" x14ac:dyDescent="0.25">
      <c r="A114" s="244"/>
      <c r="B114" s="331"/>
      <c r="C114" s="339" t="s">
        <v>292</v>
      </c>
      <c r="D114" s="265"/>
      <c r="E114" s="332">
        <f t="shared" si="16"/>
        <v>0</v>
      </c>
      <c r="F114" s="186"/>
      <c r="G114" s="186"/>
      <c r="H114" s="415">
        <f t="shared" si="17"/>
        <v>0</v>
      </c>
      <c r="I114" s="339"/>
      <c r="J114" s="265"/>
      <c r="K114" s="332">
        <f t="shared" si="18"/>
        <v>0</v>
      </c>
      <c r="L114" s="186"/>
      <c r="M114" s="186"/>
      <c r="N114" s="415">
        <f t="shared" si="19"/>
        <v>0</v>
      </c>
      <c r="O114" s="339"/>
      <c r="P114" s="244"/>
      <c r="Q114" s="244"/>
      <c r="R114" s="244"/>
      <c r="S114" s="244"/>
      <c r="T114" s="244"/>
      <c r="U114" s="244"/>
      <c r="V114" s="244"/>
      <c r="W114" s="244"/>
      <c r="X114" s="244"/>
      <c r="Y114" s="244"/>
      <c r="Z114" s="244"/>
      <c r="AA114" s="244"/>
      <c r="AB114" s="244"/>
      <c r="AC114" s="244"/>
    </row>
    <row r="115" spans="1:29" ht="15.75" customHeight="1" x14ac:dyDescent="0.25">
      <c r="A115" s="244"/>
      <c r="B115" s="346"/>
      <c r="C115" s="404"/>
      <c r="D115" s="276"/>
      <c r="E115" s="316"/>
      <c r="F115" s="458"/>
      <c r="G115" s="458"/>
      <c r="H115" s="458"/>
      <c r="I115" s="404"/>
      <c r="J115" s="276"/>
      <c r="K115" s="316"/>
      <c r="L115" s="458"/>
      <c r="M115" s="458"/>
      <c r="N115" s="458"/>
      <c r="O115" s="404"/>
      <c r="P115" s="244"/>
      <c r="Q115" s="244"/>
      <c r="R115" s="244"/>
      <c r="S115" s="244"/>
      <c r="T115" s="244"/>
      <c r="U115" s="244"/>
      <c r="V115" s="244"/>
      <c r="W115" s="244"/>
      <c r="X115" s="244"/>
      <c r="Y115" s="244"/>
      <c r="Z115" s="244"/>
      <c r="AA115" s="244"/>
      <c r="AB115" s="244"/>
      <c r="AC115" s="244"/>
    </row>
    <row r="116" spans="1:29" ht="15.75" customHeight="1" x14ac:dyDescent="0.25">
      <c r="A116" s="244"/>
      <c r="B116" s="497"/>
      <c r="C116" s="498" t="s">
        <v>42</v>
      </c>
      <c r="D116" s="280">
        <f>SUM(D117:D118)</f>
        <v>0</v>
      </c>
      <c r="E116" s="476"/>
      <c r="F116" s="770">
        <f>SUM(F117:F118)</f>
        <v>0</v>
      </c>
      <c r="G116" s="770"/>
      <c r="H116" s="772">
        <f>SUM(H117:H118)</f>
        <v>0</v>
      </c>
      <c r="I116" s="568"/>
      <c r="J116" s="280">
        <f>SUM(J117:J118)</f>
        <v>0</v>
      </c>
      <c r="K116" s="476"/>
      <c r="L116" s="770">
        <f>SUM(L117:L118)</f>
        <v>0</v>
      </c>
      <c r="M116" s="770"/>
      <c r="N116" s="772">
        <f>SUM(N117:N118)</f>
        <v>0</v>
      </c>
      <c r="O116" s="568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  <c r="AB116" s="246"/>
      <c r="AC116" s="246"/>
    </row>
    <row r="117" spans="1:29" ht="15.75" hidden="1" customHeight="1" x14ac:dyDescent="0.25">
      <c r="A117" s="244"/>
      <c r="B117" s="371"/>
      <c r="C117" s="393" t="s">
        <v>333</v>
      </c>
      <c r="D117" s="261"/>
      <c r="E117" s="326"/>
      <c r="F117" s="560"/>
      <c r="G117" s="560"/>
      <c r="H117" s="412"/>
      <c r="I117" s="393"/>
      <c r="J117" s="261"/>
      <c r="K117" s="326"/>
      <c r="L117" s="560"/>
      <c r="M117" s="560"/>
      <c r="N117" s="412"/>
      <c r="O117" s="393"/>
      <c r="P117" s="244"/>
      <c r="Q117" s="244"/>
      <c r="R117" s="244"/>
      <c r="S117" s="244"/>
      <c r="T117" s="244"/>
      <c r="U117" s="244"/>
      <c r="V117" s="244"/>
      <c r="W117" s="244"/>
      <c r="X117" s="244"/>
      <c r="Y117" s="244"/>
      <c r="Z117" s="244"/>
      <c r="AA117" s="244"/>
      <c r="AB117" s="244"/>
      <c r="AC117" s="244"/>
    </row>
    <row r="118" spans="1:29" ht="15.75" customHeight="1" x14ac:dyDescent="0.25">
      <c r="A118" s="244"/>
      <c r="B118" s="331"/>
      <c r="C118" s="339" t="s">
        <v>256</v>
      </c>
      <c r="D118" s="265"/>
      <c r="E118" s="332"/>
      <c r="F118" s="186"/>
      <c r="G118" s="186"/>
      <c r="H118" s="415"/>
      <c r="I118" s="339"/>
      <c r="J118" s="265"/>
      <c r="K118" s="332"/>
      <c r="L118" s="186"/>
      <c r="M118" s="186"/>
      <c r="N118" s="415"/>
      <c r="O118" s="339"/>
      <c r="P118" s="244"/>
      <c r="Q118" s="244"/>
      <c r="R118" s="244"/>
      <c r="S118" s="244"/>
      <c r="T118" s="244"/>
      <c r="U118" s="244"/>
      <c r="V118" s="244"/>
      <c r="W118" s="244"/>
      <c r="X118" s="244"/>
      <c r="Y118" s="244"/>
      <c r="Z118" s="244"/>
      <c r="AA118" s="244"/>
      <c r="AB118" s="244"/>
      <c r="AC118" s="244"/>
    </row>
    <row r="119" spans="1:29" ht="15.75" customHeight="1" x14ac:dyDescent="0.25">
      <c r="A119" s="244"/>
      <c r="B119" s="331"/>
      <c r="C119" s="339"/>
      <c r="D119" s="467"/>
      <c r="E119" s="313"/>
      <c r="F119" s="186"/>
      <c r="G119" s="186"/>
      <c r="H119" s="186"/>
      <c r="I119" s="339"/>
      <c r="J119" s="467"/>
      <c r="K119" s="313"/>
      <c r="L119" s="186"/>
      <c r="M119" s="186"/>
      <c r="N119" s="186"/>
      <c r="O119" s="339"/>
      <c r="P119" s="244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  <c r="AA119" s="244"/>
      <c r="AB119" s="244"/>
      <c r="AC119" s="244"/>
    </row>
    <row r="120" spans="1:29" ht="15.75" customHeight="1" x14ac:dyDescent="0.25">
      <c r="A120" s="244"/>
      <c r="B120" s="346"/>
      <c r="C120" s="404"/>
      <c r="D120" s="468"/>
      <c r="E120" s="316"/>
      <c r="F120" s="458"/>
      <c r="G120" s="458"/>
      <c r="H120" s="458"/>
      <c r="I120" s="404"/>
      <c r="J120" s="468"/>
      <c r="K120" s="316"/>
      <c r="L120" s="458"/>
      <c r="M120" s="458"/>
      <c r="N120" s="458"/>
      <c r="O120" s="404"/>
      <c r="P120" s="244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  <c r="AA120" s="244"/>
      <c r="AB120" s="244"/>
      <c r="AC120" s="244"/>
    </row>
    <row r="121" spans="1:29" ht="15.75" customHeight="1" x14ac:dyDescent="0.25">
      <c r="A121" s="244"/>
      <c r="B121" s="347"/>
      <c r="C121" s="410" t="s">
        <v>257</v>
      </c>
      <c r="D121" s="485">
        <f>D116+D112+D97+D93+D90+D80+D74+D65+D57+D55</f>
        <v>122825.38999999998</v>
      </c>
      <c r="E121" s="321">
        <f>IFERROR((D121/D$27),"")</f>
        <v>0.98489682652134891</v>
      </c>
      <c r="F121" s="411">
        <f>F116+F112+F97+F93+F90+F80+F74+F65+F57</f>
        <v>0</v>
      </c>
      <c r="G121" s="763" t="str">
        <f>IFERROR((F121/F$27),"")</f>
        <v/>
      </c>
      <c r="H121" s="411"/>
      <c r="I121" s="410"/>
      <c r="J121" s="485">
        <f>J116+J112+J97+J93+J90+J80+J74+J65+J57+J55</f>
        <v>43675.92</v>
      </c>
      <c r="K121" s="321">
        <f>IFERROR((J121/J$27),"")</f>
        <v>0.42252435449699616</v>
      </c>
      <c r="L121" s="411">
        <f>L116+L112+L97+L93+L90+L80+L74+L65+L57</f>
        <v>0</v>
      </c>
      <c r="M121" s="763" t="str">
        <f>IFERROR((L121/L$27),"")</f>
        <v/>
      </c>
      <c r="N121" s="411"/>
      <c r="O121" s="410"/>
      <c r="P121" s="244"/>
      <c r="Q121" s="244"/>
      <c r="R121" s="244"/>
      <c r="S121" s="244"/>
      <c r="T121" s="244"/>
      <c r="U121" s="244"/>
      <c r="V121" s="244"/>
      <c r="W121" s="244"/>
      <c r="X121" s="244"/>
      <c r="Y121" s="244"/>
      <c r="Z121" s="244"/>
      <c r="AA121" s="244"/>
      <c r="AB121" s="244"/>
      <c r="AC121" s="244"/>
    </row>
    <row r="122" spans="1:29" ht="15.75" customHeight="1" x14ac:dyDescent="0.25">
      <c r="A122" s="244"/>
      <c r="B122" s="354"/>
      <c r="C122" s="425"/>
      <c r="D122" s="252"/>
      <c r="E122" s="381"/>
      <c r="F122" s="570"/>
      <c r="G122" s="570"/>
      <c r="H122" s="570"/>
      <c r="I122" s="425"/>
      <c r="J122" s="252"/>
      <c r="K122" s="381"/>
      <c r="L122" s="570"/>
      <c r="M122" s="570"/>
      <c r="N122" s="570"/>
      <c r="O122" s="425"/>
      <c r="P122" s="244"/>
      <c r="Q122" s="244"/>
      <c r="R122" s="244"/>
      <c r="S122" s="244"/>
      <c r="T122" s="244"/>
      <c r="U122" s="244"/>
      <c r="V122" s="244"/>
      <c r="W122" s="244"/>
      <c r="X122" s="244"/>
      <c r="Y122" s="244"/>
      <c r="Z122" s="244"/>
      <c r="AA122" s="244"/>
      <c r="AB122" s="244"/>
      <c r="AC122" s="244"/>
    </row>
    <row r="123" spans="1:29" ht="15.75" customHeight="1" x14ac:dyDescent="0.25">
      <c r="A123" s="244"/>
      <c r="B123" s="347"/>
      <c r="C123" s="410" t="s">
        <v>258</v>
      </c>
      <c r="D123" s="485">
        <f>D47-D121</f>
        <v>-163764.11852827971</v>
      </c>
      <c r="E123" s="321">
        <f>IFERROR((D123/D$27),"")</f>
        <v>-1.3131711662919918</v>
      </c>
      <c r="F123" s="411" t="e">
        <f>#REF!-F121</f>
        <v>#REF!</v>
      </c>
      <c r="G123" s="763" t="str">
        <f>IFERROR((F123/F$27),"")</f>
        <v/>
      </c>
      <c r="H123" s="411" t="e">
        <f>#REF!-H121</f>
        <v>#REF!</v>
      </c>
      <c r="I123" s="410"/>
      <c r="J123" s="485">
        <f>J47-J121</f>
        <v>-123284.30685198693</v>
      </c>
      <c r="K123" s="321">
        <f>IFERROR((J123/J$27),"")</f>
        <v>-1.1926622764270423</v>
      </c>
      <c r="L123" s="411" t="e">
        <f>#REF!-L121</f>
        <v>#REF!</v>
      </c>
      <c r="M123" s="763" t="str">
        <f>IFERROR((L123/L$27),"")</f>
        <v/>
      </c>
      <c r="N123" s="411" t="e">
        <f>#REF!-N121</f>
        <v>#REF!</v>
      </c>
      <c r="O123" s="410"/>
      <c r="P123" s="244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  <c r="AA123" s="244"/>
      <c r="AB123" s="244"/>
      <c r="AC123" s="244"/>
    </row>
    <row r="124" spans="1:29" ht="15.75" customHeight="1" x14ac:dyDescent="0.25">
      <c r="A124" s="244"/>
      <c r="B124" s="244"/>
      <c r="C124" s="244"/>
      <c r="D124" s="244"/>
      <c r="E124" s="179"/>
      <c r="F124" s="244"/>
      <c r="G124" s="244"/>
      <c r="H124" s="244"/>
      <c r="I124" s="244"/>
      <c r="J124" s="244"/>
      <c r="K124" s="179"/>
      <c r="L124" s="244"/>
      <c r="M124" s="244"/>
      <c r="N124" s="244"/>
      <c r="O124" s="244"/>
      <c r="P124" s="244"/>
      <c r="Q124" s="244"/>
      <c r="R124" s="244"/>
      <c r="S124" s="244"/>
      <c r="T124" s="244"/>
      <c r="U124" s="244"/>
      <c r="V124" s="244"/>
      <c r="W124" s="244"/>
      <c r="X124" s="244"/>
      <c r="Y124" s="244"/>
      <c r="Z124" s="244"/>
      <c r="AA124" s="244"/>
      <c r="AB124" s="244"/>
      <c r="AC124" s="244"/>
    </row>
    <row r="125" spans="1:29" ht="15.75" customHeight="1" x14ac:dyDescent="0.25">
      <c r="A125" s="244"/>
      <c r="B125" s="244"/>
      <c r="C125" s="244"/>
      <c r="D125" s="244"/>
      <c r="E125" s="179"/>
      <c r="F125" s="244"/>
      <c r="G125" s="244"/>
      <c r="H125" s="244"/>
      <c r="I125" s="244"/>
      <c r="J125" s="244"/>
      <c r="K125" s="179"/>
      <c r="L125" s="244"/>
      <c r="M125" s="244"/>
      <c r="N125" s="244"/>
      <c r="O125" s="244"/>
      <c r="P125" s="244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  <c r="AA125" s="244"/>
      <c r="AB125" s="244"/>
      <c r="AC125" s="244"/>
    </row>
    <row r="126" spans="1:29" ht="15.75" customHeight="1" x14ac:dyDescent="0.25">
      <c r="A126" s="244"/>
      <c r="B126" s="244"/>
      <c r="C126" s="244"/>
      <c r="D126" s="244"/>
      <c r="E126" s="179"/>
      <c r="F126" s="244"/>
      <c r="G126" s="244"/>
      <c r="H126" s="244"/>
      <c r="I126" s="244"/>
      <c r="J126" s="244"/>
      <c r="K126" s="179"/>
      <c r="L126" s="244"/>
      <c r="M126" s="244"/>
      <c r="N126" s="244"/>
      <c r="O126" s="244"/>
      <c r="P126" s="244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  <c r="AA126" s="244"/>
      <c r="AB126" s="244"/>
      <c r="AC126" s="244"/>
    </row>
    <row r="127" spans="1:29" ht="15.75" customHeight="1" x14ac:dyDescent="0.25">
      <c r="A127" s="244"/>
      <c r="B127" s="244"/>
      <c r="C127" s="244"/>
      <c r="D127" s="244"/>
      <c r="E127" s="179"/>
      <c r="F127" s="244"/>
      <c r="G127" s="244"/>
      <c r="H127" s="244"/>
      <c r="I127" s="244"/>
      <c r="J127" s="244"/>
      <c r="K127" s="179"/>
      <c r="L127" s="244"/>
      <c r="M127" s="244"/>
      <c r="N127" s="244"/>
      <c r="O127" s="244"/>
      <c r="P127" s="244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  <c r="AA127" s="244"/>
      <c r="AB127" s="244"/>
      <c r="AC127" s="244"/>
    </row>
    <row r="128" spans="1:29" ht="15.75" customHeight="1" x14ac:dyDescent="0.25">
      <c r="A128" s="244"/>
      <c r="B128" s="244"/>
      <c r="C128" s="244"/>
      <c r="D128" s="246"/>
      <c r="E128" s="179"/>
      <c r="F128" s="244"/>
      <c r="G128" s="244"/>
      <c r="H128" s="244"/>
      <c r="I128" s="244"/>
      <c r="J128" s="246"/>
      <c r="K128" s="179"/>
      <c r="L128" s="244"/>
      <c r="M128" s="244"/>
      <c r="N128" s="244"/>
      <c r="O128" s="244"/>
      <c r="P128" s="244"/>
      <c r="Q128" s="244"/>
      <c r="R128" s="244"/>
      <c r="S128" s="244"/>
      <c r="T128" s="244"/>
      <c r="U128" s="244"/>
      <c r="V128" s="244"/>
      <c r="W128" s="244"/>
      <c r="X128" s="244"/>
      <c r="Y128" s="244"/>
      <c r="Z128" s="244"/>
      <c r="AA128" s="244"/>
      <c r="AB128" s="244"/>
      <c r="AC128" s="244"/>
    </row>
    <row r="129" spans="1:29" ht="15.75" customHeight="1" x14ac:dyDescent="0.25">
      <c r="A129" s="244"/>
      <c r="B129" s="244"/>
      <c r="C129" s="244"/>
      <c r="D129" s="244"/>
      <c r="E129" s="179"/>
      <c r="F129" s="244"/>
      <c r="G129" s="244"/>
      <c r="H129" s="244"/>
      <c r="I129" s="244"/>
      <c r="J129" s="244"/>
      <c r="K129" s="179"/>
      <c r="L129" s="244"/>
      <c r="M129" s="244"/>
      <c r="N129" s="244"/>
      <c r="O129" s="244"/>
      <c r="P129" s="244"/>
      <c r="Q129" s="244"/>
      <c r="R129" s="244"/>
      <c r="S129" s="244"/>
      <c r="T129" s="244"/>
      <c r="U129" s="244"/>
      <c r="V129" s="244"/>
      <c r="W129" s="244"/>
      <c r="X129" s="244"/>
      <c r="Y129" s="244"/>
      <c r="Z129" s="244"/>
      <c r="AA129" s="244"/>
      <c r="AB129" s="244"/>
      <c r="AC129" s="244"/>
    </row>
    <row r="130" spans="1:29" ht="15.75" customHeight="1" x14ac:dyDescent="0.25">
      <c r="A130" s="244"/>
      <c r="B130" s="244"/>
      <c r="C130" s="244"/>
      <c r="D130" s="244"/>
      <c r="E130" s="179"/>
      <c r="F130" s="244"/>
      <c r="G130" s="244"/>
      <c r="H130" s="244"/>
      <c r="I130" s="244"/>
      <c r="J130" s="244"/>
      <c r="K130" s="179"/>
      <c r="L130" s="244"/>
      <c r="M130" s="244"/>
      <c r="N130" s="244"/>
      <c r="O130" s="244"/>
      <c r="P130" s="244"/>
      <c r="Q130" s="244"/>
      <c r="R130" s="244"/>
      <c r="S130" s="244"/>
      <c r="T130" s="244"/>
      <c r="U130" s="244"/>
      <c r="V130" s="244"/>
      <c r="W130" s="244"/>
      <c r="X130" s="244"/>
      <c r="Y130" s="244"/>
      <c r="Z130" s="244"/>
      <c r="AA130" s="244"/>
      <c r="AB130" s="244"/>
      <c r="AC130" s="244"/>
    </row>
    <row r="131" spans="1:29" ht="15.75" customHeight="1" x14ac:dyDescent="0.25">
      <c r="A131" s="244"/>
      <c r="B131" s="244"/>
      <c r="C131" s="244"/>
      <c r="D131" s="244"/>
      <c r="E131" s="179"/>
      <c r="F131" s="244"/>
      <c r="G131" s="244"/>
      <c r="H131" s="244"/>
      <c r="I131" s="244"/>
      <c r="J131" s="244"/>
      <c r="K131" s="179"/>
      <c r="L131" s="244"/>
      <c r="M131" s="244"/>
      <c r="N131" s="244"/>
      <c r="O131" s="244"/>
      <c r="P131" s="244"/>
      <c r="Q131" s="244"/>
      <c r="R131" s="244"/>
      <c r="S131" s="244"/>
      <c r="T131" s="244"/>
      <c r="U131" s="244"/>
      <c r="V131" s="244"/>
      <c r="W131" s="244"/>
      <c r="X131" s="244"/>
      <c r="Y131" s="244"/>
      <c r="Z131" s="244"/>
      <c r="AA131" s="244"/>
      <c r="AB131" s="244"/>
      <c r="AC131" s="244"/>
    </row>
    <row r="132" spans="1:29" ht="15.75" customHeight="1" x14ac:dyDescent="0.25">
      <c r="A132" s="244"/>
      <c r="B132" s="244"/>
      <c r="C132" s="244"/>
      <c r="D132" s="244"/>
      <c r="E132" s="179"/>
      <c r="F132" s="244"/>
      <c r="G132" s="244"/>
      <c r="H132" s="244"/>
      <c r="I132" s="244"/>
      <c r="J132" s="244"/>
      <c r="K132" s="179"/>
      <c r="L132" s="244"/>
      <c r="M132" s="244"/>
      <c r="N132" s="244"/>
      <c r="O132" s="244"/>
      <c r="P132" s="244"/>
      <c r="Q132" s="244"/>
      <c r="R132" s="244"/>
      <c r="S132" s="244"/>
      <c r="T132" s="244"/>
      <c r="U132" s="244"/>
      <c r="V132" s="244"/>
      <c r="W132" s="244"/>
      <c r="X132" s="244"/>
      <c r="Y132" s="244"/>
      <c r="Z132" s="244"/>
      <c r="AA132" s="244"/>
      <c r="AB132" s="244"/>
      <c r="AC132" s="244"/>
    </row>
    <row r="133" spans="1:29" ht="15.75" customHeight="1" x14ac:dyDescent="0.25">
      <c r="A133" s="244"/>
      <c r="B133" s="244"/>
      <c r="C133" s="244"/>
      <c r="D133" s="244"/>
      <c r="E133" s="179"/>
      <c r="F133" s="244"/>
      <c r="G133" s="244"/>
      <c r="H133" s="244"/>
      <c r="I133" s="244"/>
      <c r="J133" s="244"/>
      <c r="K133" s="179"/>
      <c r="L133" s="244"/>
      <c r="M133" s="244"/>
      <c r="N133" s="244"/>
      <c r="O133" s="244"/>
      <c r="P133" s="244"/>
      <c r="Q133" s="244"/>
      <c r="R133" s="244"/>
      <c r="S133" s="244"/>
      <c r="T133" s="244"/>
      <c r="U133" s="244"/>
      <c r="V133" s="244"/>
      <c r="W133" s="244"/>
      <c r="X133" s="244"/>
      <c r="Y133" s="244"/>
      <c r="Z133" s="244"/>
      <c r="AA133" s="244"/>
      <c r="AB133" s="244"/>
      <c r="AC133" s="244"/>
    </row>
    <row r="134" spans="1:29" ht="15.75" customHeight="1" x14ac:dyDescent="0.25">
      <c r="A134" s="244"/>
      <c r="B134" s="244"/>
      <c r="C134" s="244"/>
      <c r="D134" s="244"/>
      <c r="E134" s="179"/>
      <c r="F134" s="244"/>
      <c r="G134" s="244"/>
      <c r="H134" s="244"/>
      <c r="I134" s="244"/>
      <c r="J134" s="244"/>
      <c r="K134" s="179"/>
      <c r="L134" s="244"/>
      <c r="M134" s="244"/>
      <c r="N134" s="244"/>
      <c r="O134" s="244"/>
      <c r="P134" s="244"/>
      <c r="Q134" s="244"/>
      <c r="R134" s="244"/>
      <c r="S134" s="244"/>
      <c r="T134" s="244"/>
      <c r="U134" s="244"/>
      <c r="V134" s="244"/>
      <c r="W134" s="244"/>
      <c r="X134" s="244"/>
      <c r="Y134" s="244"/>
      <c r="Z134" s="244"/>
      <c r="AA134" s="244"/>
      <c r="AB134" s="244"/>
      <c r="AC134" s="244"/>
    </row>
    <row r="135" spans="1:29" ht="15.75" customHeight="1" x14ac:dyDescent="0.25">
      <c r="A135" s="244"/>
      <c r="B135" s="244"/>
      <c r="C135" s="244"/>
      <c r="D135" s="244"/>
      <c r="E135" s="179"/>
      <c r="F135" s="244"/>
      <c r="G135" s="244"/>
      <c r="H135" s="244"/>
      <c r="I135" s="244"/>
      <c r="J135" s="244"/>
      <c r="K135" s="179"/>
      <c r="L135" s="244"/>
      <c r="M135" s="244"/>
      <c r="N135" s="244"/>
      <c r="O135" s="244"/>
      <c r="P135" s="244"/>
      <c r="Q135" s="244"/>
      <c r="R135" s="244"/>
      <c r="S135" s="244"/>
      <c r="T135" s="244"/>
      <c r="U135" s="244"/>
      <c r="V135" s="244"/>
      <c r="W135" s="244"/>
      <c r="X135" s="244"/>
      <c r="Y135" s="244"/>
      <c r="Z135" s="244"/>
      <c r="AA135" s="244"/>
      <c r="AB135" s="244"/>
      <c r="AC135" s="244"/>
    </row>
    <row r="136" spans="1:29" ht="15.75" customHeight="1" x14ac:dyDescent="0.25">
      <c r="A136" s="244"/>
      <c r="B136" s="244"/>
      <c r="C136" s="244"/>
      <c r="D136" s="244"/>
      <c r="E136" s="179"/>
      <c r="F136" s="244"/>
      <c r="G136" s="244"/>
      <c r="H136" s="244"/>
      <c r="I136" s="244"/>
      <c r="J136" s="244"/>
      <c r="K136" s="179"/>
      <c r="L136" s="244"/>
      <c r="M136" s="244"/>
      <c r="N136" s="244"/>
      <c r="O136" s="244"/>
      <c r="P136" s="244"/>
      <c r="Q136" s="244"/>
      <c r="R136" s="244"/>
      <c r="S136" s="244"/>
      <c r="T136" s="244"/>
      <c r="U136" s="244"/>
      <c r="V136" s="244"/>
      <c r="W136" s="244"/>
      <c r="X136" s="244"/>
      <c r="Y136" s="244"/>
      <c r="Z136" s="244"/>
      <c r="AA136" s="244"/>
      <c r="AB136" s="244"/>
      <c r="AC136" s="244"/>
    </row>
    <row r="137" spans="1:29" ht="15.75" customHeight="1" x14ac:dyDescent="0.25">
      <c r="A137" s="244"/>
      <c r="B137" s="244"/>
      <c r="C137" s="244"/>
      <c r="D137" s="244"/>
      <c r="E137" s="179"/>
      <c r="F137" s="244"/>
      <c r="G137" s="244"/>
      <c r="H137" s="244"/>
      <c r="I137" s="244"/>
      <c r="J137" s="244"/>
      <c r="K137" s="179"/>
      <c r="L137" s="244"/>
      <c r="M137" s="244"/>
      <c r="N137" s="244"/>
      <c r="O137" s="244"/>
      <c r="P137" s="244"/>
      <c r="Q137" s="244"/>
      <c r="R137" s="244"/>
      <c r="S137" s="244"/>
      <c r="T137" s="244"/>
      <c r="U137" s="244"/>
      <c r="V137" s="244"/>
      <c r="W137" s="244"/>
      <c r="X137" s="244"/>
      <c r="Y137" s="244"/>
      <c r="Z137" s="244"/>
      <c r="AA137" s="244"/>
      <c r="AB137" s="244"/>
      <c r="AC137" s="244"/>
    </row>
    <row r="138" spans="1:29" ht="15.75" customHeight="1" x14ac:dyDescent="0.25">
      <c r="A138" s="244"/>
      <c r="B138" s="244"/>
      <c r="C138" s="244"/>
      <c r="D138" s="244"/>
      <c r="E138" s="179"/>
      <c r="F138" s="244"/>
      <c r="G138" s="244"/>
      <c r="H138" s="244"/>
      <c r="I138" s="244"/>
      <c r="J138" s="244"/>
      <c r="K138" s="179"/>
      <c r="L138" s="244"/>
      <c r="M138" s="244"/>
      <c r="N138" s="244"/>
      <c r="O138" s="244"/>
      <c r="P138" s="244"/>
      <c r="Q138" s="244"/>
      <c r="R138" s="244"/>
      <c r="S138" s="244"/>
      <c r="T138" s="244"/>
      <c r="U138" s="244"/>
      <c r="V138" s="244"/>
      <c r="W138" s="244"/>
      <c r="X138" s="244"/>
      <c r="Y138" s="244"/>
      <c r="Z138" s="244"/>
      <c r="AA138" s="244"/>
      <c r="AB138" s="244"/>
      <c r="AC138" s="244"/>
    </row>
    <row r="139" spans="1:29" ht="15.75" customHeight="1" x14ac:dyDescent="0.25">
      <c r="A139" s="244"/>
      <c r="B139" s="244"/>
      <c r="C139" s="244"/>
      <c r="D139" s="244"/>
      <c r="E139" s="179"/>
      <c r="F139" s="244"/>
      <c r="G139" s="244"/>
      <c r="H139" s="244"/>
      <c r="I139" s="244"/>
      <c r="J139" s="244"/>
      <c r="K139" s="179"/>
      <c r="L139" s="244"/>
      <c r="M139" s="244"/>
      <c r="N139" s="244"/>
      <c r="O139" s="244"/>
      <c r="P139" s="244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  <c r="AA139" s="244"/>
      <c r="AB139" s="244"/>
      <c r="AC139" s="244"/>
    </row>
    <row r="140" spans="1:29" ht="15.75" customHeight="1" x14ac:dyDescent="0.25">
      <c r="A140" s="244"/>
      <c r="B140" s="244"/>
      <c r="C140" s="244"/>
      <c r="D140" s="244"/>
      <c r="E140" s="179"/>
      <c r="F140" s="244"/>
      <c r="G140" s="244"/>
      <c r="H140" s="244"/>
      <c r="I140" s="244"/>
      <c r="J140" s="244"/>
      <c r="K140" s="179"/>
      <c r="L140" s="244"/>
      <c r="M140" s="244"/>
      <c r="N140" s="244"/>
      <c r="O140" s="244"/>
      <c r="P140" s="244"/>
      <c r="Q140" s="244"/>
      <c r="R140" s="244"/>
      <c r="S140" s="244"/>
      <c r="T140" s="244"/>
      <c r="U140" s="244"/>
      <c r="V140" s="244"/>
      <c r="W140" s="244"/>
      <c r="X140" s="244"/>
      <c r="Y140" s="244"/>
      <c r="Z140" s="244"/>
      <c r="AA140" s="244"/>
      <c r="AB140" s="244"/>
      <c r="AC140" s="244"/>
    </row>
    <row r="141" spans="1:29" ht="15.75" customHeight="1" x14ac:dyDescent="0.25">
      <c r="A141" s="244"/>
      <c r="B141" s="244"/>
      <c r="C141" s="244"/>
      <c r="D141" s="244"/>
      <c r="E141" s="179"/>
      <c r="F141" s="244"/>
      <c r="G141" s="244"/>
      <c r="H141" s="244"/>
      <c r="I141" s="244"/>
      <c r="J141" s="244"/>
      <c r="K141" s="179"/>
      <c r="L141" s="244"/>
      <c r="M141" s="244"/>
      <c r="N141" s="244"/>
      <c r="O141" s="244"/>
      <c r="P141" s="244"/>
      <c r="Q141" s="244"/>
      <c r="R141" s="244"/>
      <c r="S141" s="244"/>
      <c r="T141" s="244"/>
      <c r="U141" s="244"/>
      <c r="V141" s="244"/>
      <c r="W141" s="244"/>
      <c r="X141" s="244"/>
      <c r="Y141" s="244"/>
      <c r="Z141" s="244"/>
      <c r="AA141" s="244"/>
      <c r="AB141" s="244"/>
      <c r="AC141" s="244"/>
    </row>
    <row r="142" spans="1:29" ht="15.75" customHeight="1" x14ac:dyDescent="0.25">
      <c r="A142" s="244"/>
      <c r="B142" s="244"/>
      <c r="C142" s="244"/>
      <c r="D142" s="244"/>
      <c r="E142" s="179"/>
      <c r="F142" s="244"/>
      <c r="G142" s="244"/>
      <c r="H142" s="244"/>
      <c r="I142" s="244"/>
      <c r="J142" s="244"/>
      <c r="K142" s="179"/>
      <c r="L142" s="244"/>
      <c r="M142" s="244"/>
      <c r="N142" s="244"/>
      <c r="O142" s="244"/>
      <c r="P142" s="244"/>
      <c r="Q142" s="244"/>
      <c r="R142" s="244"/>
      <c r="S142" s="244"/>
      <c r="T142" s="244"/>
      <c r="U142" s="244"/>
      <c r="V142" s="244"/>
      <c r="W142" s="244"/>
      <c r="X142" s="244"/>
      <c r="Y142" s="244"/>
      <c r="Z142" s="244"/>
      <c r="AA142" s="244"/>
      <c r="AB142" s="244"/>
      <c r="AC142" s="244"/>
    </row>
    <row r="143" spans="1:29" ht="15.75" customHeight="1" x14ac:dyDescent="0.25">
      <c r="A143" s="244"/>
      <c r="B143" s="244"/>
      <c r="C143" s="244"/>
      <c r="D143" s="244"/>
      <c r="E143" s="179"/>
      <c r="F143" s="244"/>
      <c r="G143" s="244"/>
      <c r="H143" s="244"/>
      <c r="I143" s="244"/>
      <c r="J143" s="244"/>
      <c r="K143" s="179"/>
      <c r="L143" s="244"/>
      <c r="M143" s="244"/>
      <c r="N143" s="244"/>
      <c r="O143" s="244"/>
      <c r="P143" s="244"/>
      <c r="Q143" s="244"/>
      <c r="R143" s="244"/>
      <c r="S143" s="244"/>
      <c r="T143" s="244"/>
      <c r="U143" s="244"/>
      <c r="V143" s="244"/>
      <c r="W143" s="244"/>
      <c r="X143" s="244"/>
      <c r="Y143" s="244"/>
      <c r="Z143" s="244"/>
      <c r="AA143" s="244"/>
      <c r="AB143" s="244"/>
      <c r="AC143" s="244"/>
    </row>
    <row r="144" spans="1:29" ht="15.75" customHeight="1" x14ac:dyDescent="0.25">
      <c r="A144" s="244"/>
      <c r="B144" s="244"/>
      <c r="C144" s="244"/>
      <c r="D144" s="244"/>
      <c r="E144" s="179"/>
      <c r="F144" s="244"/>
      <c r="G144" s="244"/>
      <c r="H144" s="244"/>
      <c r="I144" s="244"/>
      <c r="J144" s="244"/>
      <c r="K144" s="179"/>
      <c r="L144" s="244"/>
      <c r="M144" s="244"/>
      <c r="N144" s="244"/>
      <c r="O144" s="244"/>
      <c r="P144" s="244"/>
      <c r="Q144" s="244"/>
      <c r="R144" s="244"/>
      <c r="S144" s="244"/>
      <c r="T144" s="244"/>
      <c r="U144" s="244"/>
      <c r="V144" s="244"/>
      <c r="W144" s="244"/>
      <c r="X144" s="244"/>
      <c r="Y144" s="244"/>
      <c r="Z144" s="244"/>
      <c r="AA144" s="244"/>
      <c r="AB144" s="244"/>
      <c r="AC144" s="244"/>
    </row>
    <row r="145" spans="1:29" ht="15.75" customHeight="1" x14ac:dyDescent="0.25">
      <c r="A145" s="244"/>
      <c r="B145" s="244"/>
      <c r="C145" s="244"/>
      <c r="D145" s="244"/>
      <c r="E145" s="179"/>
      <c r="F145" s="244"/>
      <c r="G145" s="244"/>
      <c r="H145" s="244"/>
      <c r="I145" s="244"/>
      <c r="J145" s="244"/>
      <c r="K145" s="179"/>
      <c r="L145" s="244"/>
      <c r="M145" s="244"/>
      <c r="N145" s="244"/>
      <c r="O145" s="244"/>
      <c r="P145" s="244"/>
      <c r="Q145" s="244"/>
      <c r="R145" s="244"/>
      <c r="S145" s="244"/>
      <c r="T145" s="244"/>
      <c r="U145" s="244"/>
      <c r="V145" s="244"/>
      <c r="W145" s="244"/>
      <c r="X145" s="244"/>
      <c r="Y145" s="244"/>
      <c r="Z145" s="244"/>
      <c r="AA145" s="244"/>
      <c r="AB145" s="244"/>
      <c r="AC145" s="244"/>
    </row>
    <row r="146" spans="1:29" ht="15.75" customHeight="1" x14ac:dyDescent="0.25">
      <c r="A146" s="244"/>
      <c r="B146" s="244"/>
      <c r="C146" s="244"/>
      <c r="D146" s="244"/>
      <c r="E146" s="179"/>
      <c r="F146" s="244"/>
      <c r="G146" s="244"/>
      <c r="H146" s="244"/>
      <c r="I146" s="244"/>
      <c r="J146" s="244"/>
      <c r="K146" s="179"/>
      <c r="L146" s="244"/>
      <c r="M146" s="244"/>
      <c r="N146" s="244"/>
      <c r="O146" s="244"/>
      <c r="P146" s="244"/>
      <c r="Q146" s="244"/>
      <c r="R146" s="244"/>
      <c r="S146" s="244"/>
      <c r="T146" s="244"/>
      <c r="U146" s="244"/>
      <c r="V146" s="244"/>
      <c r="W146" s="244"/>
      <c r="X146" s="244"/>
      <c r="Y146" s="244"/>
      <c r="Z146" s="244"/>
      <c r="AA146" s="244"/>
      <c r="AB146" s="244"/>
      <c r="AC146" s="244"/>
    </row>
    <row r="147" spans="1:29" ht="15.75" customHeight="1" x14ac:dyDescent="0.25">
      <c r="A147" s="244"/>
      <c r="B147" s="244"/>
      <c r="C147" s="244"/>
      <c r="D147" s="244"/>
      <c r="E147" s="179"/>
      <c r="F147" s="244"/>
      <c r="G147" s="244"/>
      <c r="H147" s="244"/>
      <c r="I147" s="244"/>
      <c r="J147" s="244"/>
      <c r="K147" s="179"/>
      <c r="L147" s="244"/>
      <c r="M147" s="244"/>
      <c r="N147" s="244"/>
      <c r="O147" s="244"/>
      <c r="P147" s="244"/>
      <c r="Q147" s="244"/>
      <c r="R147" s="244"/>
      <c r="S147" s="244"/>
      <c r="T147" s="244"/>
      <c r="U147" s="244"/>
      <c r="V147" s="244"/>
      <c r="W147" s="244"/>
      <c r="X147" s="244"/>
      <c r="Y147" s="244"/>
      <c r="Z147" s="244"/>
      <c r="AA147" s="244"/>
      <c r="AB147" s="244"/>
      <c r="AC147" s="244"/>
    </row>
    <row r="148" spans="1:29" ht="15.75" customHeight="1" x14ac:dyDescent="0.25">
      <c r="A148" s="244"/>
      <c r="B148" s="244"/>
      <c r="C148" s="244"/>
      <c r="D148" s="244"/>
      <c r="E148" s="179"/>
      <c r="F148" s="244"/>
      <c r="G148" s="244"/>
      <c r="H148" s="244"/>
      <c r="I148" s="244"/>
      <c r="J148" s="244"/>
      <c r="K148" s="179"/>
      <c r="L148" s="244"/>
      <c r="M148" s="244"/>
      <c r="N148" s="244"/>
      <c r="O148" s="244"/>
      <c r="P148" s="244"/>
      <c r="Q148" s="244"/>
      <c r="R148" s="244"/>
      <c r="S148" s="244"/>
      <c r="T148" s="244"/>
      <c r="U148" s="244"/>
      <c r="V148" s="244"/>
      <c r="W148" s="244"/>
      <c r="X148" s="244"/>
      <c r="Y148" s="244"/>
      <c r="Z148" s="244"/>
      <c r="AA148" s="244"/>
      <c r="AB148" s="244"/>
      <c r="AC148" s="244"/>
    </row>
    <row r="149" spans="1:29" ht="15.75" customHeight="1" x14ac:dyDescent="0.25">
      <c r="A149" s="244"/>
      <c r="B149" s="244"/>
      <c r="C149" s="244"/>
      <c r="D149" s="244"/>
      <c r="E149" s="179"/>
      <c r="F149" s="244"/>
      <c r="G149" s="244"/>
      <c r="H149" s="244"/>
      <c r="I149" s="244"/>
      <c r="J149" s="244"/>
      <c r="K149" s="179"/>
      <c r="L149" s="244"/>
      <c r="M149" s="244"/>
      <c r="N149" s="244"/>
      <c r="O149" s="244"/>
      <c r="P149" s="244"/>
      <c r="Q149" s="244"/>
      <c r="R149" s="244"/>
      <c r="S149" s="244"/>
      <c r="T149" s="244"/>
      <c r="U149" s="244"/>
      <c r="V149" s="244"/>
      <c r="W149" s="244"/>
      <c r="X149" s="244"/>
      <c r="Y149" s="244"/>
      <c r="Z149" s="244"/>
      <c r="AA149" s="244"/>
      <c r="AB149" s="244"/>
      <c r="AC149" s="244"/>
    </row>
    <row r="150" spans="1:29" ht="15.75" customHeight="1" x14ac:dyDescent="0.25">
      <c r="A150" s="244"/>
      <c r="B150" s="244"/>
      <c r="C150" s="244"/>
      <c r="D150" s="244"/>
      <c r="E150" s="179"/>
      <c r="F150" s="244"/>
      <c r="G150" s="244"/>
      <c r="H150" s="244"/>
      <c r="I150" s="244"/>
      <c r="J150" s="244"/>
      <c r="K150" s="179"/>
      <c r="L150" s="244"/>
      <c r="M150" s="244"/>
      <c r="N150" s="244"/>
      <c r="O150" s="244"/>
      <c r="P150" s="244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  <c r="AA150" s="244"/>
      <c r="AB150" s="244"/>
      <c r="AC150" s="244"/>
    </row>
    <row r="151" spans="1:29" ht="15.75" customHeight="1" x14ac:dyDescent="0.25">
      <c r="A151" s="244"/>
      <c r="B151" s="244"/>
      <c r="C151" s="244"/>
      <c r="D151" s="244"/>
      <c r="E151" s="179"/>
      <c r="F151" s="244"/>
      <c r="G151" s="244"/>
      <c r="H151" s="244"/>
      <c r="I151" s="244"/>
      <c r="J151" s="244"/>
      <c r="K151" s="179"/>
      <c r="L151" s="244"/>
      <c r="M151" s="244"/>
      <c r="N151" s="244"/>
      <c r="O151" s="244"/>
      <c r="P151" s="244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  <c r="AA151" s="244"/>
      <c r="AB151" s="244"/>
      <c r="AC151" s="244"/>
    </row>
    <row r="152" spans="1:29" ht="15.75" customHeight="1" x14ac:dyDescent="0.25">
      <c r="A152" s="244"/>
      <c r="B152" s="244"/>
      <c r="C152" s="244"/>
      <c r="D152" s="244"/>
      <c r="E152" s="179"/>
      <c r="F152" s="244"/>
      <c r="G152" s="244"/>
      <c r="H152" s="244"/>
      <c r="I152" s="244"/>
      <c r="J152" s="244"/>
      <c r="K152" s="179"/>
      <c r="L152" s="244"/>
      <c r="M152" s="244"/>
      <c r="N152" s="244"/>
      <c r="O152" s="244"/>
      <c r="P152" s="244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  <c r="AA152" s="244"/>
      <c r="AB152" s="244"/>
      <c r="AC152" s="244"/>
    </row>
    <row r="153" spans="1:29" ht="15.75" customHeight="1" x14ac:dyDescent="0.25">
      <c r="A153" s="244"/>
      <c r="B153" s="244"/>
      <c r="C153" s="244"/>
      <c r="D153" s="244"/>
      <c r="E153" s="179"/>
      <c r="F153" s="244"/>
      <c r="G153" s="244"/>
      <c r="H153" s="244"/>
      <c r="I153" s="244"/>
      <c r="J153" s="244"/>
      <c r="K153" s="179"/>
      <c r="L153" s="244"/>
      <c r="M153" s="244"/>
      <c r="N153" s="244"/>
      <c r="O153" s="244"/>
      <c r="P153" s="244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  <c r="AA153" s="244"/>
      <c r="AB153" s="244"/>
      <c r="AC153" s="244"/>
    </row>
    <row r="154" spans="1:29" ht="15.75" customHeight="1" x14ac:dyDescent="0.25">
      <c r="A154" s="244"/>
      <c r="B154" s="244"/>
      <c r="C154" s="244"/>
      <c r="D154" s="244"/>
      <c r="E154" s="179"/>
      <c r="F154" s="244"/>
      <c r="G154" s="244"/>
      <c r="H154" s="244"/>
      <c r="I154" s="244"/>
      <c r="J154" s="244"/>
      <c r="K154" s="179"/>
      <c r="L154" s="244"/>
      <c r="M154" s="244"/>
      <c r="N154" s="244"/>
      <c r="O154" s="244"/>
      <c r="P154" s="244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  <c r="AA154" s="244"/>
      <c r="AB154" s="244"/>
      <c r="AC154" s="244"/>
    </row>
    <row r="155" spans="1:29" ht="15.75" customHeight="1" x14ac:dyDescent="0.25">
      <c r="A155" s="244"/>
      <c r="B155" s="244"/>
      <c r="C155" s="244"/>
      <c r="D155" s="244"/>
      <c r="E155" s="179"/>
      <c r="F155" s="244"/>
      <c r="G155" s="244"/>
      <c r="H155" s="244"/>
      <c r="I155" s="244"/>
      <c r="J155" s="244"/>
      <c r="K155" s="179"/>
      <c r="L155" s="244"/>
      <c r="M155" s="244"/>
      <c r="N155" s="244"/>
      <c r="O155" s="244"/>
      <c r="P155" s="244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  <c r="AA155" s="244"/>
      <c r="AB155" s="244"/>
      <c r="AC155" s="244"/>
    </row>
    <row r="156" spans="1:29" ht="15.75" customHeight="1" x14ac:dyDescent="0.25">
      <c r="A156" s="244"/>
      <c r="B156" s="244"/>
      <c r="C156" s="244"/>
      <c r="D156" s="244"/>
      <c r="E156" s="179"/>
      <c r="F156" s="244"/>
      <c r="G156" s="244"/>
      <c r="H156" s="244"/>
      <c r="I156" s="244"/>
      <c r="J156" s="244"/>
      <c r="K156" s="179"/>
      <c r="L156" s="244"/>
      <c r="M156" s="244"/>
      <c r="N156" s="244"/>
      <c r="O156" s="244"/>
      <c r="P156" s="244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  <c r="AA156" s="244"/>
      <c r="AB156" s="244"/>
      <c r="AC156" s="244"/>
    </row>
    <row r="157" spans="1:29" ht="15.75" customHeight="1" x14ac:dyDescent="0.25">
      <c r="A157" s="244"/>
      <c r="B157" s="244"/>
      <c r="C157" s="244"/>
      <c r="D157" s="244"/>
      <c r="E157" s="179"/>
      <c r="F157" s="244"/>
      <c r="G157" s="244"/>
      <c r="H157" s="244"/>
      <c r="I157" s="244"/>
      <c r="J157" s="244"/>
      <c r="K157" s="179"/>
      <c r="L157" s="244"/>
      <c r="M157" s="244"/>
      <c r="N157" s="244"/>
      <c r="O157" s="244"/>
      <c r="P157" s="244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  <c r="AA157" s="244"/>
      <c r="AB157" s="244"/>
      <c r="AC157" s="244"/>
    </row>
    <row r="158" spans="1:29" ht="15.75" customHeight="1" x14ac:dyDescent="0.25">
      <c r="A158" s="244"/>
      <c r="B158" s="244"/>
      <c r="C158" s="244"/>
      <c r="D158" s="244"/>
      <c r="E158" s="179"/>
      <c r="F158" s="244"/>
      <c r="G158" s="244"/>
      <c r="H158" s="244"/>
      <c r="I158" s="244"/>
      <c r="J158" s="244"/>
      <c r="K158" s="179"/>
      <c r="L158" s="244"/>
      <c r="M158" s="244"/>
      <c r="N158" s="244"/>
      <c r="O158" s="244"/>
      <c r="P158" s="244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  <c r="AA158" s="244"/>
      <c r="AB158" s="244"/>
      <c r="AC158" s="244"/>
    </row>
    <row r="159" spans="1:29" ht="15.75" customHeight="1" x14ac:dyDescent="0.25">
      <c r="A159" s="244"/>
      <c r="B159" s="244"/>
      <c r="C159" s="244"/>
      <c r="D159" s="244"/>
      <c r="E159" s="179"/>
      <c r="F159" s="244"/>
      <c r="G159" s="244"/>
      <c r="H159" s="244"/>
      <c r="I159" s="244"/>
      <c r="J159" s="244"/>
      <c r="K159" s="179"/>
      <c r="L159" s="244"/>
      <c r="M159" s="244"/>
      <c r="N159" s="244"/>
      <c r="O159" s="244"/>
      <c r="P159" s="244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  <c r="AA159" s="244"/>
      <c r="AB159" s="244"/>
      <c r="AC159" s="244"/>
    </row>
    <row r="160" spans="1:29" ht="15.75" customHeight="1" x14ac:dyDescent="0.25">
      <c r="A160" s="244"/>
      <c r="B160" s="244"/>
      <c r="C160" s="244"/>
      <c r="D160" s="244"/>
      <c r="E160" s="179"/>
      <c r="F160" s="244"/>
      <c r="G160" s="244"/>
      <c r="H160" s="244"/>
      <c r="I160" s="244"/>
      <c r="J160" s="244"/>
      <c r="K160" s="179"/>
      <c r="L160" s="244"/>
      <c r="M160" s="244"/>
      <c r="N160" s="244"/>
      <c r="O160" s="244"/>
      <c r="P160" s="244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  <c r="AA160" s="244"/>
      <c r="AB160" s="244"/>
      <c r="AC160" s="244"/>
    </row>
    <row r="161" spans="1:29" ht="15.75" customHeight="1" x14ac:dyDescent="0.25">
      <c r="A161" s="244"/>
      <c r="B161" s="244"/>
      <c r="C161" s="244"/>
      <c r="D161" s="244"/>
      <c r="E161" s="179"/>
      <c r="F161" s="244"/>
      <c r="G161" s="244"/>
      <c r="H161" s="244"/>
      <c r="I161" s="244"/>
      <c r="J161" s="244"/>
      <c r="K161" s="179"/>
      <c r="L161" s="244"/>
      <c r="M161" s="244"/>
      <c r="N161" s="244"/>
      <c r="O161" s="244"/>
      <c r="P161" s="244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  <c r="AA161" s="244"/>
      <c r="AB161" s="244"/>
      <c r="AC161" s="244"/>
    </row>
    <row r="162" spans="1:29" ht="15.75" customHeight="1" x14ac:dyDescent="0.25">
      <c r="A162" s="244"/>
      <c r="B162" s="244"/>
      <c r="C162" s="244"/>
      <c r="D162" s="244"/>
      <c r="E162" s="179"/>
      <c r="F162" s="244"/>
      <c r="G162" s="244"/>
      <c r="H162" s="244"/>
      <c r="I162" s="244"/>
      <c r="J162" s="244"/>
      <c r="K162" s="179"/>
      <c r="L162" s="244"/>
      <c r="M162" s="244"/>
      <c r="N162" s="244"/>
      <c r="O162" s="244"/>
      <c r="P162" s="244"/>
      <c r="Q162" s="244"/>
      <c r="R162" s="244"/>
      <c r="S162" s="244"/>
      <c r="T162" s="244"/>
      <c r="U162" s="244"/>
      <c r="V162" s="244"/>
      <c r="W162" s="244"/>
      <c r="X162" s="244"/>
      <c r="Y162" s="244"/>
      <c r="Z162" s="244"/>
      <c r="AA162" s="244"/>
      <c r="AB162" s="244"/>
      <c r="AC162" s="244"/>
    </row>
    <row r="163" spans="1:29" ht="15.75" customHeight="1" x14ac:dyDescent="0.25">
      <c r="A163" s="244"/>
      <c r="B163" s="244"/>
      <c r="C163" s="244"/>
      <c r="D163" s="244"/>
      <c r="E163" s="179"/>
      <c r="F163" s="244"/>
      <c r="G163" s="244"/>
      <c r="H163" s="244"/>
      <c r="I163" s="244"/>
      <c r="J163" s="244"/>
      <c r="K163" s="179"/>
      <c r="L163" s="244"/>
      <c r="M163" s="244"/>
      <c r="N163" s="244"/>
      <c r="O163" s="244"/>
      <c r="P163" s="244"/>
      <c r="Q163" s="244"/>
      <c r="R163" s="244"/>
      <c r="S163" s="244"/>
      <c r="T163" s="244"/>
      <c r="U163" s="244"/>
      <c r="V163" s="244"/>
      <c r="W163" s="244"/>
      <c r="X163" s="244"/>
      <c r="Y163" s="244"/>
      <c r="Z163" s="244"/>
      <c r="AA163" s="244"/>
      <c r="AB163" s="244"/>
      <c r="AC163" s="244"/>
    </row>
    <row r="164" spans="1:29" ht="15.75" customHeight="1" x14ac:dyDescent="0.25">
      <c r="A164" s="244"/>
      <c r="B164" s="244"/>
      <c r="C164" s="244"/>
      <c r="D164" s="244"/>
      <c r="E164" s="179"/>
      <c r="F164" s="244"/>
      <c r="G164" s="244"/>
      <c r="H164" s="244"/>
      <c r="I164" s="244"/>
      <c r="J164" s="244"/>
      <c r="K164" s="179"/>
      <c r="L164" s="244"/>
      <c r="M164" s="244"/>
      <c r="N164" s="244"/>
      <c r="O164" s="244"/>
      <c r="P164" s="244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  <c r="AA164" s="244"/>
      <c r="AB164" s="244"/>
      <c r="AC164" s="244"/>
    </row>
    <row r="165" spans="1:29" ht="15.75" customHeight="1" x14ac:dyDescent="0.25">
      <c r="A165" s="244"/>
      <c r="B165" s="244"/>
      <c r="C165" s="244"/>
      <c r="D165" s="244"/>
      <c r="E165" s="179"/>
      <c r="F165" s="244"/>
      <c r="G165" s="244"/>
      <c r="H165" s="244"/>
      <c r="I165" s="244"/>
      <c r="J165" s="244"/>
      <c r="K165" s="179"/>
      <c r="L165" s="244"/>
      <c r="M165" s="244"/>
      <c r="N165" s="244"/>
      <c r="O165" s="244"/>
      <c r="P165" s="244"/>
      <c r="Q165" s="244"/>
      <c r="R165" s="244"/>
      <c r="S165" s="244"/>
      <c r="T165" s="244"/>
      <c r="U165" s="244"/>
      <c r="V165" s="244"/>
      <c r="W165" s="244"/>
      <c r="X165" s="244"/>
      <c r="Y165" s="244"/>
      <c r="Z165" s="244"/>
      <c r="AA165" s="244"/>
      <c r="AB165" s="244"/>
      <c r="AC165" s="244"/>
    </row>
    <row r="166" spans="1:29" ht="15.75" customHeight="1" x14ac:dyDescent="0.25">
      <c r="A166" s="244"/>
      <c r="B166" s="244"/>
      <c r="C166" s="244"/>
      <c r="D166" s="244"/>
      <c r="E166" s="179"/>
      <c r="F166" s="244"/>
      <c r="G166" s="244"/>
      <c r="H166" s="244"/>
      <c r="I166" s="244"/>
      <c r="J166" s="244"/>
      <c r="K166" s="179"/>
      <c r="L166" s="244"/>
      <c r="M166" s="244"/>
      <c r="N166" s="244"/>
      <c r="O166" s="244"/>
      <c r="P166" s="244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  <c r="AA166" s="244"/>
      <c r="AB166" s="244"/>
      <c r="AC166" s="244"/>
    </row>
    <row r="167" spans="1:29" ht="15.75" customHeight="1" x14ac:dyDescent="0.25">
      <c r="A167" s="244"/>
      <c r="B167" s="244"/>
      <c r="C167" s="244"/>
      <c r="D167" s="244"/>
      <c r="E167" s="179"/>
      <c r="F167" s="244"/>
      <c r="G167" s="244"/>
      <c r="H167" s="244"/>
      <c r="I167" s="244"/>
      <c r="J167" s="244"/>
      <c r="K167" s="179"/>
      <c r="L167" s="244"/>
      <c r="M167" s="244"/>
      <c r="N167" s="244"/>
      <c r="O167" s="244"/>
      <c r="P167" s="244"/>
      <c r="Q167" s="244"/>
      <c r="R167" s="244"/>
      <c r="S167" s="244"/>
      <c r="T167" s="244"/>
      <c r="U167" s="244"/>
      <c r="V167" s="244"/>
      <c r="W167" s="244"/>
      <c r="X167" s="244"/>
      <c r="Y167" s="244"/>
      <c r="Z167" s="244"/>
      <c r="AA167" s="244"/>
      <c r="AB167" s="244"/>
      <c r="AC167" s="244"/>
    </row>
    <row r="168" spans="1:29" ht="15.75" customHeight="1" x14ac:dyDescent="0.25">
      <c r="A168" s="244"/>
      <c r="B168" s="244"/>
      <c r="C168" s="244"/>
      <c r="D168" s="244"/>
      <c r="E168" s="179"/>
      <c r="F168" s="244"/>
      <c r="G168" s="244"/>
      <c r="H168" s="244"/>
      <c r="I168" s="244"/>
      <c r="J168" s="244"/>
      <c r="K168" s="179"/>
      <c r="L168" s="244"/>
      <c r="M168" s="244"/>
      <c r="N168" s="244"/>
      <c r="O168" s="244"/>
      <c r="P168" s="244"/>
      <c r="Q168" s="244"/>
      <c r="R168" s="244"/>
      <c r="S168" s="244"/>
      <c r="T168" s="244"/>
      <c r="U168" s="244"/>
      <c r="V168" s="244"/>
      <c r="W168" s="244"/>
      <c r="X168" s="244"/>
      <c r="Y168" s="244"/>
      <c r="Z168" s="244"/>
      <c r="AA168" s="244"/>
      <c r="AB168" s="244"/>
      <c r="AC168" s="244"/>
    </row>
    <row r="169" spans="1:29" ht="15.75" customHeight="1" x14ac:dyDescent="0.25">
      <c r="A169" s="244"/>
      <c r="B169" s="244"/>
      <c r="C169" s="244"/>
      <c r="D169" s="244"/>
      <c r="E169" s="179"/>
      <c r="F169" s="244"/>
      <c r="G169" s="244"/>
      <c r="H169" s="244"/>
      <c r="I169" s="244"/>
      <c r="J169" s="244"/>
      <c r="K169" s="179"/>
      <c r="L169" s="244"/>
      <c r="M169" s="244"/>
      <c r="N169" s="244"/>
      <c r="O169" s="244"/>
      <c r="P169" s="244"/>
      <c r="Q169" s="244"/>
      <c r="R169" s="244"/>
      <c r="S169" s="244"/>
      <c r="T169" s="244"/>
      <c r="U169" s="244"/>
      <c r="V169" s="244"/>
      <c r="W169" s="244"/>
      <c r="X169" s="244"/>
      <c r="Y169" s="244"/>
      <c r="Z169" s="244"/>
      <c r="AA169" s="244"/>
      <c r="AB169" s="244"/>
      <c r="AC169" s="244"/>
    </row>
    <row r="170" spans="1:29" ht="15.75" customHeight="1" x14ac:dyDescent="0.25">
      <c r="A170" s="244"/>
      <c r="B170" s="244"/>
      <c r="C170" s="244"/>
      <c r="D170" s="244"/>
      <c r="E170" s="179"/>
      <c r="F170" s="244"/>
      <c r="G170" s="244"/>
      <c r="H170" s="244"/>
      <c r="I170" s="244"/>
      <c r="J170" s="244"/>
      <c r="K170" s="179"/>
      <c r="L170" s="244"/>
      <c r="M170" s="244"/>
      <c r="N170" s="244"/>
      <c r="O170" s="244"/>
      <c r="P170" s="244"/>
      <c r="Q170" s="244"/>
      <c r="R170" s="244"/>
      <c r="S170" s="244"/>
      <c r="T170" s="244"/>
      <c r="U170" s="244"/>
      <c r="V170" s="244"/>
      <c r="W170" s="244"/>
      <c r="X170" s="244"/>
      <c r="Y170" s="244"/>
      <c r="Z170" s="244"/>
      <c r="AA170" s="244"/>
      <c r="AB170" s="244"/>
      <c r="AC170" s="244"/>
    </row>
    <row r="171" spans="1:29" ht="15.75" customHeight="1" x14ac:dyDescent="0.25">
      <c r="A171" s="244"/>
      <c r="B171" s="244"/>
      <c r="C171" s="244"/>
      <c r="D171" s="244"/>
      <c r="E171" s="179"/>
      <c r="F171" s="244"/>
      <c r="G171" s="244"/>
      <c r="H171" s="244"/>
      <c r="I171" s="244"/>
      <c r="J171" s="244"/>
      <c r="K171" s="179"/>
      <c r="L171" s="244"/>
      <c r="M171" s="244"/>
      <c r="N171" s="244"/>
      <c r="O171" s="244"/>
      <c r="P171" s="244"/>
      <c r="Q171" s="244"/>
      <c r="R171" s="244"/>
      <c r="S171" s="244"/>
      <c r="T171" s="244"/>
      <c r="U171" s="244"/>
      <c r="V171" s="244"/>
      <c r="W171" s="244"/>
      <c r="X171" s="244"/>
      <c r="Y171" s="244"/>
      <c r="Z171" s="244"/>
      <c r="AA171" s="244"/>
      <c r="AB171" s="244"/>
      <c r="AC171" s="244"/>
    </row>
    <row r="172" spans="1:29" ht="15.75" customHeight="1" x14ac:dyDescent="0.25">
      <c r="A172" s="244"/>
      <c r="B172" s="244"/>
      <c r="C172" s="244"/>
      <c r="D172" s="244"/>
      <c r="E172" s="179"/>
      <c r="F172" s="244"/>
      <c r="G172" s="244"/>
      <c r="H172" s="244"/>
      <c r="I172" s="244"/>
      <c r="J172" s="244"/>
      <c r="K172" s="179"/>
      <c r="L172" s="244"/>
      <c r="M172" s="244"/>
      <c r="N172" s="244"/>
      <c r="O172" s="244"/>
      <c r="P172" s="244"/>
      <c r="Q172" s="244"/>
      <c r="R172" s="244"/>
      <c r="S172" s="244"/>
      <c r="T172" s="244"/>
      <c r="U172" s="244"/>
      <c r="V172" s="244"/>
      <c r="W172" s="244"/>
      <c r="X172" s="244"/>
      <c r="Y172" s="244"/>
      <c r="Z172" s="244"/>
      <c r="AA172" s="244"/>
      <c r="AB172" s="244"/>
      <c r="AC172" s="244"/>
    </row>
    <row r="173" spans="1:29" ht="15.75" customHeight="1" x14ac:dyDescent="0.25">
      <c r="A173" s="244"/>
      <c r="B173" s="244"/>
      <c r="C173" s="244"/>
      <c r="D173" s="244"/>
      <c r="E173" s="179"/>
      <c r="F173" s="244"/>
      <c r="G173" s="244"/>
      <c r="H173" s="244"/>
      <c r="I173" s="244"/>
      <c r="J173" s="244"/>
      <c r="K173" s="179"/>
      <c r="L173" s="244"/>
      <c r="M173" s="244"/>
      <c r="N173" s="244"/>
      <c r="O173" s="244"/>
      <c r="P173" s="244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  <c r="AA173" s="244"/>
      <c r="AB173" s="244"/>
      <c r="AC173" s="244"/>
    </row>
    <row r="174" spans="1:29" ht="15.75" customHeight="1" x14ac:dyDescent="0.25">
      <c r="A174" s="244"/>
      <c r="B174" s="244"/>
      <c r="C174" s="244"/>
      <c r="D174" s="244"/>
      <c r="E174" s="179"/>
      <c r="F174" s="244"/>
      <c r="G174" s="244"/>
      <c r="H174" s="244"/>
      <c r="I174" s="244"/>
      <c r="J174" s="244"/>
      <c r="K174" s="179"/>
      <c r="L174" s="244"/>
      <c r="M174" s="244"/>
      <c r="N174" s="244"/>
      <c r="O174" s="244"/>
      <c r="P174" s="244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  <c r="AA174" s="244"/>
      <c r="AB174" s="244"/>
      <c r="AC174" s="244"/>
    </row>
    <row r="175" spans="1:29" ht="15.75" customHeight="1" x14ac:dyDescent="0.25">
      <c r="A175" s="244"/>
      <c r="B175" s="244"/>
      <c r="C175" s="244"/>
      <c r="D175" s="244"/>
      <c r="E175" s="179"/>
      <c r="F175" s="244"/>
      <c r="G175" s="244"/>
      <c r="H175" s="244"/>
      <c r="I175" s="244"/>
      <c r="J175" s="244"/>
      <c r="K175" s="179"/>
      <c r="L175" s="244"/>
      <c r="M175" s="244"/>
      <c r="N175" s="244"/>
      <c r="O175" s="244"/>
      <c r="P175" s="244"/>
      <c r="Q175" s="244"/>
      <c r="R175" s="244"/>
      <c r="S175" s="244"/>
      <c r="T175" s="244"/>
      <c r="U175" s="244"/>
      <c r="V175" s="244"/>
      <c r="W175" s="244"/>
      <c r="X175" s="244"/>
      <c r="Y175" s="244"/>
      <c r="Z175" s="244"/>
      <c r="AA175" s="244"/>
      <c r="AB175" s="244"/>
      <c r="AC175" s="244"/>
    </row>
    <row r="176" spans="1:29" ht="15.75" customHeight="1" x14ac:dyDescent="0.25">
      <c r="A176" s="244"/>
      <c r="B176" s="244"/>
      <c r="C176" s="244"/>
      <c r="D176" s="244"/>
      <c r="E176" s="179"/>
      <c r="F176" s="244"/>
      <c r="G176" s="244"/>
      <c r="H176" s="244"/>
      <c r="I176" s="244"/>
      <c r="J176" s="244"/>
      <c r="K176" s="179"/>
      <c r="L176" s="244"/>
      <c r="M176" s="244"/>
      <c r="N176" s="244"/>
      <c r="O176" s="244"/>
      <c r="P176" s="244"/>
      <c r="Q176" s="244"/>
      <c r="R176" s="244"/>
      <c r="S176" s="244"/>
      <c r="T176" s="244"/>
      <c r="U176" s="244"/>
      <c r="V176" s="244"/>
      <c r="W176" s="244"/>
      <c r="X176" s="244"/>
      <c r="Y176" s="244"/>
      <c r="Z176" s="244"/>
      <c r="AA176" s="244"/>
      <c r="AB176" s="244"/>
      <c r="AC176" s="244"/>
    </row>
    <row r="177" spans="1:29" ht="15.75" customHeight="1" x14ac:dyDescent="0.25">
      <c r="A177" s="244"/>
      <c r="B177" s="244"/>
      <c r="C177" s="244"/>
      <c r="D177" s="244"/>
      <c r="E177" s="179"/>
      <c r="F177" s="244"/>
      <c r="G177" s="244"/>
      <c r="H177" s="244"/>
      <c r="I177" s="244"/>
      <c r="J177" s="244"/>
      <c r="K177" s="179"/>
      <c r="L177" s="244"/>
      <c r="M177" s="244"/>
      <c r="N177" s="244"/>
      <c r="O177" s="244"/>
      <c r="P177" s="244"/>
      <c r="Q177" s="244"/>
      <c r="R177" s="244"/>
      <c r="S177" s="244"/>
      <c r="T177" s="244"/>
      <c r="U177" s="244"/>
      <c r="V177" s="244"/>
      <c r="W177" s="244"/>
      <c r="X177" s="244"/>
      <c r="Y177" s="244"/>
      <c r="Z177" s="244"/>
      <c r="AA177" s="244"/>
      <c r="AB177" s="244"/>
      <c r="AC177" s="244"/>
    </row>
    <row r="178" spans="1:29" ht="15.75" customHeight="1" x14ac:dyDescent="0.25">
      <c r="A178" s="244"/>
      <c r="B178" s="244"/>
      <c r="C178" s="244"/>
      <c r="D178" s="244"/>
      <c r="E178" s="179"/>
      <c r="F178" s="244"/>
      <c r="G178" s="244"/>
      <c r="H178" s="244"/>
      <c r="I178" s="244"/>
      <c r="J178" s="244"/>
      <c r="K178" s="179"/>
      <c r="L178" s="244"/>
      <c r="M178" s="244"/>
      <c r="N178" s="244"/>
      <c r="O178" s="244"/>
      <c r="P178" s="244"/>
      <c r="Q178" s="244"/>
      <c r="R178" s="244"/>
      <c r="S178" s="244"/>
      <c r="T178" s="244"/>
      <c r="U178" s="244"/>
      <c r="V178" s="244"/>
      <c r="W178" s="244"/>
      <c r="X178" s="244"/>
      <c r="Y178" s="244"/>
      <c r="Z178" s="244"/>
      <c r="AA178" s="244"/>
      <c r="AB178" s="244"/>
      <c r="AC178" s="244"/>
    </row>
    <row r="179" spans="1:29" ht="15.75" customHeight="1" x14ac:dyDescent="0.25">
      <c r="A179" s="244"/>
      <c r="B179" s="244"/>
      <c r="C179" s="244"/>
      <c r="D179" s="244"/>
      <c r="E179" s="179"/>
      <c r="F179" s="244"/>
      <c r="G179" s="244"/>
      <c r="H179" s="244"/>
      <c r="I179" s="244"/>
      <c r="J179" s="244"/>
      <c r="K179" s="179"/>
      <c r="L179" s="244"/>
      <c r="M179" s="244"/>
      <c r="N179" s="244"/>
      <c r="O179" s="244"/>
      <c r="P179" s="244"/>
      <c r="Q179" s="244"/>
      <c r="R179" s="244"/>
      <c r="S179" s="244"/>
      <c r="T179" s="244"/>
      <c r="U179" s="244"/>
      <c r="V179" s="244"/>
      <c r="W179" s="244"/>
      <c r="X179" s="244"/>
      <c r="Y179" s="244"/>
      <c r="Z179" s="244"/>
      <c r="AA179" s="244"/>
      <c r="AB179" s="244"/>
      <c r="AC179" s="244"/>
    </row>
    <row r="180" spans="1:29" ht="15.75" customHeight="1" x14ac:dyDescent="0.25">
      <c r="A180" s="244"/>
      <c r="B180" s="244"/>
      <c r="C180" s="244"/>
      <c r="D180" s="244"/>
      <c r="E180" s="179"/>
      <c r="F180" s="244"/>
      <c r="G180" s="244"/>
      <c r="H180" s="244"/>
      <c r="I180" s="244"/>
      <c r="J180" s="244"/>
      <c r="K180" s="179"/>
      <c r="L180" s="244"/>
      <c r="M180" s="244"/>
      <c r="N180" s="244"/>
      <c r="O180" s="244"/>
      <c r="P180" s="244"/>
      <c r="Q180" s="244"/>
      <c r="R180" s="244"/>
      <c r="S180" s="244"/>
      <c r="T180" s="244"/>
      <c r="U180" s="244"/>
      <c r="V180" s="244"/>
      <c r="W180" s="244"/>
      <c r="X180" s="244"/>
      <c r="Y180" s="244"/>
      <c r="Z180" s="244"/>
      <c r="AA180" s="244"/>
      <c r="AB180" s="244"/>
      <c r="AC180" s="244"/>
    </row>
    <row r="181" spans="1:29" ht="15.75" customHeight="1" x14ac:dyDescent="0.25">
      <c r="A181" s="244"/>
      <c r="B181" s="244"/>
      <c r="C181" s="244"/>
      <c r="D181" s="244"/>
      <c r="E181" s="179"/>
      <c r="F181" s="244"/>
      <c r="G181" s="244"/>
      <c r="H181" s="244"/>
      <c r="I181" s="244"/>
      <c r="J181" s="244"/>
      <c r="K181" s="179"/>
      <c r="L181" s="244"/>
      <c r="M181" s="244"/>
      <c r="N181" s="244"/>
      <c r="O181" s="244"/>
      <c r="P181" s="244"/>
      <c r="Q181" s="244"/>
      <c r="R181" s="244"/>
      <c r="S181" s="244"/>
      <c r="T181" s="244"/>
      <c r="U181" s="244"/>
      <c r="V181" s="244"/>
      <c r="W181" s="244"/>
      <c r="X181" s="244"/>
      <c r="Y181" s="244"/>
      <c r="Z181" s="244"/>
      <c r="AA181" s="244"/>
      <c r="AB181" s="244"/>
      <c r="AC181" s="244"/>
    </row>
    <row r="182" spans="1:29" ht="15.75" customHeight="1" x14ac:dyDescent="0.25">
      <c r="A182" s="244"/>
      <c r="B182" s="244"/>
      <c r="C182" s="244"/>
      <c r="D182" s="244"/>
      <c r="E182" s="179"/>
      <c r="F182" s="244"/>
      <c r="G182" s="244"/>
      <c r="H182" s="244"/>
      <c r="I182" s="244"/>
      <c r="J182" s="244"/>
      <c r="K182" s="179"/>
      <c r="L182" s="244"/>
      <c r="M182" s="244"/>
      <c r="N182" s="244"/>
      <c r="O182" s="244"/>
      <c r="P182" s="244"/>
      <c r="Q182" s="244"/>
      <c r="R182" s="244"/>
      <c r="S182" s="244"/>
      <c r="T182" s="244"/>
      <c r="U182" s="244"/>
      <c r="V182" s="244"/>
      <c r="W182" s="244"/>
      <c r="X182" s="244"/>
      <c r="Y182" s="244"/>
      <c r="Z182" s="244"/>
      <c r="AA182" s="244"/>
      <c r="AB182" s="244"/>
      <c r="AC182" s="244"/>
    </row>
    <row r="183" spans="1:29" ht="15.75" customHeight="1" x14ac:dyDescent="0.25">
      <c r="A183" s="244"/>
      <c r="B183" s="244"/>
      <c r="C183" s="244"/>
      <c r="D183" s="244"/>
      <c r="E183" s="179"/>
      <c r="F183" s="244"/>
      <c r="G183" s="244"/>
      <c r="H183" s="244"/>
      <c r="I183" s="244"/>
      <c r="J183" s="244"/>
      <c r="K183" s="179"/>
      <c r="L183" s="244"/>
      <c r="M183" s="244"/>
      <c r="N183" s="244"/>
      <c r="O183" s="244"/>
      <c r="P183" s="244"/>
      <c r="Q183" s="244"/>
      <c r="R183" s="244"/>
      <c r="S183" s="244"/>
      <c r="T183" s="244"/>
      <c r="U183" s="244"/>
      <c r="V183" s="244"/>
      <c r="W183" s="244"/>
      <c r="X183" s="244"/>
      <c r="Y183" s="244"/>
      <c r="Z183" s="244"/>
      <c r="AA183" s="244"/>
      <c r="AB183" s="244"/>
      <c r="AC183" s="244"/>
    </row>
    <row r="184" spans="1:29" ht="15.75" customHeight="1" x14ac:dyDescent="0.25">
      <c r="A184" s="244"/>
      <c r="B184" s="244"/>
      <c r="C184" s="244"/>
      <c r="D184" s="244"/>
      <c r="E184" s="179"/>
      <c r="F184" s="244"/>
      <c r="G184" s="244"/>
      <c r="H184" s="244"/>
      <c r="I184" s="244"/>
      <c r="J184" s="244"/>
      <c r="K184" s="179"/>
      <c r="L184" s="244"/>
      <c r="M184" s="244"/>
      <c r="N184" s="244"/>
      <c r="O184" s="244"/>
      <c r="P184" s="244"/>
      <c r="Q184" s="244"/>
      <c r="R184" s="244"/>
      <c r="S184" s="244"/>
      <c r="T184" s="244"/>
      <c r="U184" s="244"/>
      <c r="V184" s="244"/>
      <c r="W184" s="244"/>
      <c r="X184" s="244"/>
      <c r="Y184" s="244"/>
      <c r="Z184" s="244"/>
      <c r="AA184" s="244"/>
      <c r="AB184" s="244"/>
      <c r="AC184" s="244"/>
    </row>
    <row r="185" spans="1:29" ht="15.75" customHeight="1" x14ac:dyDescent="0.25">
      <c r="A185" s="244"/>
      <c r="B185" s="244"/>
      <c r="C185" s="244"/>
      <c r="D185" s="244"/>
      <c r="E185" s="179"/>
      <c r="F185" s="244"/>
      <c r="G185" s="244"/>
      <c r="H185" s="244"/>
      <c r="I185" s="244"/>
      <c r="J185" s="244"/>
      <c r="K185" s="179"/>
      <c r="L185" s="244"/>
      <c r="M185" s="244"/>
      <c r="N185" s="244"/>
      <c r="O185" s="244"/>
      <c r="P185" s="244"/>
      <c r="Q185" s="244"/>
      <c r="R185" s="244"/>
      <c r="S185" s="244"/>
      <c r="T185" s="244"/>
      <c r="U185" s="244"/>
      <c r="V185" s="244"/>
      <c r="W185" s="244"/>
      <c r="X185" s="244"/>
      <c r="Y185" s="244"/>
      <c r="Z185" s="244"/>
      <c r="AA185" s="244"/>
      <c r="AB185" s="244"/>
      <c r="AC185" s="244"/>
    </row>
    <row r="186" spans="1:29" ht="15.75" customHeight="1" x14ac:dyDescent="0.25">
      <c r="A186" s="244"/>
      <c r="B186" s="244"/>
      <c r="C186" s="244"/>
      <c r="D186" s="244"/>
      <c r="E186" s="179"/>
      <c r="F186" s="244"/>
      <c r="G186" s="244"/>
      <c r="H186" s="244"/>
      <c r="I186" s="244"/>
      <c r="J186" s="244"/>
      <c r="K186" s="179"/>
      <c r="L186" s="244"/>
      <c r="M186" s="244"/>
      <c r="N186" s="244"/>
      <c r="O186" s="244"/>
      <c r="P186" s="244"/>
      <c r="Q186" s="244"/>
      <c r="R186" s="244"/>
      <c r="S186" s="244"/>
      <c r="T186" s="244"/>
      <c r="U186" s="244"/>
      <c r="V186" s="244"/>
      <c r="W186" s="244"/>
      <c r="X186" s="244"/>
      <c r="Y186" s="244"/>
      <c r="Z186" s="244"/>
      <c r="AA186" s="244"/>
      <c r="AB186" s="244"/>
      <c r="AC186" s="244"/>
    </row>
    <row r="187" spans="1:29" ht="15.75" customHeight="1" x14ac:dyDescent="0.25">
      <c r="A187" s="244"/>
      <c r="B187" s="244"/>
      <c r="C187" s="244"/>
      <c r="D187" s="244"/>
      <c r="E187" s="179"/>
      <c r="F187" s="244"/>
      <c r="G187" s="244"/>
      <c r="H187" s="244"/>
      <c r="I187" s="244"/>
      <c r="J187" s="244"/>
      <c r="K187" s="179"/>
      <c r="L187" s="244"/>
      <c r="M187" s="244"/>
      <c r="N187" s="244"/>
      <c r="O187" s="244"/>
      <c r="P187" s="244"/>
      <c r="Q187" s="244"/>
      <c r="R187" s="244"/>
      <c r="S187" s="244"/>
      <c r="T187" s="244"/>
      <c r="U187" s="244"/>
      <c r="V187" s="244"/>
      <c r="W187" s="244"/>
      <c r="X187" s="244"/>
      <c r="Y187" s="244"/>
      <c r="Z187" s="244"/>
      <c r="AA187" s="244"/>
      <c r="AB187" s="244"/>
      <c r="AC187" s="244"/>
    </row>
    <row r="188" spans="1:29" ht="15.75" customHeight="1" x14ac:dyDescent="0.25">
      <c r="A188" s="244"/>
      <c r="B188" s="244"/>
      <c r="C188" s="244"/>
      <c r="D188" s="244"/>
      <c r="E188" s="179"/>
      <c r="F188" s="244"/>
      <c r="G188" s="244"/>
      <c r="H188" s="244"/>
      <c r="I188" s="244"/>
      <c r="J188" s="244"/>
      <c r="K188" s="179"/>
      <c r="L188" s="244"/>
      <c r="M188" s="244"/>
      <c r="N188" s="244"/>
      <c r="O188" s="244"/>
      <c r="P188" s="244"/>
      <c r="Q188" s="244"/>
      <c r="R188" s="244"/>
      <c r="S188" s="244"/>
      <c r="T188" s="244"/>
      <c r="U188" s="244"/>
      <c r="V188" s="244"/>
      <c r="W188" s="244"/>
      <c r="X188" s="244"/>
      <c r="Y188" s="244"/>
      <c r="Z188" s="244"/>
      <c r="AA188" s="244"/>
      <c r="AB188" s="244"/>
      <c r="AC188" s="244"/>
    </row>
    <row r="189" spans="1:29" ht="15.75" customHeight="1" x14ac:dyDescent="0.25">
      <c r="A189" s="244"/>
      <c r="B189" s="244"/>
      <c r="C189" s="244"/>
      <c r="D189" s="244"/>
      <c r="E189" s="179"/>
      <c r="F189" s="244"/>
      <c r="G189" s="244"/>
      <c r="H189" s="244"/>
      <c r="I189" s="244"/>
      <c r="J189" s="244"/>
      <c r="K189" s="179"/>
      <c r="L189" s="244"/>
      <c r="M189" s="244"/>
      <c r="N189" s="244"/>
      <c r="O189" s="244"/>
      <c r="P189" s="244"/>
      <c r="Q189" s="244"/>
      <c r="R189" s="244"/>
      <c r="S189" s="244"/>
      <c r="T189" s="244"/>
      <c r="U189" s="244"/>
      <c r="V189" s="244"/>
      <c r="W189" s="244"/>
      <c r="X189" s="244"/>
      <c r="Y189" s="244"/>
      <c r="Z189" s="244"/>
      <c r="AA189" s="244"/>
      <c r="AB189" s="244"/>
      <c r="AC189" s="244"/>
    </row>
    <row r="190" spans="1:29" ht="15.75" customHeight="1" x14ac:dyDescent="0.25">
      <c r="A190" s="244"/>
      <c r="B190" s="244"/>
      <c r="C190" s="244"/>
      <c r="D190" s="244"/>
      <c r="E190" s="179"/>
      <c r="F190" s="244"/>
      <c r="G190" s="244"/>
      <c r="H190" s="244"/>
      <c r="I190" s="244"/>
      <c r="J190" s="244"/>
      <c r="K190" s="179"/>
      <c r="L190" s="244"/>
      <c r="M190" s="244"/>
      <c r="N190" s="244"/>
      <c r="O190" s="244"/>
      <c r="P190" s="244"/>
      <c r="Q190" s="244"/>
      <c r="R190" s="244"/>
      <c r="S190" s="244"/>
      <c r="T190" s="244"/>
      <c r="U190" s="244"/>
      <c r="V190" s="244"/>
      <c r="W190" s="244"/>
      <c r="X190" s="244"/>
      <c r="Y190" s="244"/>
      <c r="Z190" s="244"/>
      <c r="AA190" s="244"/>
      <c r="AB190" s="244"/>
      <c r="AC190" s="244"/>
    </row>
    <row r="191" spans="1:29" ht="15.75" customHeight="1" x14ac:dyDescent="0.25">
      <c r="A191" s="244"/>
      <c r="B191" s="244"/>
      <c r="C191" s="244"/>
      <c r="D191" s="244"/>
      <c r="E191" s="179"/>
      <c r="F191" s="244"/>
      <c r="G191" s="244"/>
      <c r="H191" s="244"/>
      <c r="I191" s="244"/>
      <c r="J191" s="244"/>
      <c r="K191" s="179"/>
      <c r="L191" s="244"/>
      <c r="M191" s="244"/>
      <c r="N191" s="244"/>
      <c r="O191" s="244"/>
      <c r="P191" s="244"/>
      <c r="Q191" s="244"/>
      <c r="R191" s="244"/>
      <c r="S191" s="244"/>
      <c r="T191" s="244"/>
      <c r="U191" s="244"/>
      <c r="V191" s="244"/>
      <c r="W191" s="244"/>
      <c r="X191" s="244"/>
      <c r="Y191" s="244"/>
      <c r="Z191" s="244"/>
      <c r="AA191" s="244"/>
      <c r="AB191" s="244"/>
      <c r="AC191" s="244"/>
    </row>
    <row r="192" spans="1:29" ht="15.75" customHeight="1" x14ac:dyDescent="0.25">
      <c r="A192" s="244"/>
      <c r="B192" s="244"/>
      <c r="C192" s="244"/>
      <c r="D192" s="244"/>
      <c r="E192" s="179"/>
      <c r="F192" s="244"/>
      <c r="G192" s="244"/>
      <c r="H192" s="244"/>
      <c r="I192" s="244"/>
      <c r="J192" s="244"/>
      <c r="K192" s="179"/>
      <c r="L192" s="244"/>
      <c r="M192" s="244"/>
      <c r="N192" s="244"/>
      <c r="O192" s="244"/>
      <c r="P192" s="244"/>
      <c r="Q192" s="244"/>
      <c r="R192" s="244"/>
      <c r="S192" s="244"/>
      <c r="T192" s="244"/>
      <c r="U192" s="244"/>
      <c r="V192" s="244"/>
      <c r="W192" s="244"/>
      <c r="X192" s="244"/>
      <c r="Y192" s="244"/>
      <c r="Z192" s="244"/>
      <c r="AA192" s="244"/>
      <c r="AB192" s="244"/>
      <c r="AC192" s="244"/>
    </row>
    <row r="193" spans="1:29" ht="15.75" customHeight="1" x14ac:dyDescent="0.25">
      <c r="A193" s="244"/>
      <c r="B193" s="244"/>
      <c r="C193" s="244"/>
      <c r="D193" s="244"/>
      <c r="E193" s="179"/>
      <c r="F193" s="244"/>
      <c r="G193" s="244"/>
      <c r="H193" s="244"/>
      <c r="I193" s="244"/>
      <c r="J193" s="244"/>
      <c r="K193" s="179"/>
      <c r="L193" s="244"/>
      <c r="M193" s="244"/>
      <c r="N193" s="244"/>
      <c r="O193" s="244"/>
      <c r="P193" s="244"/>
      <c r="Q193" s="244"/>
      <c r="R193" s="244"/>
      <c r="S193" s="244"/>
      <c r="T193" s="244"/>
      <c r="U193" s="244"/>
      <c r="V193" s="244"/>
      <c r="W193" s="244"/>
      <c r="X193" s="244"/>
      <c r="Y193" s="244"/>
      <c r="Z193" s="244"/>
      <c r="AA193" s="244"/>
      <c r="AB193" s="244"/>
      <c r="AC193" s="244"/>
    </row>
    <row r="194" spans="1:29" ht="15.75" customHeight="1" x14ac:dyDescent="0.25">
      <c r="A194" s="244"/>
      <c r="B194" s="244"/>
      <c r="C194" s="244"/>
      <c r="D194" s="244"/>
      <c r="E194" s="179"/>
      <c r="F194" s="244"/>
      <c r="G194" s="244"/>
      <c r="H194" s="244"/>
      <c r="I194" s="244"/>
      <c r="J194" s="244"/>
      <c r="K194" s="179"/>
      <c r="L194" s="244"/>
      <c r="M194" s="244"/>
      <c r="N194" s="244"/>
      <c r="O194" s="244"/>
      <c r="P194" s="244"/>
      <c r="Q194" s="244"/>
      <c r="R194" s="244"/>
      <c r="S194" s="244"/>
      <c r="T194" s="244"/>
      <c r="U194" s="244"/>
      <c r="V194" s="244"/>
      <c r="W194" s="244"/>
      <c r="X194" s="244"/>
      <c r="Y194" s="244"/>
      <c r="Z194" s="244"/>
      <c r="AA194" s="244"/>
      <c r="AB194" s="244"/>
      <c r="AC194" s="244"/>
    </row>
    <row r="195" spans="1:29" ht="15.75" customHeight="1" x14ac:dyDescent="0.25">
      <c r="A195" s="244"/>
      <c r="B195" s="244"/>
      <c r="C195" s="244"/>
      <c r="D195" s="244"/>
      <c r="E195" s="179"/>
      <c r="F195" s="244"/>
      <c r="G195" s="244"/>
      <c r="H195" s="244"/>
      <c r="I195" s="244"/>
      <c r="J195" s="244"/>
      <c r="K195" s="179"/>
      <c r="L195" s="244"/>
      <c r="M195" s="244"/>
      <c r="N195" s="244"/>
      <c r="O195" s="244"/>
      <c r="P195" s="244"/>
      <c r="Q195" s="244"/>
      <c r="R195" s="244"/>
      <c r="S195" s="244"/>
      <c r="T195" s="244"/>
      <c r="U195" s="244"/>
      <c r="V195" s="244"/>
      <c r="W195" s="244"/>
      <c r="X195" s="244"/>
      <c r="Y195" s="244"/>
      <c r="Z195" s="244"/>
      <c r="AA195" s="244"/>
      <c r="AB195" s="244"/>
      <c r="AC195" s="244"/>
    </row>
    <row r="196" spans="1:29" ht="15.75" customHeight="1" x14ac:dyDescent="0.25">
      <c r="A196" s="244"/>
      <c r="B196" s="244"/>
      <c r="C196" s="244"/>
      <c r="D196" s="244"/>
      <c r="E196" s="179"/>
      <c r="F196" s="244"/>
      <c r="G196" s="244"/>
      <c r="H196" s="244"/>
      <c r="I196" s="244"/>
      <c r="J196" s="244"/>
      <c r="K196" s="179"/>
      <c r="L196" s="244"/>
      <c r="M196" s="244"/>
      <c r="N196" s="244"/>
      <c r="O196" s="244"/>
      <c r="P196" s="244"/>
      <c r="Q196" s="244"/>
      <c r="R196" s="244"/>
      <c r="S196" s="244"/>
      <c r="T196" s="244"/>
      <c r="U196" s="244"/>
      <c r="V196" s="244"/>
      <c r="W196" s="244"/>
      <c r="X196" s="244"/>
      <c r="Y196" s="244"/>
      <c r="Z196" s="244"/>
      <c r="AA196" s="244"/>
      <c r="AB196" s="244"/>
      <c r="AC196" s="244"/>
    </row>
    <row r="197" spans="1:29" ht="15.75" customHeight="1" x14ac:dyDescent="0.25">
      <c r="A197" s="244"/>
      <c r="B197" s="244"/>
      <c r="C197" s="244"/>
      <c r="D197" s="244"/>
      <c r="E197" s="179"/>
      <c r="F197" s="244"/>
      <c r="G197" s="244"/>
      <c r="H197" s="244"/>
      <c r="I197" s="244"/>
      <c r="J197" s="244"/>
      <c r="K197" s="179"/>
      <c r="L197" s="244"/>
      <c r="M197" s="244"/>
      <c r="N197" s="244"/>
      <c r="O197" s="244"/>
      <c r="P197" s="244"/>
      <c r="Q197" s="244"/>
      <c r="R197" s="244"/>
      <c r="S197" s="244"/>
      <c r="T197" s="244"/>
      <c r="U197" s="244"/>
      <c r="V197" s="244"/>
      <c r="W197" s="244"/>
      <c r="X197" s="244"/>
      <c r="Y197" s="244"/>
      <c r="Z197" s="244"/>
      <c r="AA197" s="244"/>
      <c r="AB197" s="244"/>
      <c r="AC197" s="244"/>
    </row>
    <row r="198" spans="1:29" ht="15.75" customHeight="1" x14ac:dyDescent="0.25">
      <c r="A198" s="244"/>
      <c r="B198" s="244"/>
      <c r="C198" s="244"/>
      <c r="D198" s="244"/>
      <c r="E198" s="179"/>
      <c r="F198" s="244"/>
      <c r="G198" s="244"/>
      <c r="H198" s="244"/>
      <c r="I198" s="244"/>
      <c r="J198" s="244"/>
      <c r="K198" s="179"/>
      <c r="L198" s="244"/>
      <c r="M198" s="244"/>
      <c r="N198" s="244"/>
      <c r="O198" s="244"/>
      <c r="P198" s="244"/>
      <c r="Q198" s="244"/>
      <c r="R198" s="244"/>
      <c r="S198" s="244"/>
      <c r="T198" s="244"/>
      <c r="U198" s="244"/>
      <c r="V198" s="244"/>
      <c r="W198" s="244"/>
      <c r="X198" s="244"/>
      <c r="Y198" s="244"/>
      <c r="Z198" s="244"/>
      <c r="AA198" s="244"/>
      <c r="AB198" s="244"/>
      <c r="AC198" s="244"/>
    </row>
    <row r="199" spans="1:29" ht="15.75" customHeight="1" x14ac:dyDescent="0.25">
      <c r="A199" s="244"/>
      <c r="B199" s="244"/>
      <c r="C199" s="244"/>
      <c r="D199" s="244"/>
      <c r="E199" s="179"/>
      <c r="F199" s="244"/>
      <c r="G199" s="244"/>
      <c r="H199" s="244"/>
      <c r="I199" s="244"/>
      <c r="J199" s="244"/>
      <c r="K199" s="179"/>
      <c r="L199" s="244"/>
      <c r="M199" s="244"/>
      <c r="N199" s="244"/>
      <c r="O199" s="244"/>
      <c r="P199" s="244"/>
      <c r="Q199" s="244"/>
      <c r="R199" s="244"/>
      <c r="S199" s="244"/>
      <c r="T199" s="244"/>
      <c r="U199" s="244"/>
      <c r="V199" s="244"/>
      <c r="W199" s="244"/>
      <c r="X199" s="244"/>
      <c r="Y199" s="244"/>
      <c r="Z199" s="244"/>
      <c r="AA199" s="244"/>
      <c r="AB199" s="244"/>
      <c r="AC199" s="244"/>
    </row>
    <row r="200" spans="1:29" ht="15.75" customHeight="1" x14ac:dyDescent="0.25">
      <c r="A200" s="244"/>
      <c r="B200" s="244"/>
      <c r="C200" s="244"/>
      <c r="D200" s="244"/>
      <c r="E200" s="179"/>
      <c r="F200" s="244"/>
      <c r="G200" s="244"/>
      <c r="H200" s="244"/>
      <c r="I200" s="244"/>
      <c r="J200" s="244"/>
      <c r="K200" s="179"/>
      <c r="L200" s="244"/>
      <c r="M200" s="244"/>
      <c r="N200" s="244"/>
      <c r="O200" s="244"/>
      <c r="P200" s="244"/>
      <c r="Q200" s="244"/>
      <c r="R200" s="244"/>
      <c r="S200" s="244"/>
      <c r="T200" s="244"/>
      <c r="U200" s="244"/>
      <c r="V200" s="244"/>
      <c r="W200" s="244"/>
      <c r="X200" s="244"/>
      <c r="Y200" s="244"/>
      <c r="Z200" s="244"/>
      <c r="AA200" s="244"/>
      <c r="AB200" s="244"/>
      <c r="AC200" s="244"/>
    </row>
    <row r="201" spans="1:29" ht="15.75" customHeight="1" x14ac:dyDescent="0.25">
      <c r="A201" s="244"/>
      <c r="B201" s="244"/>
      <c r="C201" s="244"/>
      <c r="D201" s="244"/>
      <c r="E201" s="179"/>
      <c r="F201" s="244"/>
      <c r="G201" s="244"/>
      <c r="H201" s="244"/>
      <c r="I201" s="244"/>
      <c r="J201" s="244"/>
      <c r="K201" s="179"/>
      <c r="L201" s="244"/>
      <c r="M201" s="244"/>
      <c r="N201" s="244"/>
      <c r="O201" s="244"/>
      <c r="P201" s="244"/>
      <c r="Q201" s="244"/>
      <c r="R201" s="244"/>
      <c r="S201" s="244"/>
      <c r="T201" s="244"/>
      <c r="U201" s="244"/>
      <c r="V201" s="244"/>
      <c r="W201" s="244"/>
      <c r="X201" s="244"/>
      <c r="Y201" s="244"/>
      <c r="Z201" s="244"/>
      <c r="AA201" s="244"/>
      <c r="AB201" s="244"/>
      <c r="AC201" s="244"/>
    </row>
    <row r="202" spans="1:29" ht="15.75" customHeight="1" x14ac:dyDescent="0.25">
      <c r="A202" s="244"/>
      <c r="B202" s="244"/>
      <c r="C202" s="244"/>
      <c r="D202" s="244"/>
      <c r="E202" s="179"/>
      <c r="F202" s="244"/>
      <c r="G202" s="244"/>
      <c r="H202" s="244"/>
      <c r="I202" s="244"/>
      <c r="J202" s="244"/>
      <c r="K202" s="179"/>
      <c r="L202" s="244"/>
      <c r="M202" s="244"/>
      <c r="N202" s="244"/>
      <c r="O202" s="244"/>
      <c r="P202" s="244"/>
      <c r="Q202" s="244"/>
      <c r="R202" s="244"/>
      <c r="S202" s="244"/>
      <c r="T202" s="244"/>
      <c r="U202" s="244"/>
      <c r="V202" s="244"/>
      <c r="W202" s="244"/>
      <c r="X202" s="244"/>
      <c r="Y202" s="244"/>
      <c r="Z202" s="244"/>
      <c r="AA202" s="244"/>
      <c r="AB202" s="244"/>
      <c r="AC202" s="244"/>
    </row>
    <row r="203" spans="1:29" ht="15.75" customHeight="1" x14ac:dyDescent="0.25">
      <c r="A203" s="244"/>
      <c r="B203" s="244"/>
      <c r="C203" s="244"/>
      <c r="D203" s="244"/>
      <c r="E203" s="179"/>
      <c r="F203" s="244"/>
      <c r="G203" s="244"/>
      <c r="H203" s="244"/>
      <c r="I203" s="244"/>
      <c r="J203" s="244"/>
      <c r="K203" s="179"/>
      <c r="L203" s="244"/>
      <c r="M203" s="244"/>
      <c r="N203" s="244"/>
      <c r="O203" s="244"/>
      <c r="P203" s="244"/>
      <c r="Q203" s="244"/>
      <c r="R203" s="244"/>
      <c r="S203" s="244"/>
      <c r="T203" s="244"/>
      <c r="U203" s="244"/>
      <c r="V203" s="244"/>
      <c r="W203" s="244"/>
      <c r="X203" s="244"/>
      <c r="Y203" s="244"/>
      <c r="Z203" s="244"/>
      <c r="AA203" s="244"/>
      <c r="AB203" s="244"/>
      <c r="AC203" s="244"/>
    </row>
    <row r="204" spans="1:29" ht="15.75" customHeight="1" x14ac:dyDescent="0.25">
      <c r="A204" s="244"/>
      <c r="B204" s="244"/>
      <c r="C204" s="244"/>
      <c r="D204" s="244"/>
      <c r="E204" s="179"/>
      <c r="F204" s="244"/>
      <c r="G204" s="244"/>
      <c r="H204" s="244"/>
      <c r="I204" s="244"/>
      <c r="J204" s="244"/>
      <c r="K204" s="179"/>
      <c r="L204" s="244"/>
      <c r="M204" s="244"/>
      <c r="N204" s="244"/>
      <c r="O204" s="244"/>
      <c r="P204" s="244"/>
      <c r="Q204" s="244"/>
      <c r="R204" s="244"/>
      <c r="S204" s="244"/>
      <c r="T204" s="244"/>
      <c r="U204" s="244"/>
      <c r="V204" s="244"/>
      <c r="W204" s="244"/>
      <c r="X204" s="244"/>
      <c r="Y204" s="244"/>
      <c r="Z204" s="244"/>
      <c r="AA204" s="244"/>
      <c r="AB204" s="244"/>
      <c r="AC204" s="244"/>
    </row>
    <row r="205" spans="1:29" ht="15.75" customHeight="1" x14ac:dyDescent="0.25">
      <c r="A205" s="244"/>
      <c r="B205" s="244"/>
      <c r="C205" s="244"/>
      <c r="D205" s="244"/>
      <c r="E205" s="179"/>
      <c r="F205" s="244"/>
      <c r="G205" s="244"/>
      <c r="H205" s="244"/>
      <c r="I205" s="244"/>
      <c r="J205" s="244"/>
      <c r="K205" s="179"/>
      <c r="L205" s="244"/>
      <c r="M205" s="244"/>
      <c r="N205" s="244"/>
      <c r="O205" s="244"/>
      <c r="P205" s="244"/>
      <c r="Q205" s="244"/>
      <c r="R205" s="244"/>
      <c r="S205" s="244"/>
      <c r="T205" s="244"/>
      <c r="U205" s="244"/>
      <c r="V205" s="244"/>
      <c r="W205" s="244"/>
      <c r="X205" s="244"/>
      <c r="Y205" s="244"/>
      <c r="Z205" s="244"/>
      <c r="AA205" s="244"/>
      <c r="AB205" s="244"/>
      <c r="AC205" s="244"/>
    </row>
    <row r="206" spans="1:29" ht="15.75" customHeight="1" x14ac:dyDescent="0.25">
      <c r="A206" s="244"/>
      <c r="B206" s="244"/>
      <c r="C206" s="244"/>
      <c r="D206" s="244"/>
      <c r="E206" s="179"/>
      <c r="F206" s="244"/>
      <c r="G206" s="244"/>
      <c r="H206" s="244"/>
      <c r="I206" s="244"/>
      <c r="J206" s="244"/>
      <c r="K206" s="179"/>
      <c r="L206" s="244"/>
      <c r="M206" s="244"/>
      <c r="N206" s="244"/>
      <c r="O206" s="244"/>
      <c r="P206" s="244"/>
      <c r="Q206" s="244"/>
      <c r="R206" s="244"/>
      <c r="S206" s="244"/>
      <c r="T206" s="244"/>
      <c r="U206" s="244"/>
      <c r="V206" s="244"/>
      <c r="W206" s="244"/>
      <c r="X206" s="244"/>
      <c r="Y206" s="244"/>
      <c r="Z206" s="244"/>
      <c r="AA206" s="244"/>
      <c r="AB206" s="244"/>
      <c r="AC206" s="244"/>
    </row>
    <row r="207" spans="1:29" ht="15.75" customHeight="1" x14ac:dyDescent="0.25">
      <c r="A207" s="244"/>
      <c r="B207" s="244"/>
      <c r="C207" s="244"/>
      <c r="D207" s="244"/>
      <c r="E207" s="179"/>
      <c r="F207" s="244"/>
      <c r="G207" s="244"/>
      <c r="H207" s="244"/>
      <c r="I207" s="244"/>
      <c r="J207" s="244"/>
      <c r="K207" s="179"/>
      <c r="L207" s="244"/>
      <c r="M207" s="244"/>
      <c r="N207" s="244"/>
      <c r="O207" s="244"/>
      <c r="P207" s="244"/>
      <c r="Q207" s="244"/>
      <c r="R207" s="244"/>
      <c r="S207" s="244"/>
      <c r="T207" s="244"/>
      <c r="U207" s="244"/>
      <c r="V207" s="244"/>
      <c r="W207" s="244"/>
      <c r="X207" s="244"/>
      <c r="Y207" s="244"/>
      <c r="Z207" s="244"/>
      <c r="AA207" s="244"/>
      <c r="AB207" s="244"/>
      <c r="AC207" s="244"/>
    </row>
    <row r="208" spans="1:29" ht="15.75" customHeight="1" x14ac:dyDescent="0.25">
      <c r="A208" s="244"/>
      <c r="B208" s="244"/>
      <c r="C208" s="244"/>
      <c r="D208" s="244"/>
      <c r="E208" s="179"/>
      <c r="F208" s="244"/>
      <c r="G208" s="244"/>
      <c r="H208" s="244"/>
      <c r="I208" s="244"/>
      <c r="J208" s="244"/>
      <c r="K208" s="179"/>
      <c r="L208" s="244"/>
      <c r="M208" s="244"/>
      <c r="N208" s="244"/>
      <c r="O208" s="244"/>
      <c r="P208" s="244"/>
      <c r="Q208" s="244"/>
      <c r="R208" s="244"/>
      <c r="S208" s="244"/>
      <c r="T208" s="244"/>
      <c r="U208" s="244"/>
      <c r="V208" s="244"/>
      <c r="W208" s="244"/>
      <c r="X208" s="244"/>
      <c r="Y208" s="244"/>
      <c r="Z208" s="244"/>
      <c r="AA208" s="244"/>
      <c r="AB208" s="244"/>
      <c r="AC208" s="244"/>
    </row>
    <row r="209" spans="1:29" ht="15.75" customHeight="1" x14ac:dyDescent="0.25">
      <c r="A209" s="244"/>
      <c r="B209" s="244"/>
      <c r="C209" s="244"/>
      <c r="D209" s="244"/>
      <c r="E209" s="179"/>
      <c r="F209" s="244"/>
      <c r="G209" s="244"/>
      <c r="H209" s="244"/>
      <c r="I209" s="244"/>
      <c r="J209" s="244"/>
      <c r="K209" s="179"/>
      <c r="L209" s="244"/>
      <c r="M209" s="244"/>
      <c r="N209" s="244"/>
      <c r="O209" s="244"/>
      <c r="P209" s="244"/>
      <c r="Q209" s="244"/>
      <c r="R209" s="244"/>
      <c r="S209" s="244"/>
      <c r="T209" s="244"/>
      <c r="U209" s="244"/>
      <c r="V209" s="244"/>
      <c r="W209" s="244"/>
      <c r="X209" s="244"/>
      <c r="Y209" s="244"/>
      <c r="Z209" s="244"/>
      <c r="AA209" s="244"/>
      <c r="AB209" s="244"/>
      <c r="AC209" s="244"/>
    </row>
    <row r="210" spans="1:29" ht="15.75" customHeight="1" x14ac:dyDescent="0.25">
      <c r="A210" s="244"/>
      <c r="B210" s="244"/>
      <c r="C210" s="244"/>
      <c r="D210" s="244"/>
      <c r="E210" s="179"/>
      <c r="F210" s="244"/>
      <c r="G210" s="244"/>
      <c r="H210" s="244"/>
      <c r="I210" s="244"/>
      <c r="J210" s="244"/>
      <c r="K210" s="179"/>
      <c r="L210" s="244"/>
      <c r="M210" s="244"/>
      <c r="N210" s="244"/>
      <c r="O210" s="244"/>
      <c r="P210" s="244"/>
      <c r="Q210" s="244"/>
      <c r="R210" s="244"/>
      <c r="S210" s="244"/>
      <c r="T210" s="244"/>
      <c r="U210" s="244"/>
      <c r="V210" s="244"/>
      <c r="W210" s="244"/>
      <c r="X210" s="244"/>
      <c r="Y210" s="244"/>
      <c r="Z210" s="244"/>
      <c r="AA210" s="244"/>
      <c r="AB210" s="244"/>
      <c r="AC210" s="244"/>
    </row>
    <row r="211" spans="1:29" ht="15.75" customHeight="1" x14ac:dyDescent="0.25">
      <c r="A211" s="244"/>
      <c r="B211" s="244"/>
      <c r="C211" s="244"/>
      <c r="D211" s="244"/>
      <c r="E211" s="179"/>
      <c r="F211" s="244"/>
      <c r="G211" s="244"/>
      <c r="H211" s="244"/>
      <c r="I211" s="244"/>
      <c r="J211" s="244"/>
      <c r="K211" s="179"/>
      <c r="L211" s="244"/>
      <c r="M211" s="244"/>
      <c r="N211" s="244"/>
      <c r="O211" s="244"/>
      <c r="P211" s="244"/>
      <c r="Q211" s="244"/>
      <c r="R211" s="244"/>
      <c r="S211" s="244"/>
      <c r="T211" s="244"/>
      <c r="U211" s="244"/>
      <c r="V211" s="244"/>
      <c r="W211" s="244"/>
      <c r="X211" s="244"/>
      <c r="Y211" s="244"/>
      <c r="Z211" s="244"/>
      <c r="AA211" s="244"/>
      <c r="AB211" s="244"/>
      <c r="AC211" s="244"/>
    </row>
    <row r="212" spans="1:29" ht="15.75" customHeight="1" x14ac:dyDescent="0.25">
      <c r="A212" s="244"/>
      <c r="B212" s="244"/>
      <c r="C212" s="244"/>
      <c r="D212" s="244"/>
      <c r="E212" s="179"/>
      <c r="F212" s="244"/>
      <c r="G212" s="244"/>
      <c r="H212" s="244"/>
      <c r="I212" s="244"/>
      <c r="J212" s="244"/>
      <c r="K212" s="179"/>
      <c r="L212" s="244"/>
      <c r="M212" s="244"/>
      <c r="N212" s="244"/>
      <c r="O212" s="244"/>
      <c r="P212" s="244"/>
      <c r="Q212" s="244"/>
      <c r="R212" s="244"/>
      <c r="S212" s="244"/>
      <c r="T212" s="244"/>
      <c r="U212" s="244"/>
      <c r="V212" s="244"/>
      <c r="W212" s="244"/>
      <c r="X212" s="244"/>
      <c r="Y212" s="244"/>
      <c r="Z212" s="244"/>
      <c r="AA212" s="244"/>
      <c r="AB212" s="244"/>
      <c r="AC212" s="244"/>
    </row>
    <row r="213" spans="1:29" ht="15.75" customHeight="1" x14ac:dyDescent="0.25">
      <c r="A213" s="244"/>
      <c r="B213" s="244"/>
      <c r="C213" s="244"/>
      <c r="D213" s="244"/>
      <c r="E213" s="179"/>
      <c r="F213" s="244"/>
      <c r="G213" s="244"/>
      <c r="H213" s="244"/>
      <c r="I213" s="244"/>
      <c r="J213" s="244"/>
      <c r="K213" s="179"/>
      <c r="L213" s="244"/>
      <c r="M213" s="244"/>
      <c r="N213" s="244"/>
      <c r="O213" s="244"/>
      <c r="P213" s="244"/>
      <c r="Q213" s="244"/>
      <c r="R213" s="244"/>
      <c r="S213" s="244"/>
      <c r="T213" s="244"/>
      <c r="U213" s="244"/>
      <c r="V213" s="244"/>
      <c r="W213" s="244"/>
      <c r="X213" s="244"/>
      <c r="Y213" s="244"/>
      <c r="Z213" s="244"/>
      <c r="AA213" s="244"/>
      <c r="AB213" s="244"/>
      <c r="AC213" s="244"/>
    </row>
    <row r="214" spans="1:29" ht="15.75" customHeight="1" x14ac:dyDescent="0.25">
      <c r="A214" s="244"/>
      <c r="B214" s="244"/>
      <c r="C214" s="244"/>
      <c r="D214" s="244"/>
      <c r="E214" s="179"/>
      <c r="F214" s="244"/>
      <c r="G214" s="244"/>
      <c r="H214" s="244"/>
      <c r="I214" s="244"/>
      <c r="J214" s="244"/>
      <c r="K214" s="179"/>
      <c r="L214" s="244"/>
      <c r="M214" s="244"/>
      <c r="N214" s="244"/>
      <c r="O214" s="244"/>
      <c r="P214" s="244"/>
      <c r="Q214" s="244"/>
      <c r="R214" s="244"/>
      <c r="S214" s="244"/>
      <c r="T214" s="244"/>
      <c r="U214" s="244"/>
      <c r="V214" s="244"/>
      <c r="W214" s="244"/>
      <c r="X214" s="244"/>
      <c r="Y214" s="244"/>
      <c r="Z214" s="244"/>
      <c r="AA214" s="244"/>
      <c r="AB214" s="244"/>
      <c r="AC214" s="244"/>
    </row>
    <row r="215" spans="1:29" ht="15.75" customHeight="1" x14ac:dyDescent="0.25">
      <c r="A215" s="244"/>
      <c r="B215" s="244"/>
      <c r="C215" s="244"/>
      <c r="D215" s="244"/>
      <c r="E215" s="179"/>
      <c r="F215" s="244"/>
      <c r="G215" s="244"/>
      <c r="H215" s="244"/>
      <c r="I215" s="244"/>
      <c r="J215" s="244"/>
      <c r="K215" s="179"/>
      <c r="L215" s="244"/>
      <c r="M215" s="244"/>
      <c r="N215" s="244"/>
      <c r="O215" s="244"/>
      <c r="P215" s="244"/>
      <c r="Q215" s="244"/>
      <c r="R215" s="244"/>
      <c r="S215" s="244"/>
      <c r="T215" s="244"/>
      <c r="U215" s="244"/>
      <c r="V215" s="244"/>
      <c r="W215" s="244"/>
      <c r="X215" s="244"/>
      <c r="Y215" s="244"/>
      <c r="Z215" s="244"/>
      <c r="AA215" s="244"/>
      <c r="AB215" s="244"/>
      <c r="AC215" s="244"/>
    </row>
    <row r="216" spans="1:29" ht="15.75" customHeight="1" x14ac:dyDescent="0.25">
      <c r="A216" s="244"/>
      <c r="B216" s="244"/>
      <c r="C216" s="244"/>
      <c r="D216" s="244"/>
      <c r="E216" s="179"/>
      <c r="F216" s="244"/>
      <c r="G216" s="244"/>
      <c r="H216" s="244"/>
      <c r="I216" s="244"/>
      <c r="J216" s="244"/>
      <c r="K216" s="179"/>
      <c r="L216" s="244"/>
      <c r="M216" s="244"/>
      <c r="N216" s="244"/>
      <c r="O216" s="244"/>
      <c r="P216" s="244"/>
      <c r="Q216" s="244"/>
      <c r="R216" s="244"/>
      <c r="S216" s="244"/>
      <c r="T216" s="244"/>
      <c r="U216" s="244"/>
      <c r="V216" s="244"/>
      <c r="W216" s="244"/>
      <c r="X216" s="244"/>
      <c r="Y216" s="244"/>
      <c r="Z216" s="244"/>
      <c r="AA216" s="244"/>
      <c r="AB216" s="244"/>
      <c r="AC216" s="244"/>
    </row>
    <row r="217" spans="1:29" ht="15.75" customHeight="1" x14ac:dyDescent="0.25">
      <c r="A217" s="244"/>
      <c r="B217" s="244"/>
      <c r="C217" s="244"/>
      <c r="D217" s="244"/>
      <c r="E217" s="179"/>
      <c r="F217" s="244"/>
      <c r="G217" s="244"/>
      <c r="H217" s="244"/>
      <c r="I217" s="244"/>
      <c r="J217" s="244"/>
      <c r="K217" s="179"/>
      <c r="L217" s="244"/>
      <c r="M217" s="244"/>
      <c r="N217" s="244"/>
      <c r="O217" s="244"/>
      <c r="P217" s="244"/>
      <c r="Q217" s="244"/>
      <c r="R217" s="244"/>
      <c r="S217" s="244"/>
      <c r="T217" s="244"/>
      <c r="U217" s="244"/>
      <c r="V217" s="244"/>
      <c r="W217" s="244"/>
      <c r="X217" s="244"/>
      <c r="Y217" s="244"/>
      <c r="Z217" s="244"/>
      <c r="AA217" s="244"/>
      <c r="AB217" s="244"/>
      <c r="AC217" s="244"/>
    </row>
    <row r="218" spans="1:29" ht="15.75" customHeight="1" x14ac:dyDescent="0.25">
      <c r="A218" s="244"/>
      <c r="B218" s="244"/>
      <c r="C218" s="244"/>
      <c r="D218" s="244"/>
      <c r="E218" s="179"/>
      <c r="F218" s="244"/>
      <c r="G218" s="244"/>
      <c r="H218" s="244"/>
      <c r="I218" s="244"/>
      <c r="J218" s="244"/>
      <c r="K218" s="179"/>
      <c r="L218" s="244"/>
      <c r="M218" s="244"/>
      <c r="N218" s="244"/>
      <c r="O218" s="244"/>
      <c r="P218" s="244"/>
      <c r="Q218" s="244"/>
      <c r="R218" s="244"/>
      <c r="S218" s="244"/>
      <c r="T218" s="244"/>
      <c r="U218" s="244"/>
      <c r="V218" s="244"/>
      <c r="W218" s="244"/>
      <c r="X218" s="244"/>
      <c r="Y218" s="244"/>
      <c r="Z218" s="244"/>
      <c r="AA218" s="244"/>
      <c r="AB218" s="244"/>
      <c r="AC218" s="244"/>
    </row>
    <row r="219" spans="1:29" ht="15.75" customHeight="1" x14ac:dyDescent="0.25">
      <c r="A219" s="244"/>
      <c r="B219" s="244"/>
      <c r="C219" s="244"/>
      <c r="D219" s="244"/>
      <c r="E219" s="179"/>
      <c r="F219" s="244"/>
      <c r="G219" s="244"/>
      <c r="H219" s="244"/>
      <c r="I219" s="244"/>
      <c r="J219" s="244"/>
      <c r="K219" s="179"/>
      <c r="L219" s="244"/>
      <c r="M219" s="244"/>
      <c r="N219" s="244"/>
      <c r="O219" s="244"/>
      <c r="P219" s="244"/>
      <c r="Q219" s="244"/>
      <c r="R219" s="244"/>
      <c r="S219" s="244"/>
      <c r="T219" s="244"/>
      <c r="U219" s="244"/>
      <c r="V219" s="244"/>
      <c r="W219" s="244"/>
      <c r="X219" s="244"/>
      <c r="Y219" s="244"/>
      <c r="Z219" s="244"/>
      <c r="AA219" s="244"/>
      <c r="AB219" s="244"/>
      <c r="AC219" s="244"/>
    </row>
    <row r="220" spans="1:29" ht="15.75" customHeight="1" x14ac:dyDescent="0.25">
      <c r="A220" s="244"/>
      <c r="B220" s="244"/>
      <c r="C220" s="244"/>
      <c r="D220" s="244"/>
      <c r="E220" s="179"/>
      <c r="F220" s="244"/>
      <c r="G220" s="244"/>
      <c r="H220" s="244"/>
      <c r="I220" s="244"/>
      <c r="J220" s="244"/>
      <c r="K220" s="179"/>
      <c r="L220" s="244"/>
      <c r="M220" s="244"/>
      <c r="N220" s="244"/>
      <c r="O220" s="244"/>
      <c r="P220" s="244"/>
      <c r="Q220" s="244"/>
      <c r="R220" s="244"/>
      <c r="S220" s="244"/>
      <c r="T220" s="244"/>
      <c r="U220" s="244"/>
      <c r="V220" s="244"/>
      <c r="W220" s="244"/>
      <c r="X220" s="244"/>
      <c r="Y220" s="244"/>
      <c r="Z220" s="244"/>
      <c r="AA220" s="244"/>
      <c r="AB220" s="244"/>
      <c r="AC220" s="244"/>
    </row>
    <row r="221" spans="1:29" ht="15.75" customHeight="1" x14ac:dyDescent="0.25">
      <c r="A221" s="244"/>
      <c r="B221" s="244"/>
      <c r="C221" s="244"/>
      <c r="D221" s="244"/>
      <c r="E221" s="179"/>
      <c r="F221" s="244"/>
      <c r="G221" s="244"/>
      <c r="H221" s="244"/>
      <c r="I221" s="244"/>
      <c r="J221" s="244"/>
      <c r="K221" s="179"/>
      <c r="L221" s="244"/>
      <c r="M221" s="244"/>
      <c r="N221" s="244"/>
      <c r="O221" s="244"/>
      <c r="P221" s="244"/>
      <c r="Q221" s="244"/>
      <c r="R221" s="244"/>
      <c r="S221" s="244"/>
      <c r="T221" s="244"/>
      <c r="U221" s="244"/>
      <c r="V221" s="244"/>
      <c r="W221" s="244"/>
      <c r="X221" s="244"/>
      <c r="Y221" s="244"/>
      <c r="Z221" s="244"/>
      <c r="AA221" s="244"/>
      <c r="AB221" s="244"/>
      <c r="AC221" s="244"/>
    </row>
    <row r="222" spans="1:29" ht="15.75" customHeight="1" x14ac:dyDescent="0.25">
      <c r="A222" s="244"/>
      <c r="B222" s="244"/>
      <c r="C222" s="244"/>
      <c r="D222" s="244"/>
      <c r="E222" s="179"/>
      <c r="F222" s="244"/>
      <c r="G222" s="244"/>
      <c r="H222" s="244"/>
      <c r="I222" s="244"/>
      <c r="J222" s="244"/>
      <c r="K222" s="179"/>
      <c r="L222" s="244"/>
      <c r="M222" s="244"/>
      <c r="N222" s="244"/>
      <c r="O222" s="244"/>
      <c r="P222" s="244"/>
      <c r="Q222" s="244"/>
      <c r="R222" s="244"/>
      <c r="S222" s="244"/>
      <c r="T222" s="244"/>
      <c r="U222" s="244"/>
      <c r="V222" s="244"/>
      <c r="W222" s="244"/>
      <c r="X222" s="244"/>
      <c r="Y222" s="244"/>
      <c r="Z222" s="244"/>
      <c r="AA222" s="244"/>
      <c r="AB222" s="244"/>
      <c r="AC222" s="244"/>
    </row>
    <row r="223" spans="1:29" ht="15.75" customHeight="1" x14ac:dyDescent="0.25">
      <c r="A223" s="244"/>
      <c r="B223" s="244"/>
      <c r="C223" s="244"/>
      <c r="D223" s="244"/>
      <c r="E223" s="179"/>
      <c r="F223" s="244"/>
      <c r="G223" s="244"/>
      <c r="H223" s="244"/>
      <c r="I223" s="244"/>
      <c r="J223" s="244"/>
      <c r="K223" s="179"/>
      <c r="L223" s="244"/>
      <c r="M223" s="244"/>
      <c r="N223" s="244"/>
      <c r="O223" s="244"/>
      <c r="P223" s="244"/>
      <c r="Q223" s="244"/>
      <c r="R223" s="244"/>
      <c r="S223" s="244"/>
      <c r="T223" s="244"/>
      <c r="U223" s="244"/>
      <c r="V223" s="244"/>
      <c r="W223" s="244"/>
      <c r="X223" s="244"/>
      <c r="Y223" s="244"/>
      <c r="Z223" s="244"/>
      <c r="AA223" s="244"/>
      <c r="AB223" s="244"/>
      <c r="AC223" s="244"/>
    </row>
    <row r="224" spans="1:29" ht="15.75" customHeight="1" x14ac:dyDescent="0.25">
      <c r="A224" s="244"/>
      <c r="B224" s="244"/>
      <c r="C224" s="244"/>
      <c r="D224" s="244"/>
      <c r="E224" s="179"/>
      <c r="F224" s="244"/>
      <c r="G224" s="244"/>
      <c r="H224" s="244"/>
      <c r="I224" s="244"/>
      <c r="J224" s="244"/>
      <c r="K224" s="179"/>
      <c r="L224" s="244"/>
      <c r="M224" s="244"/>
      <c r="N224" s="244"/>
      <c r="O224" s="244"/>
      <c r="P224" s="244"/>
      <c r="Q224" s="244"/>
      <c r="R224" s="244"/>
      <c r="S224" s="244"/>
      <c r="T224" s="244"/>
      <c r="U224" s="244"/>
      <c r="V224" s="244"/>
      <c r="W224" s="244"/>
      <c r="X224" s="244"/>
      <c r="Y224" s="244"/>
      <c r="Z224" s="244"/>
      <c r="AA224" s="244"/>
      <c r="AB224" s="244"/>
      <c r="AC224" s="244"/>
    </row>
    <row r="225" spans="1:29" ht="15.75" customHeight="1" x14ac:dyDescent="0.25">
      <c r="A225" s="244"/>
      <c r="B225" s="244"/>
      <c r="C225" s="244"/>
      <c r="D225" s="244"/>
      <c r="E225" s="179"/>
      <c r="F225" s="244"/>
      <c r="G225" s="244"/>
      <c r="H225" s="244"/>
      <c r="I225" s="244"/>
      <c r="J225" s="244"/>
      <c r="K225" s="179"/>
      <c r="L225" s="244"/>
      <c r="M225" s="244"/>
      <c r="N225" s="244"/>
      <c r="O225" s="244"/>
      <c r="P225" s="244"/>
      <c r="Q225" s="244"/>
      <c r="R225" s="244"/>
      <c r="S225" s="244"/>
      <c r="T225" s="244"/>
      <c r="U225" s="244"/>
      <c r="V225" s="244"/>
      <c r="W225" s="244"/>
      <c r="X225" s="244"/>
      <c r="Y225" s="244"/>
      <c r="Z225" s="244"/>
      <c r="AA225" s="244"/>
      <c r="AB225" s="244"/>
      <c r="AC225" s="244"/>
    </row>
    <row r="226" spans="1:29" ht="15.75" customHeight="1" x14ac:dyDescent="0.25">
      <c r="A226" s="244"/>
      <c r="B226" s="244"/>
      <c r="C226" s="244"/>
      <c r="D226" s="244"/>
      <c r="E226" s="179"/>
      <c r="F226" s="244"/>
      <c r="G226" s="244"/>
      <c r="H226" s="244"/>
      <c r="I226" s="244"/>
      <c r="J226" s="244"/>
      <c r="K226" s="179"/>
      <c r="L226" s="244"/>
      <c r="M226" s="244"/>
      <c r="N226" s="244"/>
      <c r="O226" s="244"/>
      <c r="P226" s="244"/>
      <c r="Q226" s="244"/>
      <c r="R226" s="244"/>
      <c r="S226" s="244"/>
      <c r="T226" s="244"/>
      <c r="U226" s="244"/>
      <c r="V226" s="244"/>
      <c r="W226" s="244"/>
      <c r="X226" s="244"/>
      <c r="Y226" s="244"/>
      <c r="Z226" s="244"/>
      <c r="AA226" s="244"/>
      <c r="AB226" s="244"/>
      <c r="AC226" s="244"/>
    </row>
    <row r="227" spans="1:29" ht="15.75" customHeight="1" x14ac:dyDescent="0.25">
      <c r="A227" s="244"/>
      <c r="B227" s="244"/>
      <c r="C227" s="244"/>
      <c r="D227" s="244"/>
      <c r="E227" s="179"/>
      <c r="F227" s="244"/>
      <c r="G227" s="244"/>
      <c r="H227" s="244"/>
      <c r="I227" s="244"/>
      <c r="J227" s="244"/>
      <c r="K227" s="179"/>
      <c r="L227" s="244"/>
      <c r="M227" s="244"/>
      <c r="N227" s="244"/>
      <c r="O227" s="244"/>
      <c r="P227" s="244"/>
      <c r="Q227" s="244"/>
      <c r="R227" s="244"/>
      <c r="S227" s="244"/>
      <c r="T227" s="244"/>
      <c r="U227" s="244"/>
      <c r="V227" s="244"/>
      <c r="W227" s="244"/>
      <c r="X227" s="244"/>
      <c r="Y227" s="244"/>
      <c r="Z227" s="244"/>
      <c r="AA227" s="244"/>
      <c r="AB227" s="244"/>
      <c r="AC227" s="244"/>
    </row>
    <row r="228" spans="1:29" ht="15.75" customHeight="1" x14ac:dyDescent="0.25">
      <c r="A228" s="244"/>
      <c r="B228" s="244"/>
      <c r="C228" s="244"/>
      <c r="D228" s="244"/>
      <c r="E228" s="179"/>
      <c r="F228" s="244"/>
      <c r="G228" s="244"/>
      <c r="H228" s="244"/>
      <c r="I228" s="244"/>
      <c r="J228" s="244"/>
      <c r="K228" s="179"/>
      <c r="L228" s="244"/>
      <c r="M228" s="244"/>
      <c r="N228" s="244"/>
      <c r="O228" s="244"/>
      <c r="P228" s="244"/>
      <c r="Q228" s="244"/>
      <c r="R228" s="244"/>
      <c r="S228" s="244"/>
      <c r="T228" s="244"/>
      <c r="U228" s="244"/>
      <c r="V228" s="244"/>
      <c r="W228" s="244"/>
      <c r="X228" s="244"/>
      <c r="Y228" s="244"/>
      <c r="Z228" s="244"/>
      <c r="AA228" s="244"/>
      <c r="AB228" s="244"/>
      <c r="AC228" s="244"/>
    </row>
    <row r="229" spans="1:29" ht="15.75" customHeight="1" x14ac:dyDescent="0.25">
      <c r="A229" s="244"/>
      <c r="B229" s="244"/>
      <c r="C229" s="244"/>
      <c r="D229" s="244"/>
      <c r="E229" s="179"/>
      <c r="F229" s="244"/>
      <c r="G229" s="244"/>
      <c r="H229" s="244"/>
      <c r="I229" s="244"/>
      <c r="J229" s="244"/>
      <c r="K229" s="179"/>
      <c r="L229" s="244"/>
      <c r="M229" s="244"/>
      <c r="N229" s="244"/>
      <c r="O229" s="244"/>
      <c r="P229" s="244"/>
      <c r="Q229" s="244"/>
      <c r="R229" s="244"/>
      <c r="S229" s="244"/>
      <c r="T229" s="244"/>
      <c r="U229" s="244"/>
      <c r="V229" s="244"/>
      <c r="W229" s="244"/>
      <c r="X229" s="244"/>
      <c r="Y229" s="244"/>
      <c r="Z229" s="244"/>
      <c r="AA229" s="244"/>
      <c r="AB229" s="244"/>
      <c r="AC229" s="244"/>
    </row>
    <row r="230" spans="1:29" ht="15.75" customHeight="1" x14ac:dyDescent="0.25">
      <c r="A230" s="244"/>
      <c r="B230" s="244"/>
      <c r="C230" s="244"/>
      <c r="D230" s="244"/>
      <c r="E230" s="179"/>
      <c r="F230" s="244"/>
      <c r="G230" s="244"/>
      <c r="H230" s="244"/>
      <c r="I230" s="244"/>
      <c r="J230" s="244"/>
      <c r="K230" s="179"/>
      <c r="L230" s="244"/>
      <c r="M230" s="244"/>
      <c r="N230" s="244"/>
      <c r="O230" s="244"/>
      <c r="P230" s="244"/>
      <c r="Q230" s="244"/>
      <c r="R230" s="244"/>
      <c r="S230" s="244"/>
      <c r="T230" s="244"/>
      <c r="U230" s="244"/>
      <c r="V230" s="244"/>
      <c r="W230" s="244"/>
      <c r="X230" s="244"/>
      <c r="Y230" s="244"/>
      <c r="Z230" s="244"/>
      <c r="AA230" s="244"/>
      <c r="AB230" s="244"/>
      <c r="AC230" s="244"/>
    </row>
    <row r="231" spans="1:29" ht="15.75" customHeight="1" x14ac:dyDescent="0.25">
      <c r="A231" s="244"/>
      <c r="B231" s="244"/>
      <c r="C231" s="244"/>
      <c r="D231" s="244"/>
      <c r="E231" s="179"/>
      <c r="F231" s="244"/>
      <c r="G231" s="244"/>
      <c r="H231" s="244"/>
      <c r="I231" s="244"/>
      <c r="J231" s="244"/>
      <c r="K231" s="179"/>
      <c r="L231" s="244"/>
      <c r="M231" s="244"/>
      <c r="N231" s="244"/>
      <c r="O231" s="244"/>
      <c r="P231" s="244"/>
      <c r="Q231" s="244"/>
      <c r="R231" s="244"/>
      <c r="S231" s="244"/>
      <c r="T231" s="244"/>
      <c r="U231" s="244"/>
      <c r="V231" s="244"/>
      <c r="W231" s="244"/>
      <c r="X231" s="244"/>
      <c r="Y231" s="244"/>
      <c r="Z231" s="244"/>
      <c r="AA231" s="244"/>
      <c r="AB231" s="244"/>
      <c r="AC231" s="244"/>
    </row>
    <row r="232" spans="1:29" ht="15.75" customHeight="1" x14ac:dyDescent="0.25">
      <c r="A232" s="244"/>
      <c r="B232" s="244"/>
      <c r="C232" s="244"/>
      <c r="D232" s="244"/>
      <c r="E232" s="179"/>
      <c r="F232" s="244"/>
      <c r="G232" s="244"/>
      <c r="H232" s="244"/>
      <c r="I232" s="244"/>
      <c r="J232" s="244"/>
      <c r="K232" s="179"/>
      <c r="L232" s="244"/>
      <c r="M232" s="244"/>
      <c r="N232" s="244"/>
      <c r="O232" s="244"/>
      <c r="P232" s="244"/>
      <c r="Q232" s="244"/>
      <c r="R232" s="244"/>
      <c r="S232" s="244"/>
      <c r="T232" s="244"/>
      <c r="U232" s="244"/>
      <c r="V232" s="244"/>
      <c r="W232" s="244"/>
      <c r="X232" s="244"/>
      <c r="Y232" s="244"/>
      <c r="Z232" s="244"/>
      <c r="AA232" s="244"/>
      <c r="AB232" s="244"/>
      <c r="AC232" s="244"/>
    </row>
    <row r="233" spans="1:29" ht="15.75" customHeight="1" x14ac:dyDescent="0.25">
      <c r="A233" s="244"/>
      <c r="B233" s="244"/>
      <c r="C233" s="244"/>
      <c r="D233" s="244"/>
      <c r="E233" s="179"/>
      <c r="F233" s="244"/>
      <c r="G233" s="244"/>
      <c r="H233" s="244"/>
      <c r="I233" s="244"/>
      <c r="J233" s="244"/>
      <c r="K233" s="179"/>
      <c r="L233" s="244"/>
      <c r="M233" s="244"/>
      <c r="N233" s="244"/>
      <c r="O233" s="244"/>
      <c r="P233" s="244"/>
      <c r="Q233" s="244"/>
      <c r="R233" s="244"/>
      <c r="S233" s="244"/>
      <c r="T233" s="244"/>
      <c r="U233" s="244"/>
      <c r="V233" s="244"/>
      <c r="W233" s="244"/>
      <c r="X233" s="244"/>
      <c r="Y233" s="244"/>
      <c r="Z233" s="244"/>
      <c r="AA233" s="244"/>
      <c r="AB233" s="244"/>
      <c r="AC233" s="244"/>
    </row>
    <row r="234" spans="1:29" ht="15.75" customHeight="1" x14ac:dyDescent="0.25">
      <c r="A234" s="244"/>
      <c r="B234" s="244"/>
      <c r="C234" s="244"/>
      <c r="D234" s="244"/>
      <c r="E234" s="179"/>
      <c r="F234" s="244"/>
      <c r="G234" s="244"/>
      <c r="H234" s="244"/>
      <c r="I234" s="244"/>
      <c r="J234" s="244"/>
      <c r="K234" s="179"/>
      <c r="L234" s="244"/>
      <c r="M234" s="244"/>
      <c r="N234" s="244"/>
      <c r="O234" s="244"/>
      <c r="P234" s="244"/>
      <c r="Q234" s="244"/>
      <c r="R234" s="244"/>
      <c r="S234" s="244"/>
      <c r="T234" s="244"/>
      <c r="U234" s="244"/>
      <c r="V234" s="244"/>
      <c r="W234" s="244"/>
      <c r="X234" s="244"/>
      <c r="Y234" s="244"/>
      <c r="Z234" s="244"/>
      <c r="AA234" s="244"/>
      <c r="AB234" s="244"/>
      <c r="AC234" s="244"/>
    </row>
    <row r="235" spans="1:29" ht="15.75" customHeight="1" x14ac:dyDescent="0.25">
      <c r="A235" s="244"/>
      <c r="B235" s="244"/>
      <c r="C235" s="244"/>
      <c r="D235" s="244"/>
      <c r="E235" s="179"/>
      <c r="F235" s="244"/>
      <c r="G235" s="244"/>
      <c r="H235" s="244"/>
      <c r="I235" s="244"/>
      <c r="J235" s="244"/>
      <c r="K235" s="179"/>
      <c r="L235" s="244"/>
      <c r="M235" s="244"/>
      <c r="N235" s="244"/>
      <c r="O235" s="244"/>
      <c r="P235" s="244"/>
      <c r="Q235" s="244"/>
      <c r="R235" s="244"/>
      <c r="S235" s="244"/>
      <c r="T235" s="244"/>
      <c r="U235" s="244"/>
      <c r="V235" s="244"/>
      <c r="W235" s="244"/>
      <c r="X235" s="244"/>
      <c r="Y235" s="244"/>
      <c r="Z235" s="244"/>
      <c r="AA235" s="244"/>
      <c r="AB235" s="244"/>
      <c r="AC235" s="244"/>
    </row>
    <row r="236" spans="1:29" ht="15.75" customHeight="1" x14ac:dyDescent="0.25">
      <c r="A236" s="244"/>
      <c r="B236" s="244"/>
      <c r="C236" s="244"/>
      <c r="D236" s="244"/>
      <c r="E236" s="179"/>
      <c r="F236" s="244"/>
      <c r="G236" s="244"/>
      <c r="H236" s="244"/>
      <c r="I236" s="244"/>
      <c r="J236" s="244"/>
      <c r="K236" s="179"/>
      <c r="L236" s="244"/>
      <c r="M236" s="244"/>
      <c r="N236" s="244"/>
      <c r="O236" s="244"/>
      <c r="P236" s="244"/>
      <c r="Q236" s="244"/>
      <c r="R236" s="244"/>
      <c r="S236" s="244"/>
      <c r="T236" s="244"/>
      <c r="U236" s="244"/>
      <c r="V236" s="244"/>
      <c r="W236" s="244"/>
      <c r="X236" s="244"/>
      <c r="Y236" s="244"/>
      <c r="Z236" s="244"/>
      <c r="AA236" s="244"/>
      <c r="AB236" s="244"/>
      <c r="AC236" s="244"/>
    </row>
    <row r="237" spans="1:29" ht="15.75" customHeight="1" x14ac:dyDescent="0.25">
      <c r="A237" s="244"/>
      <c r="B237" s="244"/>
      <c r="C237" s="244"/>
      <c r="D237" s="244"/>
      <c r="E237" s="179"/>
      <c r="F237" s="244"/>
      <c r="G237" s="244"/>
      <c r="H237" s="244"/>
      <c r="I237" s="244"/>
      <c r="J237" s="244"/>
      <c r="K237" s="179"/>
      <c r="L237" s="244"/>
      <c r="M237" s="244"/>
      <c r="N237" s="244"/>
      <c r="O237" s="244"/>
      <c r="P237" s="244"/>
      <c r="Q237" s="244"/>
      <c r="R237" s="244"/>
      <c r="S237" s="244"/>
      <c r="T237" s="244"/>
      <c r="U237" s="244"/>
      <c r="V237" s="244"/>
      <c r="W237" s="244"/>
      <c r="X237" s="244"/>
      <c r="Y237" s="244"/>
      <c r="Z237" s="244"/>
      <c r="AA237" s="244"/>
      <c r="AB237" s="244"/>
      <c r="AC237" s="244"/>
    </row>
    <row r="238" spans="1:29" ht="15.75" customHeight="1" x14ac:dyDescent="0.25">
      <c r="A238" s="244"/>
      <c r="B238" s="244"/>
      <c r="C238" s="244"/>
      <c r="D238" s="244"/>
      <c r="E238" s="179"/>
      <c r="F238" s="244"/>
      <c r="G238" s="244"/>
      <c r="H238" s="244"/>
      <c r="I238" s="244"/>
      <c r="J238" s="244"/>
      <c r="K238" s="179"/>
      <c r="L238" s="244"/>
      <c r="M238" s="244"/>
      <c r="N238" s="244"/>
      <c r="O238" s="244"/>
      <c r="P238" s="244"/>
      <c r="Q238" s="244"/>
      <c r="R238" s="244"/>
      <c r="S238" s="244"/>
      <c r="T238" s="244"/>
      <c r="U238" s="244"/>
      <c r="V238" s="244"/>
      <c r="W238" s="244"/>
      <c r="X238" s="244"/>
      <c r="Y238" s="244"/>
      <c r="Z238" s="244"/>
      <c r="AA238" s="244"/>
      <c r="AB238" s="244"/>
      <c r="AC238" s="244"/>
    </row>
    <row r="239" spans="1:29" ht="15.75" customHeight="1" x14ac:dyDescent="0.25">
      <c r="A239" s="244"/>
      <c r="B239" s="244"/>
      <c r="C239" s="244"/>
      <c r="D239" s="244"/>
      <c r="E239" s="179"/>
      <c r="F239" s="244"/>
      <c r="G239" s="244"/>
      <c r="H239" s="244"/>
      <c r="I239" s="244"/>
      <c r="J239" s="244"/>
      <c r="K239" s="179"/>
      <c r="L239" s="244"/>
      <c r="M239" s="244"/>
      <c r="N239" s="244"/>
      <c r="O239" s="244"/>
      <c r="P239" s="244"/>
      <c r="Q239" s="244"/>
      <c r="R239" s="244"/>
      <c r="S239" s="244"/>
      <c r="T239" s="244"/>
      <c r="U239" s="244"/>
      <c r="V239" s="244"/>
      <c r="W239" s="244"/>
      <c r="X239" s="244"/>
      <c r="Y239" s="244"/>
      <c r="Z239" s="244"/>
      <c r="AA239" s="244"/>
      <c r="AB239" s="244"/>
      <c r="AC239" s="244"/>
    </row>
    <row r="240" spans="1:29" ht="15.75" customHeight="1" x14ac:dyDescent="0.25">
      <c r="A240" s="244"/>
      <c r="B240" s="244"/>
      <c r="C240" s="244"/>
      <c r="D240" s="244"/>
      <c r="E240" s="179"/>
      <c r="F240" s="244"/>
      <c r="G240" s="244"/>
      <c r="H240" s="244"/>
      <c r="I240" s="244"/>
      <c r="J240" s="244"/>
      <c r="K240" s="179"/>
      <c r="L240" s="244"/>
      <c r="M240" s="244"/>
      <c r="N240" s="244"/>
      <c r="O240" s="244"/>
      <c r="P240" s="244"/>
      <c r="Q240" s="244"/>
      <c r="R240" s="244"/>
      <c r="S240" s="244"/>
      <c r="T240" s="244"/>
      <c r="U240" s="244"/>
      <c r="V240" s="244"/>
      <c r="W240" s="244"/>
      <c r="X240" s="244"/>
      <c r="Y240" s="244"/>
      <c r="Z240" s="244"/>
      <c r="AA240" s="244"/>
      <c r="AB240" s="244"/>
      <c r="AC240" s="244"/>
    </row>
    <row r="241" spans="1:29" ht="15.75" customHeight="1" x14ac:dyDescent="0.25">
      <c r="A241" s="244"/>
      <c r="B241" s="244"/>
      <c r="C241" s="244"/>
      <c r="D241" s="244"/>
      <c r="E241" s="179"/>
      <c r="F241" s="244"/>
      <c r="G241" s="244"/>
      <c r="H241" s="244"/>
      <c r="I241" s="244"/>
      <c r="J241" s="244"/>
      <c r="K241" s="179"/>
      <c r="L241" s="244"/>
      <c r="M241" s="244"/>
      <c r="N241" s="244"/>
      <c r="O241" s="244"/>
      <c r="P241" s="244"/>
      <c r="Q241" s="244"/>
      <c r="R241" s="244"/>
      <c r="S241" s="244"/>
      <c r="T241" s="244"/>
      <c r="U241" s="244"/>
      <c r="V241" s="244"/>
      <c r="W241" s="244"/>
      <c r="X241" s="244"/>
      <c r="Y241" s="244"/>
      <c r="Z241" s="244"/>
      <c r="AA241" s="244"/>
      <c r="AB241" s="244"/>
      <c r="AC241" s="244"/>
    </row>
    <row r="242" spans="1:29" ht="15.75" customHeight="1" x14ac:dyDescent="0.25">
      <c r="A242" s="244"/>
      <c r="B242" s="244"/>
      <c r="C242" s="244"/>
      <c r="D242" s="244"/>
      <c r="E242" s="179"/>
      <c r="F242" s="244"/>
      <c r="G242" s="244"/>
      <c r="H242" s="244"/>
      <c r="I242" s="244"/>
      <c r="J242" s="244"/>
      <c r="K242" s="179"/>
      <c r="L242" s="244"/>
      <c r="M242" s="244"/>
      <c r="N242" s="244"/>
      <c r="O242" s="244"/>
      <c r="P242" s="244"/>
      <c r="Q242" s="244"/>
      <c r="R242" s="244"/>
      <c r="S242" s="244"/>
      <c r="T242" s="244"/>
      <c r="U242" s="244"/>
      <c r="V242" s="244"/>
      <c r="W242" s="244"/>
      <c r="X242" s="244"/>
      <c r="Y242" s="244"/>
      <c r="Z242" s="244"/>
      <c r="AA242" s="244"/>
      <c r="AB242" s="244"/>
      <c r="AC242" s="244"/>
    </row>
    <row r="243" spans="1:29" ht="15.75" customHeight="1" x14ac:dyDescent="0.25">
      <c r="A243" s="244"/>
      <c r="B243" s="244"/>
      <c r="C243" s="244"/>
      <c r="D243" s="244"/>
      <c r="E243" s="179"/>
      <c r="F243" s="244"/>
      <c r="G243" s="244"/>
      <c r="H243" s="244"/>
      <c r="I243" s="244"/>
      <c r="J243" s="244"/>
      <c r="K243" s="179"/>
      <c r="L243" s="244"/>
      <c r="M243" s="244"/>
      <c r="N243" s="244"/>
      <c r="O243" s="244"/>
      <c r="P243" s="244"/>
      <c r="Q243" s="244"/>
      <c r="R243" s="244"/>
      <c r="S243" s="244"/>
      <c r="T243" s="244"/>
      <c r="U243" s="244"/>
      <c r="V243" s="244"/>
      <c r="W243" s="244"/>
      <c r="X243" s="244"/>
      <c r="Y243" s="244"/>
      <c r="Z243" s="244"/>
      <c r="AA243" s="244"/>
      <c r="AB243" s="244"/>
      <c r="AC243" s="244"/>
    </row>
    <row r="244" spans="1:29" ht="15.75" customHeight="1" x14ac:dyDescent="0.25">
      <c r="A244" s="244"/>
      <c r="B244" s="244"/>
      <c r="C244" s="244"/>
      <c r="D244" s="244"/>
      <c r="E244" s="179"/>
      <c r="F244" s="244"/>
      <c r="G244" s="244"/>
      <c r="H244" s="244"/>
      <c r="I244" s="244"/>
      <c r="J244" s="244"/>
      <c r="K244" s="179"/>
      <c r="L244" s="244"/>
      <c r="M244" s="244"/>
      <c r="N244" s="244"/>
      <c r="O244" s="244"/>
      <c r="P244" s="244"/>
      <c r="Q244" s="244"/>
      <c r="R244" s="244"/>
      <c r="S244" s="244"/>
      <c r="T244" s="244"/>
      <c r="U244" s="244"/>
      <c r="V244" s="244"/>
      <c r="W244" s="244"/>
      <c r="X244" s="244"/>
      <c r="Y244" s="244"/>
      <c r="Z244" s="244"/>
      <c r="AA244" s="244"/>
      <c r="AB244" s="244"/>
      <c r="AC244" s="244"/>
    </row>
    <row r="245" spans="1:29" ht="15.75" customHeight="1" x14ac:dyDescent="0.25">
      <c r="A245" s="244"/>
      <c r="B245" s="244"/>
      <c r="C245" s="244"/>
      <c r="D245" s="244"/>
      <c r="E245" s="179"/>
      <c r="F245" s="244"/>
      <c r="G245" s="244"/>
      <c r="H245" s="244"/>
      <c r="I245" s="244"/>
      <c r="J245" s="244"/>
      <c r="K245" s="179"/>
      <c r="L245" s="244"/>
      <c r="M245" s="244"/>
      <c r="N245" s="244"/>
      <c r="O245" s="244"/>
      <c r="P245" s="244"/>
      <c r="Q245" s="244"/>
      <c r="R245" s="244"/>
      <c r="S245" s="244"/>
      <c r="T245" s="244"/>
      <c r="U245" s="244"/>
      <c r="V245" s="244"/>
      <c r="W245" s="244"/>
      <c r="X245" s="244"/>
      <c r="Y245" s="244"/>
      <c r="Z245" s="244"/>
      <c r="AA245" s="244"/>
      <c r="AB245" s="244"/>
      <c r="AC245" s="244"/>
    </row>
    <row r="246" spans="1:29" ht="15.75" customHeight="1" x14ac:dyDescent="0.25">
      <c r="A246" s="244"/>
      <c r="B246" s="244"/>
      <c r="C246" s="244"/>
      <c r="D246" s="244"/>
      <c r="E246" s="179"/>
      <c r="F246" s="244"/>
      <c r="G246" s="244"/>
      <c r="H246" s="244"/>
      <c r="I246" s="244"/>
      <c r="J246" s="244"/>
      <c r="K246" s="179"/>
      <c r="L246" s="244"/>
      <c r="M246" s="244"/>
      <c r="N246" s="244"/>
      <c r="O246" s="244"/>
      <c r="P246" s="244"/>
      <c r="Q246" s="244"/>
      <c r="R246" s="244"/>
      <c r="S246" s="244"/>
      <c r="T246" s="244"/>
      <c r="U246" s="244"/>
      <c r="V246" s="244"/>
      <c r="W246" s="244"/>
      <c r="X246" s="244"/>
      <c r="Y246" s="244"/>
      <c r="Z246" s="244"/>
      <c r="AA246" s="244"/>
      <c r="AB246" s="244"/>
      <c r="AC246" s="244"/>
    </row>
    <row r="247" spans="1:29" ht="15.75" customHeight="1" x14ac:dyDescent="0.25">
      <c r="A247" s="244"/>
      <c r="B247" s="244"/>
      <c r="C247" s="244"/>
      <c r="D247" s="244"/>
      <c r="E247" s="179"/>
      <c r="F247" s="244"/>
      <c r="G247" s="244"/>
      <c r="H247" s="244"/>
      <c r="I247" s="244"/>
      <c r="J247" s="244"/>
      <c r="K247" s="179"/>
      <c r="L247" s="244"/>
      <c r="M247" s="244"/>
      <c r="N247" s="244"/>
      <c r="O247" s="244"/>
      <c r="P247" s="244"/>
      <c r="Q247" s="244"/>
      <c r="R247" s="244"/>
      <c r="S247" s="244"/>
      <c r="T247" s="244"/>
      <c r="U247" s="244"/>
      <c r="V247" s="244"/>
      <c r="W247" s="244"/>
      <c r="X247" s="244"/>
      <c r="Y247" s="244"/>
      <c r="Z247" s="244"/>
      <c r="AA247" s="244"/>
      <c r="AB247" s="244"/>
      <c r="AC247" s="244"/>
    </row>
    <row r="248" spans="1:29" ht="15.75" customHeight="1" x14ac:dyDescent="0.25">
      <c r="A248" s="244"/>
      <c r="B248" s="244"/>
      <c r="C248" s="244"/>
      <c r="D248" s="244"/>
      <c r="E248" s="179"/>
      <c r="F248" s="244"/>
      <c r="G248" s="244"/>
      <c r="H248" s="244"/>
      <c r="I248" s="244"/>
      <c r="J248" s="244"/>
      <c r="K248" s="179"/>
      <c r="L248" s="244"/>
      <c r="M248" s="244"/>
      <c r="N248" s="244"/>
      <c r="O248" s="244"/>
      <c r="P248" s="244"/>
      <c r="Q248" s="244"/>
      <c r="R248" s="244"/>
      <c r="S248" s="244"/>
      <c r="T248" s="244"/>
      <c r="U248" s="244"/>
      <c r="V248" s="244"/>
      <c r="W248" s="244"/>
      <c r="X248" s="244"/>
      <c r="Y248" s="244"/>
      <c r="Z248" s="244"/>
      <c r="AA248" s="244"/>
      <c r="AB248" s="244"/>
      <c r="AC248" s="244"/>
    </row>
    <row r="249" spans="1:29" ht="15.75" customHeight="1" x14ac:dyDescent="0.25">
      <c r="A249" s="244"/>
      <c r="B249" s="244"/>
      <c r="C249" s="244"/>
      <c r="D249" s="244"/>
      <c r="E249" s="179"/>
      <c r="F249" s="244"/>
      <c r="G249" s="244"/>
      <c r="H249" s="244"/>
      <c r="I249" s="244"/>
      <c r="J249" s="244"/>
      <c r="K249" s="179"/>
      <c r="L249" s="244"/>
      <c r="M249" s="244"/>
      <c r="N249" s="244"/>
      <c r="O249" s="244"/>
      <c r="P249" s="244"/>
      <c r="Q249" s="244"/>
      <c r="R249" s="244"/>
      <c r="S249" s="244"/>
      <c r="T249" s="244"/>
      <c r="U249" s="244"/>
      <c r="V249" s="244"/>
      <c r="W249" s="244"/>
      <c r="X249" s="244"/>
      <c r="Y249" s="244"/>
      <c r="Z249" s="244"/>
      <c r="AA249" s="244"/>
      <c r="AB249" s="244"/>
      <c r="AC249" s="244"/>
    </row>
    <row r="250" spans="1:29" ht="15.75" customHeight="1" x14ac:dyDescent="0.25">
      <c r="A250" s="244"/>
      <c r="B250" s="244"/>
      <c r="C250" s="244"/>
      <c r="D250" s="244"/>
      <c r="E250" s="179"/>
      <c r="F250" s="244"/>
      <c r="G250" s="244"/>
      <c r="H250" s="244"/>
      <c r="I250" s="244"/>
      <c r="J250" s="244"/>
      <c r="K250" s="179"/>
      <c r="L250" s="244"/>
      <c r="M250" s="244"/>
      <c r="N250" s="244"/>
      <c r="O250" s="244"/>
      <c r="P250" s="244"/>
      <c r="Q250" s="244"/>
      <c r="R250" s="244"/>
      <c r="S250" s="244"/>
      <c r="T250" s="244"/>
      <c r="U250" s="244"/>
      <c r="V250" s="244"/>
      <c r="W250" s="244"/>
      <c r="X250" s="244"/>
      <c r="Y250" s="244"/>
      <c r="Z250" s="244"/>
      <c r="AA250" s="244"/>
      <c r="AB250" s="244"/>
      <c r="AC250" s="244"/>
    </row>
    <row r="251" spans="1:29" ht="15.75" customHeight="1" x14ac:dyDescent="0.25">
      <c r="A251" s="244"/>
      <c r="B251" s="244"/>
      <c r="C251" s="244"/>
      <c r="D251" s="244"/>
      <c r="E251" s="179"/>
      <c r="F251" s="244"/>
      <c r="G251" s="244"/>
      <c r="H251" s="244"/>
      <c r="I251" s="244"/>
      <c r="J251" s="244"/>
      <c r="K251" s="179"/>
      <c r="L251" s="244"/>
      <c r="M251" s="244"/>
      <c r="N251" s="244"/>
      <c r="O251" s="244"/>
      <c r="P251" s="244"/>
      <c r="Q251" s="244"/>
      <c r="R251" s="244"/>
      <c r="S251" s="244"/>
      <c r="T251" s="244"/>
      <c r="U251" s="244"/>
      <c r="V251" s="244"/>
      <c r="W251" s="244"/>
      <c r="X251" s="244"/>
      <c r="Y251" s="244"/>
      <c r="Z251" s="244"/>
      <c r="AA251" s="244"/>
      <c r="AB251" s="244"/>
      <c r="AC251" s="244"/>
    </row>
    <row r="252" spans="1:29" ht="15.75" customHeight="1" x14ac:dyDescent="0.25">
      <c r="A252" s="244"/>
      <c r="B252" s="244"/>
      <c r="C252" s="244"/>
      <c r="D252" s="244"/>
      <c r="E252" s="179"/>
      <c r="F252" s="244"/>
      <c r="G252" s="244"/>
      <c r="H252" s="244"/>
      <c r="I252" s="244"/>
      <c r="J252" s="244"/>
      <c r="K252" s="179"/>
      <c r="L252" s="244"/>
      <c r="M252" s="244"/>
      <c r="N252" s="244"/>
      <c r="O252" s="244"/>
      <c r="P252" s="244"/>
      <c r="Q252" s="244"/>
      <c r="R252" s="244"/>
      <c r="S252" s="244"/>
      <c r="T252" s="244"/>
      <c r="U252" s="244"/>
      <c r="V252" s="244"/>
      <c r="W252" s="244"/>
      <c r="X252" s="244"/>
      <c r="Y252" s="244"/>
      <c r="Z252" s="244"/>
      <c r="AA252" s="244"/>
      <c r="AB252" s="244"/>
      <c r="AC252" s="244"/>
    </row>
    <row r="253" spans="1:29" ht="15.75" customHeight="1" x14ac:dyDescent="0.25">
      <c r="A253" s="244"/>
      <c r="B253" s="244"/>
      <c r="C253" s="244"/>
      <c r="D253" s="244"/>
      <c r="E253" s="179"/>
      <c r="F253" s="244"/>
      <c r="G253" s="244"/>
      <c r="H253" s="244"/>
      <c r="I253" s="244"/>
      <c r="J253" s="244"/>
      <c r="K253" s="179"/>
      <c r="L253" s="244"/>
      <c r="M253" s="244"/>
      <c r="N253" s="244"/>
      <c r="O253" s="244"/>
      <c r="P253" s="244"/>
      <c r="Q253" s="244"/>
      <c r="R253" s="244"/>
      <c r="S253" s="244"/>
      <c r="T253" s="244"/>
      <c r="U253" s="244"/>
      <c r="V253" s="244"/>
      <c r="W253" s="244"/>
      <c r="X253" s="244"/>
      <c r="Y253" s="244"/>
      <c r="Z253" s="244"/>
      <c r="AA253" s="244"/>
      <c r="AB253" s="244"/>
      <c r="AC253" s="244"/>
    </row>
    <row r="254" spans="1:29" ht="15.75" customHeight="1" x14ac:dyDescent="0.25">
      <c r="A254" s="244"/>
      <c r="B254" s="244"/>
      <c r="C254" s="244"/>
      <c r="D254" s="244"/>
      <c r="E254" s="179"/>
      <c r="F254" s="244"/>
      <c r="G254" s="244"/>
      <c r="H254" s="244"/>
      <c r="I254" s="244"/>
      <c r="J254" s="244"/>
      <c r="K254" s="179"/>
      <c r="L254" s="244"/>
      <c r="M254" s="244"/>
      <c r="N254" s="244"/>
      <c r="O254" s="244"/>
      <c r="P254" s="244"/>
      <c r="Q254" s="244"/>
      <c r="R254" s="244"/>
      <c r="S254" s="244"/>
      <c r="T254" s="244"/>
      <c r="U254" s="244"/>
      <c r="V254" s="244"/>
      <c r="W254" s="244"/>
      <c r="X254" s="244"/>
      <c r="Y254" s="244"/>
      <c r="Z254" s="244"/>
      <c r="AA254" s="244"/>
      <c r="AB254" s="244"/>
      <c r="AC254" s="244"/>
    </row>
    <row r="255" spans="1:29" ht="15.75" customHeight="1" x14ac:dyDescent="0.25">
      <c r="A255" s="244"/>
      <c r="B255" s="244"/>
      <c r="C255" s="244"/>
      <c r="D255" s="244"/>
      <c r="E255" s="179"/>
      <c r="F255" s="244"/>
      <c r="G255" s="244"/>
      <c r="H255" s="244"/>
      <c r="I255" s="244"/>
      <c r="J255" s="244"/>
      <c r="K255" s="179"/>
      <c r="L255" s="244"/>
      <c r="M255" s="244"/>
      <c r="N255" s="244"/>
      <c r="O255" s="244"/>
      <c r="P255" s="244"/>
      <c r="Q255" s="244"/>
      <c r="R255" s="244"/>
      <c r="S255" s="244"/>
      <c r="T255" s="244"/>
      <c r="U255" s="244"/>
      <c r="V255" s="244"/>
      <c r="W255" s="244"/>
      <c r="X255" s="244"/>
      <c r="Y255" s="244"/>
      <c r="Z255" s="244"/>
      <c r="AA255" s="244"/>
      <c r="AB255" s="244"/>
      <c r="AC255" s="244"/>
    </row>
    <row r="256" spans="1:29" ht="15.75" customHeight="1" x14ac:dyDescent="0.25">
      <c r="A256" s="244"/>
      <c r="B256" s="244"/>
      <c r="C256" s="244"/>
      <c r="D256" s="244"/>
      <c r="E256" s="179"/>
      <c r="F256" s="244"/>
      <c r="G256" s="244"/>
      <c r="H256" s="244"/>
      <c r="I256" s="244"/>
      <c r="J256" s="244"/>
      <c r="K256" s="179"/>
      <c r="L256" s="244"/>
      <c r="M256" s="244"/>
      <c r="N256" s="244"/>
      <c r="O256" s="244"/>
      <c r="P256" s="244"/>
      <c r="Q256" s="244"/>
      <c r="R256" s="244"/>
      <c r="S256" s="244"/>
      <c r="T256" s="244"/>
      <c r="U256" s="244"/>
      <c r="V256" s="244"/>
      <c r="W256" s="244"/>
      <c r="X256" s="244"/>
      <c r="Y256" s="244"/>
      <c r="Z256" s="244"/>
      <c r="AA256" s="244"/>
      <c r="AB256" s="244"/>
      <c r="AC256" s="244"/>
    </row>
    <row r="257" spans="1:29" ht="15.75" customHeight="1" x14ac:dyDescent="0.25">
      <c r="A257" s="244"/>
      <c r="B257" s="244"/>
      <c r="C257" s="244"/>
      <c r="D257" s="244"/>
      <c r="E257" s="179"/>
      <c r="F257" s="244"/>
      <c r="G257" s="244"/>
      <c r="H257" s="244"/>
      <c r="I257" s="244"/>
      <c r="J257" s="244"/>
      <c r="K257" s="179"/>
      <c r="L257" s="244"/>
      <c r="M257" s="244"/>
      <c r="N257" s="244"/>
      <c r="O257" s="244"/>
      <c r="P257" s="244"/>
      <c r="Q257" s="244"/>
      <c r="R257" s="244"/>
      <c r="S257" s="244"/>
      <c r="T257" s="244"/>
      <c r="U257" s="244"/>
      <c r="V257" s="244"/>
      <c r="W257" s="244"/>
      <c r="X257" s="244"/>
      <c r="Y257" s="244"/>
      <c r="Z257" s="244"/>
      <c r="AA257" s="244"/>
      <c r="AB257" s="244"/>
      <c r="AC257" s="244"/>
    </row>
    <row r="258" spans="1:29" ht="15.75" customHeight="1" x14ac:dyDescent="0.25">
      <c r="A258" s="244"/>
      <c r="B258" s="244"/>
      <c r="C258" s="244"/>
      <c r="D258" s="244"/>
      <c r="E258" s="179"/>
      <c r="F258" s="244"/>
      <c r="G258" s="244"/>
      <c r="H258" s="244"/>
      <c r="I258" s="244"/>
      <c r="J258" s="244"/>
      <c r="K258" s="179"/>
      <c r="L258" s="244"/>
      <c r="M258" s="244"/>
      <c r="N258" s="244"/>
      <c r="O258" s="244"/>
      <c r="P258" s="244"/>
      <c r="Q258" s="244"/>
      <c r="R258" s="244"/>
      <c r="S258" s="244"/>
      <c r="T258" s="244"/>
      <c r="U258" s="244"/>
      <c r="V258" s="244"/>
      <c r="W258" s="244"/>
      <c r="X258" s="244"/>
      <c r="Y258" s="244"/>
      <c r="Z258" s="244"/>
      <c r="AA258" s="244"/>
      <c r="AB258" s="244"/>
      <c r="AC258" s="244"/>
    </row>
    <row r="259" spans="1:29" ht="15.75" customHeight="1" x14ac:dyDescent="0.25">
      <c r="A259" s="244"/>
      <c r="B259" s="244"/>
      <c r="C259" s="244"/>
      <c r="D259" s="244"/>
      <c r="E259" s="179"/>
      <c r="F259" s="244"/>
      <c r="G259" s="244"/>
      <c r="H259" s="244"/>
      <c r="I259" s="244"/>
      <c r="J259" s="244"/>
      <c r="K259" s="179"/>
      <c r="L259" s="244"/>
      <c r="M259" s="244"/>
      <c r="N259" s="244"/>
      <c r="O259" s="244"/>
      <c r="P259" s="244"/>
      <c r="Q259" s="244"/>
      <c r="R259" s="244"/>
      <c r="S259" s="244"/>
      <c r="T259" s="244"/>
      <c r="U259" s="244"/>
      <c r="V259" s="244"/>
      <c r="W259" s="244"/>
      <c r="X259" s="244"/>
      <c r="Y259" s="244"/>
      <c r="Z259" s="244"/>
      <c r="AA259" s="244"/>
      <c r="AB259" s="244"/>
      <c r="AC259" s="244"/>
    </row>
    <row r="260" spans="1:29" ht="15.75" customHeight="1" x14ac:dyDescent="0.25">
      <c r="A260" s="244"/>
      <c r="B260" s="244"/>
      <c r="C260" s="244"/>
      <c r="D260" s="244"/>
      <c r="E260" s="179"/>
      <c r="F260" s="244"/>
      <c r="G260" s="244"/>
      <c r="H260" s="244"/>
      <c r="I260" s="244"/>
      <c r="J260" s="244"/>
      <c r="K260" s="179"/>
      <c r="L260" s="244"/>
      <c r="M260" s="244"/>
      <c r="N260" s="244"/>
      <c r="O260" s="244"/>
      <c r="P260" s="244"/>
      <c r="Q260" s="244"/>
      <c r="R260" s="244"/>
      <c r="S260" s="244"/>
      <c r="T260" s="244"/>
      <c r="U260" s="244"/>
      <c r="V260" s="244"/>
      <c r="W260" s="244"/>
      <c r="X260" s="244"/>
      <c r="Y260" s="244"/>
      <c r="Z260" s="244"/>
      <c r="AA260" s="244"/>
      <c r="AB260" s="244"/>
      <c r="AC260" s="244"/>
    </row>
    <row r="261" spans="1:29" ht="15.75" customHeight="1" x14ac:dyDescent="0.25">
      <c r="A261" s="244"/>
      <c r="B261" s="244"/>
      <c r="C261" s="244"/>
      <c r="D261" s="244"/>
      <c r="E261" s="179"/>
      <c r="F261" s="244"/>
      <c r="G261" s="244"/>
      <c r="H261" s="244"/>
      <c r="I261" s="244"/>
      <c r="J261" s="244"/>
      <c r="K261" s="179"/>
      <c r="L261" s="244"/>
      <c r="M261" s="244"/>
      <c r="N261" s="244"/>
      <c r="O261" s="244"/>
      <c r="P261" s="244"/>
      <c r="Q261" s="244"/>
      <c r="R261" s="244"/>
      <c r="S261" s="244"/>
      <c r="T261" s="244"/>
      <c r="U261" s="244"/>
      <c r="V261" s="244"/>
      <c r="W261" s="244"/>
      <c r="X261" s="244"/>
      <c r="Y261" s="244"/>
      <c r="Z261" s="244"/>
      <c r="AA261" s="244"/>
      <c r="AB261" s="244"/>
      <c r="AC261" s="244"/>
    </row>
    <row r="262" spans="1:29" ht="15.75" customHeight="1" x14ac:dyDescent="0.25">
      <c r="A262" s="244"/>
      <c r="B262" s="244"/>
      <c r="C262" s="244"/>
      <c r="D262" s="244"/>
      <c r="E262" s="179"/>
      <c r="F262" s="244"/>
      <c r="G262" s="244"/>
      <c r="H262" s="244"/>
      <c r="I262" s="244"/>
      <c r="J262" s="244"/>
      <c r="K262" s="179"/>
      <c r="L262" s="244"/>
      <c r="M262" s="244"/>
      <c r="N262" s="244"/>
      <c r="O262" s="244"/>
      <c r="P262" s="244"/>
      <c r="Q262" s="244"/>
      <c r="R262" s="244"/>
      <c r="S262" s="244"/>
      <c r="T262" s="244"/>
      <c r="U262" s="244"/>
      <c r="V262" s="244"/>
      <c r="W262" s="244"/>
      <c r="X262" s="244"/>
      <c r="Y262" s="244"/>
      <c r="Z262" s="244"/>
      <c r="AA262" s="244"/>
      <c r="AB262" s="244"/>
      <c r="AC262" s="244"/>
    </row>
    <row r="263" spans="1:29" ht="15.75" customHeight="1" x14ac:dyDescent="0.25">
      <c r="A263" s="244"/>
      <c r="B263" s="244"/>
      <c r="C263" s="244"/>
      <c r="D263" s="244"/>
      <c r="E263" s="179"/>
      <c r="F263" s="244"/>
      <c r="G263" s="244"/>
      <c r="H263" s="244"/>
      <c r="I263" s="244"/>
      <c r="J263" s="244"/>
      <c r="K263" s="179"/>
      <c r="L263" s="244"/>
      <c r="M263" s="244"/>
      <c r="N263" s="244"/>
      <c r="O263" s="244"/>
      <c r="P263" s="244"/>
      <c r="Q263" s="244"/>
      <c r="R263" s="244"/>
      <c r="S263" s="244"/>
      <c r="T263" s="244"/>
      <c r="U263" s="244"/>
      <c r="V263" s="244"/>
      <c r="W263" s="244"/>
      <c r="X263" s="244"/>
      <c r="Y263" s="244"/>
      <c r="Z263" s="244"/>
      <c r="AA263" s="244"/>
      <c r="AB263" s="244"/>
      <c r="AC263" s="244"/>
    </row>
    <row r="264" spans="1:29" ht="15.75" customHeight="1" x14ac:dyDescent="0.25">
      <c r="A264" s="244"/>
      <c r="B264" s="244"/>
      <c r="C264" s="244"/>
      <c r="D264" s="244"/>
      <c r="E264" s="179"/>
      <c r="F264" s="244"/>
      <c r="G264" s="244"/>
      <c r="H264" s="244"/>
      <c r="I264" s="244"/>
      <c r="J264" s="244"/>
      <c r="K264" s="179"/>
      <c r="L264" s="244"/>
      <c r="M264" s="244"/>
      <c r="N264" s="244"/>
      <c r="O264" s="244"/>
      <c r="P264" s="244"/>
      <c r="Q264" s="244"/>
      <c r="R264" s="244"/>
      <c r="S264" s="244"/>
      <c r="T264" s="244"/>
      <c r="U264" s="244"/>
      <c r="V264" s="244"/>
      <c r="W264" s="244"/>
      <c r="X264" s="244"/>
      <c r="Y264" s="244"/>
      <c r="Z264" s="244"/>
      <c r="AA264" s="244"/>
      <c r="AB264" s="244"/>
      <c r="AC264" s="244"/>
    </row>
    <row r="265" spans="1:29" ht="15.75" customHeight="1" x14ac:dyDescent="0.25">
      <c r="A265" s="244"/>
      <c r="B265" s="244"/>
      <c r="C265" s="244"/>
      <c r="D265" s="244"/>
      <c r="E265" s="179"/>
      <c r="F265" s="244"/>
      <c r="G265" s="244"/>
      <c r="H265" s="244"/>
      <c r="I265" s="244"/>
      <c r="J265" s="244"/>
      <c r="K265" s="179"/>
      <c r="L265" s="244"/>
      <c r="M265" s="244"/>
      <c r="N265" s="244"/>
      <c r="O265" s="244"/>
      <c r="P265" s="244"/>
      <c r="Q265" s="244"/>
      <c r="R265" s="244"/>
      <c r="S265" s="244"/>
      <c r="T265" s="244"/>
      <c r="U265" s="244"/>
      <c r="V265" s="244"/>
      <c r="W265" s="244"/>
      <c r="X265" s="244"/>
      <c r="Y265" s="244"/>
      <c r="Z265" s="244"/>
      <c r="AA265" s="244"/>
      <c r="AB265" s="244"/>
      <c r="AC265" s="244"/>
    </row>
    <row r="266" spans="1:29" ht="15.75" customHeight="1" x14ac:dyDescent="0.25">
      <c r="A266" s="244"/>
      <c r="B266" s="244"/>
      <c r="C266" s="244"/>
      <c r="D266" s="244"/>
      <c r="E266" s="179"/>
      <c r="F266" s="244"/>
      <c r="G266" s="244"/>
      <c r="H266" s="244"/>
      <c r="I266" s="244"/>
      <c r="J266" s="244"/>
      <c r="K266" s="179"/>
      <c r="L266" s="244"/>
      <c r="M266" s="244"/>
      <c r="N266" s="244"/>
      <c r="O266" s="244"/>
      <c r="P266" s="244"/>
      <c r="Q266" s="244"/>
      <c r="R266" s="244"/>
      <c r="S266" s="244"/>
      <c r="T266" s="244"/>
      <c r="U266" s="244"/>
      <c r="V266" s="244"/>
      <c r="W266" s="244"/>
      <c r="X266" s="244"/>
      <c r="Y266" s="244"/>
      <c r="Z266" s="244"/>
      <c r="AA266" s="244"/>
      <c r="AB266" s="244"/>
      <c r="AC266" s="244"/>
    </row>
    <row r="267" spans="1:29" ht="15.75" customHeight="1" x14ac:dyDescent="0.25">
      <c r="A267" s="244"/>
      <c r="B267" s="244"/>
      <c r="C267" s="244"/>
      <c r="D267" s="244"/>
      <c r="E267" s="179"/>
      <c r="F267" s="244"/>
      <c r="G267" s="244"/>
      <c r="H267" s="244"/>
      <c r="I267" s="244"/>
      <c r="J267" s="244"/>
      <c r="K267" s="179"/>
      <c r="L267" s="244"/>
      <c r="M267" s="244"/>
      <c r="N267" s="244"/>
      <c r="O267" s="244"/>
      <c r="P267" s="244"/>
      <c r="Q267" s="244"/>
      <c r="R267" s="244"/>
      <c r="S267" s="244"/>
      <c r="T267" s="244"/>
      <c r="U267" s="244"/>
      <c r="V267" s="244"/>
      <c r="W267" s="244"/>
      <c r="X267" s="244"/>
      <c r="Y267" s="244"/>
      <c r="Z267" s="244"/>
      <c r="AA267" s="244"/>
      <c r="AB267" s="244"/>
      <c r="AC267" s="244"/>
    </row>
    <row r="268" spans="1:29" ht="15.75" customHeight="1" x14ac:dyDescent="0.25">
      <c r="A268" s="244"/>
      <c r="B268" s="244"/>
      <c r="C268" s="244"/>
      <c r="D268" s="244"/>
      <c r="E268" s="179"/>
      <c r="F268" s="244"/>
      <c r="G268" s="244"/>
      <c r="H268" s="244"/>
      <c r="I268" s="244"/>
      <c r="J268" s="244"/>
      <c r="K268" s="179"/>
      <c r="L268" s="244"/>
      <c r="M268" s="244"/>
      <c r="N268" s="244"/>
      <c r="O268" s="244"/>
      <c r="P268" s="244"/>
      <c r="Q268" s="244"/>
      <c r="R268" s="244"/>
      <c r="S268" s="244"/>
      <c r="T268" s="244"/>
      <c r="U268" s="244"/>
      <c r="V268" s="244"/>
      <c r="W268" s="244"/>
      <c r="X268" s="244"/>
      <c r="Y268" s="244"/>
      <c r="Z268" s="244"/>
      <c r="AA268" s="244"/>
      <c r="AB268" s="244"/>
      <c r="AC268" s="244"/>
    </row>
    <row r="269" spans="1:29" ht="15.75" customHeight="1" x14ac:dyDescent="0.25">
      <c r="A269" s="244"/>
      <c r="B269" s="244"/>
      <c r="C269" s="244"/>
      <c r="D269" s="244"/>
      <c r="E269" s="179"/>
      <c r="F269" s="244"/>
      <c r="G269" s="244"/>
      <c r="H269" s="244"/>
      <c r="I269" s="244"/>
      <c r="J269" s="244"/>
      <c r="K269" s="179"/>
      <c r="L269" s="244"/>
      <c r="M269" s="244"/>
      <c r="N269" s="244"/>
      <c r="O269" s="244"/>
      <c r="P269" s="244"/>
      <c r="Q269" s="244"/>
      <c r="R269" s="244"/>
      <c r="S269" s="244"/>
      <c r="T269" s="244"/>
      <c r="U269" s="244"/>
      <c r="V269" s="244"/>
      <c r="W269" s="244"/>
      <c r="X269" s="244"/>
      <c r="Y269" s="244"/>
      <c r="Z269" s="244"/>
      <c r="AA269" s="244"/>
      <c r="AB269" s="244"/>
      <c r="AC269" s="244"/>
    </row>
    <row r="270" spans="1:29" ht="15.75" customHeight="1" x14ac:dyDescent="0.25">
      <c r="A270" s="244"/>
      <c r="B270" s="244"/>
      <c r="C270" s="244"/>
      <c r="D270" s="244"/>
      <c r="E270" s="179"/>
      <c r="F270" s="244"/>
      <c r="G270" s="244"/>
      <c r="H270" s="244"/>
      <c r="I270" s="244"/>
      <c r="J270" s="244"/>
      <c r="K270" s="179"/>
      <c r="L270" s="244"/>
      <c r="M270" s="244"/>
      <c r="N270" s="244"/>
      <c r="O270" s="244"/>
      <c r="P270" s="244"/>
      <c r="Q270" s="244"/>
      <c r="R270" s="244"/>
      <c r="S270" s="244"/>
      <c r="T270" s="244"/>
      <c r="U270" s="244"/>
      <c r="V270" s="244"/>
      <c r="W270" s="244"/>
      <c r="X270" s="244"/>
      <c r="Y270" s="244"/>
      <c r="Z270" s="244"/>
      <c r="AA270" s="244"/>
      <c r="AB270" s="244"/>
      <c r="AC270" s="244"/>
    </row>
    <row r="271" spans="1:29" ht="15.75" customHeight="1" x14ac:dyDescent="0.25">
      <c r="A271" s="244"/>
      <c r="B271" s="244"/>
      <c r="C271" s="244"/>
      <c r="D271" s="244"/>
      <c r="E271" s="179"/>
      <c r="F271" s="244"/>
      <c r="G271" s="244"/>
      <c r="H271" s="244"/>
      <c r="I271" s="244"/>
      <c r="J271" s="244"/>
      <c r="K271" s="179"/>
      <c r="L271" s="244"/>
      <c r="M271" s="244"/>
      <c r="N271" s="244"/>
      <c r="O271" s="244"/>
      <c r="P271" s="244"/>
      <c r="Q271" s="244"/>
      <c r="R271" s="244"/>
      <c r="S271" s="244"/>
      <c r="T271" s="244"/>
      <c r="U271" s="244"/>
      <c r="V271" s="244"/>
      <c r="W271" s="244"/>
      <c r="X271" s="244"/>
      <c r="Y271" s="244"/>
      <c r="Z271" s="244"/>
      <c r="AA271" s="244"/>
      <c r="AB271" s="244"/>
      <c r="AC271" s="244"/>
    </row>
    <row r="272" spans="1:29" ht="15.75" customHeight="1" x14ac:dyDescent="0.25">
      <c r="A272" s="244"/>
      <c r="B272" s="244"/>
      <c r="C272" s="244"/>
      <c r="D272" s="244"/>
      <c r="E272" s="179"/>
      <c r="F272" s="244"/>
      <c r="G272" s="244"/>
      <c r="H272" s="244"/>
      <c r="I272" s="244"/>
      <c r="J272" s="244"/>
      <c r="K272" s="179"/>
      <c r="L272" s="244"/>
      <c r="M272" s="244"/>
      <c r="N272" s="244"/>
      <c r="O272" s="244"/>
      <c r="P272" s="244"/>
      <c r="Q272" s="244"/>
      <c r="R272" s="244"/>
      <c r="S272" s="244"/>
      <c r="T272" s="244"/>
      <c r="U272" s="244"/>
      <c r="V272" s="244"/>
      <c r="W272" s="244"/>
      <c r="X272" s="244"/>
      <c r="Y272" s="244"/>
      <c r="Z272" s="244"/>
      <c r="AA272" s="244"/>
      <c r="AB272" s="244"/>
      <c r="AC272" s="244"/>
    </row>
    <row r="273" spans="1:29" ht="15.75" customHeight="1" x14ac:dyDescent="0.25">
      <c r="A273" s="244"/>
      <c r="B273" s="244"/>
      <c r="C273" s="244"/>
      <c r="D273" s="244"/>
      <c r="E273" s="179"/>
      <c r="F273" s="244"/>
      <c r="G273" s="244"/>
      <c r="H273" s="244"/>
      <c r="I273" s="244"/>
      <c r="J273" s="244"/>
      <c r="K273" s="179"/>
      <c r="L273" s="244"/>
      <c r="M273" s="244"/>
      <c r="N273" s="244"/>
      <c r="O273" s="244"/>
      <c r="P273" s="244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</row>
    <row r="274" spans="1:29" ht="15.75" customHeight="1" x14ac:dyDescent="0.25">
      <c r="A274" s="244"/>
      <c r="B274" s="244"/>
      <c r="C274" s="244"/>
      <c r="D274" s="244"/>
      <c r="E274" s="179"/>
      <c r="F274" s="244"/>
      <c r="G274" s="244"/>
      <c r="H274" s="244"/>
      <c r="I274" s="244"/>
      <c r="J274" s="244"/>
      <c r="K274" s="179"/>
      <c r="L274" s="244"/>
      <c r="M274" s="244"/>
      <c r="N274" s="244"/>
      <c r="O274" s="244"/>
      <c r="P274" s="244"/>
      <c r="Q274" s="244"/>
      <c r="R274" s="244"/>
      <c r="S274" s="244"/>
      <c r="T274" s="244"/>
      <c r="U274" s="244"/>
      <c r="V274" s="244"/>
      <c r="W274" s="244"/>
      <c r="X274" s="244"/>
      <c r="Y274" s="244"/>
      <c r="Z274" s="244"/>
      <c r="AA274" s="244"/>
      <c r="AB274" s="244"/>
      <c r="AC274" s="244"/>
    </row>
    <row r="275" spans="1:29" ht="15.75" customHeight="1" x14ac:dyDescent="0.25">
      <c r="A275" s="244"/>
      <c r="B275" s="244"/>
      <c r="C275" s="244"/>
      <c r="D275" s="244"/>
      <c r="E275" s="179"/>
      <c r="F275" s="244"/>
      <c r="G275" s="244"/>
      <c r="H275" s="244"/>
      <c r="I275" s="244"/>
      <c r="J275" s="244"/>
      <c r="K275" s="179"/>
      <c r="L275" s="244"/>
      <c r="M275" s="244"/>
      <c r="N275" s="244"/>
      <c r="O275" s="244"/>
      <c r="P275" s="244"/>
      <c r="Q275" s="244"/>
      <c r="R275" s="244"/>
      <c r="S275" s="244"/>
      <c r="T275" s="244"/>
      <c r="U275" s="244"/>
      <c r="V275" s="244"/>
      <c r="W275" s="244"/>
      <c r="X275" s="244"/>
      <c r="Y275" s="244"/>
      <c r="Z275" s="244"/>
      <c r="AA275" s="244"/>
      <c r="AB275" s="244"/>
      <c r="AC275" s="244"/>
    </row>
    <row r="276" spans="1:29" ht="15.75" customHeight="1" x14ac:dyDescent="0.25">
      <c r="A276" s="244"/>
      <c r="B276" s="244"/>
      <c r="C276" s="244"/>
      <c r="D276" s="244"/>
      <c r="E276" s="179"/>
      <c r="F276" s="244"/>
      <c r="G276" s="244"/>
      <c r="H276" s="244"/>
      <c r="I276" s="244"/>
      <c r="J276" s="244"/>
      <c r="K276" s="179"/>
      <c r="L276" s="244"/>
      <c r="M276" s="244"/>
      <c r="N276" s="244"/>
      <c r="O276" s="244"/>
      <c r="P276" s="244"/>
      <c r="Q276" s="244"/>
      <c r="R276" s="244"/>
      <c r="S276" s="244"/>
      <c r="T276" s="244"/>
      <c r="U276" s="244"/>
      <c r="V276" s="244"/>
      <c r="W276" s="244"/>
      <c r="X276" s="244"/>
      <c r="Y276" s="244"/>
      <c r="Z276" s="244"/>
      <c r="AA276" s="244"/>
      <c r="AB276" s="244"/>
      <c r="AC276" s="244"/>
    </row>
    <row r="277" spans="1:29" ht="15.75" customHeight="1" x14ac:dyDescent="0.25">
      <c r="A277" s="244"/>
      <c r="B277" s="244"/>
      <c r="C277" s="244"/>
      <c r="D277" s="244"/>
      <c r="E277" s="179"/>
      <c r="F277" s="244"/>
      <c r="G277" s="244"/>
      <c r="H277" s="244"/>
      <c r="I277" s="244"/>
      <c r="J277" s="244"/>
      <c r="K277" s="179"/>
      <c r="L277" s="244"/>
      <c r="M277" s="244"/>
      <c r="N277" s="244"/>
      <c r="O277" s="244"/>
      <c r="P277" s="244"/>
      <c r="Q277" s="244"/>
      <c r="R277" s="244"/>
      <c r="S277" s="244"/>
      <c r="T277" s="244"/>
      <c r="U277" s="244"/>
      <c r="V277" s="244"/>
      <c r="W277" s="244"/>
      <c r="X277" s="244"/>
      <c r="Y277" s="244"/>
      <c r="Z277" s="244"/>
      <c r="AA277" s="244"/>
      <c r="AB277" s="244"/>
      <c r="AC277" s="244"/>
    </row>
    <row r="278" spans="1:29" ht="15.75" customHeight="1" x14ac:dyDescent="0.25">
      <c r="A278" s="244"/>
      <c r="B278" s="244"/>
      <c r="C278" s="244"/>
      <c r="D278" s="244"/>
      <c r="E278" s="179"/>
      <c r="F278" s="244"/>
      <c r="G278" s="244"/>
      <c r="H278" s="244"/>
      <c r="I278" s="244"/>
      <c r="J278" s="244"/>
      <c r="K278" s="179"/>
      <c r="L278" s="244"/>
      <c r="M278" s="244"/>
      <c r="N278" s="244"/>
      <c r="O278" s="244"/>
      <c r="P278" s="244"/>
      <c r="Q278" s="244"/>
      <c r="R278" s="244"/>
      <c r="S278" s="244"/>
      <c r="T278" s="244"/>
      <c r="U278" s="244"/>
      <c r="V278" s="244"/>
      <c r="W278" s="244"/>
      <c r="X278" s="244"/>
      <c r="Y278" s="244"/>
      <c r="Z278" s="244"/>
      <c r="AA278" s="244"/>
      <c r="AB278" s="244"/>
      <c r="AC278" s="244"/>
    </row>
    <row r="279" spans="1:29" ht="15.75" customHeight="1" x14ac:dyDescent="0.25">
      <c r="A279" s="244"/>
      <c r="B279" s="244"/>
      <c r="C279" s="244"/>
      <c r="D279" s="244"/>
      <c r="E279" s="179"/>
      <c r="F279" s="244"/>
      <c r="G279" s="244"/>
      <c r="H279" s="244"/>
      <c r="I279" s="244"/>
      <c r="J279" s="244"/>
      <c r="K279" s="179"/>
      <c r="L279" s="244"/>
      <c r="M279" s="244"/>
      <c r="N279" s="244"/>
      <c r="O279" s="244"/>
      <c r="P279" s="244"/>
      <c r="Q279" s="244"/>
      <c r="R279" s="244"/>
      <c r="S279" s="244"/>
      <c r="T279" s="244"/>
      <c r="U279" s="244"/>
      <c r="V279" s="244"/>
      <c r="W279" s="244"/>
      <c r="X279" s="244"/>
      <c r="Y279" s="244"/>
      <c r="Z279" s="244"/>
      <c r="AA279" s="244"/>
      <c r="AB279" s="244"/>
      <c r="AC279" s="244"/>
    </row>
    <row r="280" spans="1:29" ht="15.75" customHeight="1" x14ac:dyDescent="0.25">
      <c r="A280" s="244"/>
      <c r="B280" s="244"/>
      <c r="C280" s="244"/>
      <c r="D280" s="244"/>
      <c r="E280" s="179"/>
      <c r="F280" s="244"/>
      <c r="G280" s="244"/>
      <c r="H280" s="244"/>
      <c r="I280" s="244"/>
      <c r="J280" s="244"/>
      <c r="K280" s="179"/>
      <c r="L280" s="244"/>
      <c r="M280" s="244"/>
      <c r="N280" s="244"/>
      <c r="O280" s="244"/>
      <c r="P280" s="244"/>
      <c r="Q280" s="244"/>
      <c r="R280" s="244"/>
      <c r="S280" s="244"/>
      <c r="T280" s="244"/>
      <c r="U280" s="244"/>
      <c r="V280" s="244"/>
      <c r="W280" s="244"/>
      <c r="X280" s="244"/>
      <c r="Y280" s="244"/>
      <c r="Z280" s="244"/>
      <c r="AA280" s="244"/>
      <c r="AB280" s="244"/>
      <c r="AC280" s="244"/>
    </row>
    <row r="281" spans="1:29" ht="15.75" customHeight="1" x14ac:dyDescent="0.25">
      <c r="A281" s="244"/>
      <c r="B281" s="244"/>
      <c r="C281" s="244"/>
      <c r="D281" s="244"/>
      <c r="E281" s="179"/>
      <c r="F281" s="244"/>
      <c r="G281" s="244"/>
      <c r="H281" s="244"/>
      <c r="I281" s="244"/>
      <c r="J281" s="244"/>
      <c r="K281" s="179"/>
      <c r="L281" s="244"/>
      <c r="M281" s="244"/>
      <c r="N281" s="244"/>
      <c r="O281" s="244"/>
      <c r="P281" s="244"/>
      <c r="Q281" s="244"/>
      <c r="R281" s="244"/>
      <c r="S281" s="244"/>
      <c r="T281" s="244"/>
      <c r="U281" s="244"/>
      <c r="V281" s="244"/>
      <c r="W281" s="244"/>
      <c r="X281" s="244"/>
      <c r="Y281" s="244"/>
      <c r="Z281" s="244"/>
      <c r="AA281" s="244"/>
      <c r="AB281" s="244"/>
      <c r="AC281" s="244"/>
    </row>
    <row r="282" spans="1:29" ht="15.75" customHeight="1" x14ac:dyDescent="0.25">
      <c r="A282" s="244"/>
      <c r="B282" s="244"/>
      <c r="C282" s="244"/>
      <c r="D282" s="244"/>
      <c r="E282" s="179"/>
      <c r="F282" s="244"/>
      <c r="G282" s="244"/>
      <c r="H282" s="244"/>
      <c r="I282" s="244"/>
      <c r="J282" s="244"/>
      <c r="K282" s="179"/>
      <c r="L282" s="244"/>
      <c r="M282" s="244"/>
      <c r="N282" s="244"/>
      <c r="O282" s="244"/>
      <c r="P282" s="244"/>
      <c r="Q282" s="244"/>
      <c r="R282" s="244"/>
      <c r="S282" s="244"/>
      <c r="T282" s="244"/>
      <c r="U282" s="244"/>
      <c r="V282" s="244"/>
      <c r="W282" s="244"/>
      <c r="X282" s="244"/>
      <c r="Y282" s="244"/>
      <c r="Z282" s="244"/>
      <c r="AA282" s="244"/>
      <c r="AB282" s="244"/>
      <c r="AC282" s="244"/>
    </row>
    <row r="283" spans="1:29" ht="15.75" customHeight="1" x14ac:dyDescent="0.25">
      <c r="A283" s="244"/>
      <c r="B283" s="244"/>
      <c r="C283" s="244"/>
      <c r="D283" s="244"/>
      <c r="E283" s="179"/>
      <c r="F283" s="244"/>
      <c r="G283" s="244"/>
      <c r="H283" s="244"/>
      <c r="I283" s="244"/>
      <c r="J283" s="244"/>
      <c r="K283" s="179"/>
      <c r="L283" s="244"/>
      <c r="M283" s="244"/>
      <c r="N283" s="244"/>
      <c r="O283" s="244"/>
      <c r="P283" s="244"/>
      <c r="Q283" s="244"/>
      <c r="R283" s="244"/>
      <c r="S283" s="244"/>
      <c r="T283" s="244"/>
      <c r="U283" s="244"/>
      <c r="V283" s="244"/>
      <c r="W283" s="244"/>
      <c r="X283" s="244"/>
      <c r="Y283" s="244"/>
      <c r="Z283" s="244"/>
      <c r="AA283" s="244"/>
      <c r="AB283" s="244"/>
      <c r="AC283" s="244"/>
    </row>
    <row r="284" spans="1:29" ht="15.75" customHeight="1" x14ac:dyDescent="0.25">
      <c r="A284" s="244"/>
      <c r="B284" s="244"/>
      <c r="C284" s="244"/>
      <c r="D284" s="244"/>
      <c r="E284" s="179"/>
      <c r="F284" s="244"/>
      <c r="G284" s="244"/>
      <c r="H284" s="244"/>
      <c r="I284" s="244"/>
      <c r="J284" s="244"/>
      <c r="K284" s="179"/>
      <c r="L284" s="244"/>
      <c r="M284" s="244"/>
      <c r="N284" s="244"/>
      <c r="O284" s="244"/>
      <c r="P284" s="244"/>
      <c r="Q284" s="244"/>
      <c r="R284" s="244"/>
      <c r="S284" s="244"/>
      <c r="T284" s="244"/>
      <c r="U284" s="244"/>
      <c r="V284" s="244"/>
      <c r="W284" s="244"/>
      <c r="X284" s="244"/>
      <c r="Y284" s="244"/>
      <c r="Z284" s="244"/>
      <c r="AA284" s="244"/>
      <c r="AB284" s="244"/>
      <c r="AC284" s="244"/>
    </row>
    <row r="285" spans="1:29" ht="15.75" customHeight="1" x14ac:dyDescent="0.25">
      <c r="A285" s="244"/>
      <c r="B285" s="244"/>
      <c r="C285" s="244"/>
      <c r="D285" s="244"/>
      <c r="E285" s="179"/>
      <c r="F285" s="244"/>
      <c r="G285" s="244"/>
      <c r="H285" s="244"/>
      <c r="I285" s="244"/>
      <c r="J285" s="244"/>
      <c r="K285" s="179"/>
      <c r="L285" s="244"/>
      <c r="M285" s="244"/>
      <c r="N285" s="244"/>
      <c r="O285" s="244"/>
      <c r="P285" s="244"/>
      <c r="Q285" s="244"/>
      <c r="R285" s="244"/>
      <c r="S285" s="244"/>
      <c r="T285" s="244"/>
      <c r="U285" s="244"/>
      <c r="V285" s="244"/>
      <c r="W285" s="244"/>
      <c r="X285" s="244"/>
      <c r="Y285" s="244"/>
      <c r="Z285" s="244"/>
      <c r="AA285" s="244"/>
      <c r="AB285" s="244"/>
      <c r="AC285" s="244"/>
    </row>
    <row r="286" spans="1:29" ht="15.75" customHeight="1" x14ac:dyDescent="0.25">
      <c r="A286" s="244"/>
      <c r="B286" s="244"/>
      <c r="C286" s="244"/>
      <c r="D286" s="244"/>
      <c r="E286" s="179"/>
      <c r="F286" s="244"/>
      <c r="G286" s="244"/>
      <c r="H286" s="244"/>
      <c r="I286" s="244"/>
      <c r="J286" s="244"/>
      <c r="K286" s="179"/>
      <c r="L286" s="244"/>
      <c r="M286" s="244"/>
      <c r="N286" s="244"/>
      <c r="O286" s="244"/>
      <c r="P286" s="244"/>
      <c r="Q286" s="244"/>
      <c r="R286" s="244"/>
      <c r="S286" s="244"/>
      <c r="T286" s="244"/>
      <c r="U286" s="244"/>
      <c r="V286" s="244"/>
      <c r="W286" s="244"/>
      <c r="X286" s="244"/>
      <c r="Y286" s="244"/>
      <c r="Z286" s="244"/>
      <c r="AA286" s="244"/>
      <c r="AB286" s="244"/>
      <c r="AC286" s="244"/>
    </row>
    <row r="287" spans="1:29" ht="15.75" customHeight="1" x14ac:dyDescent="0.25">
      <c r="A287" s="244"/>
      <c r="B287" s="244"/>
      <c r="C287" s="244"/>
      <c r="D287" s="244"/>
      <c r="E287" s="179"/>
      <c r="F287" s="244"/>
      <c r="G287" s="244"/>
      <c r="H287" s="244"/>
      <c r="I287" s="244"/>
      <c r="J287" s="244"/>
      <c r="K287" s="179"/>
      <c r="L287" s="244"/>
      <c r="M287" s="244"/>
      <c r="N287" s="244"/>
      <c r="O287" s="244"/>
      <c r="P287" s="244"/>
      <c r="Q287" s="244"/>
      <c r="R287" s="244"/>
      <c r="S287" s="244"/>
      <c r="T287" s="244"/>
      <c r="U287" s="244"/>
      <c r="V287" s="244"/>
      <c r="W287" s="244"/>
      <c r="X287" s="244"/>
      <c r="Y287" s="244"/>
      <c r="Z287" s="244"/>
      <c r="AA287" s="244"/>
      <c r="AB287" s="244"/>
      <c r="AC287" s="244"/>
    </row>
    <row r="288" spans="1:29" ht="15.75" customHeight="1" x14ac:dyDescent="0.25">
      <c r="A288" s="244"/>
      <c r="B288" s="244"/>
      <c r="C288" s="244"/>
      <c r="D288" s="244"/>
      <c r="E288" s="179"/>
      <c r="F288" s="244"/>
      <c r="G288" s="244"/>
      <c r="H288" s="244"/>
      <c r="I288" s="244"/>
      <c r="J288" s="244"/>
      <c r="K288" s="179"/>
      <c r="L288" s="244"/>
      <c r="M288" s="244"/>
      <c r="N288" s="244"/>
      <c r="O288" s="244"/>
      <c r="P288" s="244"/>
      <c r="Q288" s="244"/>
      <c r="R288" s="244"/>
      <c r="S288" s="244"/>
      <c r="T288" s="244"/>
      <c r="U288" s="244"/>
      <c r="V288" s="244"/>
      <c r="W288" s="244"/>
      <c r="X288" s="244"/>
      <c r="Y288" s="244"/>
      <c r="Z288" s="244"/>
      <c r="AA288" s="244"/>
      <c r="AB288" s="244"/>
      <c r="AC288" s="244"/>
    </row>
    <row r="289" spans="1:29" ht="15.75" customHeight="1" x14ac:dyDescent="0.25">
      <c r="A289" s="244"/>
      <c r="B289" s="244"/>
      <c r="C289" s="244"/>
      <c r="D289" s="244"/>
      <c r="E289" s="179"/>
      <c r="F289" s="244"/>
      <c r="G289" s="244"/>
      <c r="H289" s="244"/>
      <c r="I289" s="244"/>
      <c r="J289" s="244"/>
      <c r="K289" s="179"/>
      <c r="L289" s="244"/>
      <c r="M289" s="244"/>
      <c r="N289" s="244"/>
      <c r="O289" s="244"/>
      <c r="P289" s="244"/>
      <c r="Q289" s="244"/>
      <c r="R289" s="244"/>
      <c r="S289" s="244"/>
      <c r="T289" s="244"/>
      <c r="U289" s="244"/>
      <c r="V289" s="244"/>
      <c r="W289" s="244"/>
      <c r="X289" s="244"/>
      <c r="Y289" s="244"/>
      <c r="Z289" s="244"/>
      <c r="AA289" s="244"/>
      <c r="AB289" s="244"/>
      <c r="AC289" s="244"/>
    </row>
    <row r="290" spans="1:29" ht="15.75" customHeight="1" x14ac:dyDescent="0.25">
      <c r="A290" s="244"/>
      <c r="B290" s="244"/>
      <c r="C290" s="244"/>
      <c r="D290" s="244"/>
      <c r="E290" s="179"/>
      <c r="F290" s="244"/>
      <c r="G290" s="244"/>
      <c r="H290" s="244"/>
      <c r="I290" s="244"/>
      <c r="J290" s="244"/>
      <c r="K290" s="179"/>
      <c r="L290" s="244"/>
      <c r="M290" s="244"/>
      <c r="N290" s="244"/>
      <c r="O290" s="244"/>
      <c r="P290" s="244"/>
      <c r="Q290" s="244"/>
      <c r="R290" s="244"/>
      <c r="S290" s="244"/>
      <c r="T290" s="244"/>
      <c r="U290" s="244"/>
      <c r="V290" s="244"/>
      <c r="W290" s="244"/>
      <c r="X290" s="244"/>
      <c r="Y290" s="244"/>
      <c r="Z290" s="244"/>
      <c r="AA290" s="244"/>
      <c r="AB290" s="244"/>
      <c r="AC290" s="244"/>
    </row>
    <row r="291" spans="1:29" ht="15.75" customHeight="1" x14ac:dyDescent="0.25">
      <c r="A291" s="244"/>
      <c r="B291" s="244"/>
      <c r="C291" s="244"/>
      <c r="D291" s="244"/>
      <c r="E291" s="179"/>
      <c r="F291" s="244"/>
      <c r="G291" s="244"/>
      <c r="H291" s="244"/>
      <c r="I291" s="244"/>
      <c r="J291" s="244"/>
      <c r="K291" s="179"/>
      <c r="L291" s="244"/>
      <c r="M291" s="244"/>
      <c r="N291" s="244"/>
      <c r="O291" s="244"/>
      <c r="P291" s="244"/>
      <c r="Q291" s="244"/>
      <c r="R291" s="244"/>
      <c r="S291" s="244"/>
      <c r="T291" s="244"/>
      <c r="U291" s="244"/>
      <c r="V291" s="244"/>
      <c r="W291" s="244"/>
      <c r="X291" s="244"/>
      <c r="Y291" s="244"/>
      <c r="Z291" s="244"/>
      <c r="AA291" s="244"/>
      <c r="AB291" s="244"/>
      <c r="AC291" s="244"/>
    </row>
    <row r="292" spans="1:29" ht="15.75" customHeight="1" x14ac:dyDescent="0.25">
      <c r="A292" s="244"/>
      <c r="B292" s="244"/>
      <c r="C292" s="244"/>
      <c r="D292" s="244"/>
      <c r="E292" s="179"/>
      <c r="F292" s="244"/>
      <c r="G292" s="244"/>
      <c r="H292" s="244"/>
      <c r="I292" s="244"/>
      <c r="J292" s="244"/>
      <c r="K292" s="179"/>
      <c r="L292" s="244"/>
      <c r="M292" s="244"/>
      <c r="N292" s="244"/>
      <c r="O292" s="244"/>
      <c r="P292" s="244"/>
      <c r="Q292" s="244"/>
      <c r="R292" s="244"/>
      <c r="S292" s="244"/>
      <c r="T292" s="244"/>
      <c r="U292" s="244"/>
      <c r="V292" s="244"/>
      <c r="W292" s="244"/>
      <c r="X292" s="244"/>
      <c r="Y292" s="244"/>
      <c r="Z292" s="244"/>
      <c r="AA292" s="244"/>
      <c r="AB292" s="244"/>
      <c r="AC292" s="244"/>
    </row>
    <row r="293" spans="1:29" ht="15.75" customHeight="1" x14ac:dyDescent="0.25">
      <c r="A293" s="244"/>
      <c r="B293" s="244"/>
      <c r="C293" s="244"/>
      <c r="D293" s="244"/>
      <c r="E293" s="179"/>
      <c r="F293" s="244"/>
      <c r="G293" s="244"/>
      <c r="H293" s="244"/>
      <c r="I293" s="244"/>
      <c r="J293" s="244"/>
      <c r="K293" s="179"/>
      <c r="L293" s="244"/>
      <c r="M293" s="244"/>
      <c r="N293" s="244"/>
      <c r="O293" s="244"/>
      <c r="P293" s="244"/>
      <c r="Q293" s="244"/>
      <c r="R293" s="244"/>
      <c r="S293" s="244"/>
      <c r="T293" s="244"/>
      <c r="U293" s="244"/>
      <c r="V293" s="244"/>
      <c r="W293" s="244"/>
      <c r="X293" s="244"/>
      <c r="Y293" s="244"/>
      <c r="Z293" s="244"/>
      <c r="AA293" s="244"/>
      <c r="AB293" s="244"/>
      <c r="AC293" s="244"/>
    </row>
    <row r="294" spans="1:29" ht="15.75" customHeight="1" x14ac:dyDescent="0.25">
      <c r="A294" s="244"/>
      <c r="B294" s="244"/>
      <c r="C294" s="244"/>
      <c r="D294" s="244"/>
      <c r="E294" s="179"/>
      <c r="F294" s="244"/>
      <c r="G294" s="244"/>
      <c r="H294" s="244"/>
      <c r="I294" s="244"/>
      <c r="J294" s="244"/>
      <c r="K294" s="179"/>
      <c r="L294" s="244"/>
      <c r="M294" s="244"/>
      <c r="N294" s="244"/>
      <c r="O294" s="244"/>
      <c r="P294" s="244"/>
      <c r="Q294" s="244"/>
      <c r="R294" s="244"/>
      <c r="S294" s="244"/>
      <c r="T294" s="244"/>
      <c r="U294" s="244"/>
      <c r="V294" s="244"/>
      <c r="W294" s="244"/>
      <c r="X294" s="244"/>
      <c r="Y294" s="244"/>
      <c r="Z294" s="244"/>
      <c r="AA294" s="244"/>
      <c r="AB294" s="244"/>
      <c r="AC294" s="244"/>
    </row>
    <row r="295" spans="1:29" ht="15.75" customHeight="1" x14ac:dyDescent="0.25">
      <c r="A295" s="244"/>
      <c r="B295" s="244"/>
      <c r="C295" s="244"/>
      <c r="D295" s="244"/>
      <c r="E295" s="179"/>
      <c r="F295" s="244"/>
      <c r="G295" s="244"/>
      <c r="H295" s="244"/>
      <c r="I295" s="244"/>
      <c r="J295" s="244"/>
      <c r="K295" s="179"/>
      <c r="L295" s="244"/>
      <c r="M295" s="244"/>
      <c r="N295" s="244"/>
      <c r="O295" s="244"/>
      <c r="P295" s="244"/>
      <c r="Q295" s="244"/>
      <c r="R295" s="244"/>
      <c r="S295" s="244"/>
      <c r="T295" s="244"/>
      <c r="U295" s="244"/>
      <c r="V295" s="244"/>
      <c r="W295" s="244"/>
      <c r="X295" s="244"/>
      <c r="Y295" s="244"/>
      <c r="Z295" s="244"/>
      <c r="AA295" s="244"/>
      <c r="AB295" s="244"/>
      <c r="AC295" s="244"/>
    </row>
    <row r="296" spans="1:29" ht="15.75" customHeight="1" x14ac:dyDescent="0.25">
      <c r="A296" s="244"/>
      <c r="B296" s="244"/>
      <c r="C296" s="244"/>
      <c r="D296" s="244"/>
      <c r="E296" s="179"/>
      <c r="F296" s="244"/>
      <c r="G296" s="244"/>
      <c r="H296" s="244"/>
      <c r="I296" s="244"/>
      <c r="J296" s="244"/>
      <c r="K296" s="179"/>
      <c r="L296" s="244"/>
      <c r="M296" s="244"/>
      <c r="N296" s="244"/>
      <c r="O296" s="244"/>
      <c r="P296" s="244"/>
      <c r="Q296" s="244"/>
      <c r="R296" s="244"/>
      <c r="S296" s="244"/>
      <c r="T296" s="244"/>
      <c r="U296" s="244"/>
      <c r="V296" s="244"/>
      <c r="W296" s="244"/>
      <c r="X296" s="244"/>
      <c r="Y296" s="244"/>
      <c r="Z296" s="244"/>
      <c r="AA296" s="244"/>
      <c r="AB296" s="244"/>
      <c r="AC296" s="244"/>
    </row>
    <row r="297" spans="1:29" ht="15.75" customHeight="1" x14ac:dyDescent="0.25">
      <c r="A297" s="244"/>
      <c r="B297" s="244"/>
      <c r="C297" s="244"/>
      <c r="D297" s="244"/>
      <c r="E297" s="179"/>
      <c r="F297" s="244"/>
      <c r="G297" s="244"/>
      <c r="H297" s="244"/>
      <c r="I297" s="244"/>
      <c r="J297" s="244"/>
      <c r="K297" s="179"/>
      <c r="L297" s="244"/>
      <c r="M297" s="244"/>
      <c r="N297" s="244"/>
      <c r="O297" s="244"/>
      <c r="P297" s="244"/>
      <c r="Q297" s="244"/>
      <c r="R297" s="244"/>
      <c r="S297" s="244"/>
      <c r="T297" s="244"/>
      <c r="U297" s="244"/>
      <c r="V297" s="244"/>
      <c r="W297" s="244"/>
      <c r="X297" s="244"/>
      <c r="Y297" s="244"/>
      <c r="Z297" s="244"/>
      <c r="AA297" s="244"/>
      <c r="AB297" s="244"/>
      <c r="AC297" s="244"/>
    </row>
    <row r="298" spans="1:29" ht="15.75" customHeight="1" x14ac:dyDescent="0.25">
      <c r="A298" s="244"/>
      <c r="B298" s="244"/>
      <c r="C298" s="244"/>
      <c r="D298" s="244"/>
      <c r="E298" s="179"/>
      <c r="F298" s="244"/>
      <c r="G298" s="244"/>
      <c r="H298" s="244"/>
      <c r="I298" s="244"/>
      <c r="J298" s="244"/>
      <c r="K298" s="179"/>
      <c r="L298" s="244"/>
      <c r="M298" s="244"/>
      <c r="N298" s="244"/>
      <c r="O298" s="244"/>
      <c r="P298" s="244"/>
      <c r="Q298" s="244"/>
      <c r="R298" s="244"/>
      <c r="S298" s="244"/>
      <c r="T298" s="244"/>
      <c r="U298" s="244"/>
      <c r="V298" s="244"/>
      <c r="W298" s="244"/>
      <c r="X298" s="244"/>
      <c r="Y298" s="244"/>
      <c r="Z298" s="244"/>
      <c r="AA298" s="244"/>
      <c r="AB298" s="244"/>
      <c r="AC298" s="244"/>
    </row>
    <row r="299" spans="1:29" ht="15.75" customHeight="1" x14ac:dyDescent="0.25">
      <c r="A299" s="244"/>
      <c r="B299" s="244"/>
      <c r="C299" s="244"/>
      <c r="D299" s="244"/>
      <c r="E299" s="179"/>
      <c r="F299" s="244"/>
      <c r="G299" s="244"/>
      <c r="H299" s="244"/>
      <c r="I299" s="244"/>
      <c r="J299" s="244"/>
      <c r="K299" s="179"/>
      <c r="L299" s="244"/>
      <c r="M299" s="244"/>
      <c r="N299" s="244"/>
      <c r="O299" s="244"/>
      <c r="P299" s="244"/>
      <c r="Q299" s="244"/>
      <c r="R299" s="244"/>
      <c r="S299" s="244"/>
      <c r="T299" s="244"/>
      <c r="U299" s="244"/>
      <c r="V299" s="244"/>
      <c r="W299" s="244"/>
      <c r="X299" s="244"/>
      <c r="Y299" s="244"/>
      <c r="Z299" s="244"/>
      <c r="AA299" s="244"/>
      <c r="AB299" s="244"/>
      <c r="AC299" s="244"/>
    </row>
    <row r="300" spans="1:29" ht="15.75" customHeight="1" x14ac:dyDescent="0.25">
      <c r="A300" s="244"/>
      <c r="B300" s="244"/>
      <c r="C300" s="244"/>
      <c r="D300" s="244"/>
      <c r="E300" s="179"/>
      <c r="F300" s="244"/>
      <c r="G300" s="244"/>
      <c r="H300" s="244"/>
      <c r="I300" s="244"/>
      <c r="J300" s="244"/>
      <c r="K300" s="179"/>
      <c r="L300" s="244"/>
      <c r="M300" s="244"/>
      <c r="N300" s="244"/>
      <c r="O300" s="244"/>
      <c r="P300" s="244"/>
      <c r="Q300" s="244"/>
      <c r="R300" s="244"/>
      <c r="S300" s="244"/>
      <c r="T300" s="244"/>
      <c r="U300" s="244"/>
      <c r="V300" s="244"/>
      <c r="W300" s="244"/>
      <c r="X300" s="244"/>
      <c r="Y300" s="244"/>
      <c r="Z300" s="244"/>
      <c r="AA300" s="244"/>
      <c r="AB300" s="244"/>
      <c r="AC300" s="244"/>
    </row>
    <row r="301" spans="1:29" ht="15.75" customHeight="1" x14ac:dyDescent="0.25">
      <c r="A301" s="244"/>
      <c r="B301" s="244"/>
      <c r="C301" s="244"/>
      <c r="D301" s="244"/>
      <c r="E301" s="179"/>
      <c r="F301" s="244"/>
      <c r="G301" s="244"/>
      <c r="H301" s="244"/>
      <c r="I301" s="244"/>
      <c r="J301" s="244"/>
      <c r="K301" s="179"/>
      <c r="L301" s="244"/>
      <c r="M301" s="244"/>
      <c r="N301" s="244"/>
      <c r="O301" s="244"/>
      <c r="P301" s="244"/>
      <c r="Q301" s="244"/>
      <c r="R301" s="244"/>
      <c r="S301" s="244"/>
      <c r="T301" s="244"/>
      <c r="U301" s="244"/>
      <c r="V301" s="244"/>
      <c r="W301" s="244"/>
      <c r="X301" s="244"/>
      <c r="Y301" s="244"/>
      <c r="Z301" s="244"/>
      <c r="AA301" s="244"/>
      <c r="AB301" s="244"/>
      <c r="AC301" s="244"/>
    </row>
    <row r="302" spans="1:29" ht="15.75" customHeight="1" x14ac:dyDescent="0.25">
      <c r="A302" s="244"/>
      <c r="B302" s="244"/>
      <c r="C302" s="244"/>
      <c r="D302" s="244"/>
      <c r="E302" s="179"/>
      <c r="F302" s="244"/>
      <c r="G302" s="244"/>
      <c r="H302" s="244"/>
      <c r="I302" s="244"/>
      <c r="J302" s="244"/>
      <c r="K302" s="179"/>
      <c r="L302" s="244"/>
      <c r="M302" s="244"/>
      <c r="N302" s="244"/>
      <c r="O302" s="244"/>
      <c r="P302" s="244"/>
      <c r="Q302" s="244"/>
      <c r="R302" s="244"/>
      <c r="S302" s="244"/>
      <c r="T302" s="244"/>
      <c r="U302" s="244"/>
      <c r="V302" s="244"/>
      <c r="W302" s="244"/>
      <c r="X302" s="244"/>
      <c r="Y302" s="244"/>
      <c r="Z302" s="244"/>
      <c r="AA302" s="244"/>
      <c r="AB302" s="244"/>
      <c r="AC302" s="244"/>
    </row>
    <row r="303" spans="1:29" ht="15.75" customHeight="1" x14ac:dyDescent="0.25">
      <c r="A303" s="244"/>
      <c r="B303" s="244"/>
      <c r="C303" s="244"/>
      <c r="D303" s="244"/>
      <c r="E303" s="179"/>
      <c r="F303" s="244"/>
      <c r="G303" s="244"/>
      <c r="H303" s="244"/>
      <c r="I303" s="244"/>
      <c r="J303" s="244"/>
      <c r="K303" s="179"/>
      <c r="L303" s="244"/>
      <c r="M303" s="244"/>
      <c r="N303" s="244"/>
      <c r="O303" s="244"/>
      <c r="P303" s="244"/>
      <c r="Q303" s="244"/>
      <c r="R303" s="244"/>
      <c r="S303" s="244"/>
      <c r="T303" s="244"/>
      <c r="U303" s="244"/>
      <c r="V303" s="244"/>
      <c r="W303" s="244"/>
      <c r="X303" s="244"/>
      <c r="Y303" s="244"/>
      <c r="Z303" s="244"/>
      <c r="AA303" s="244"/>
      <c r="AB303" s="244"/>
      <c r="AC303" s="244"/>
    </row>
    <row r="304" spans="1:29" ht="15.75" customHeight="1" x14ac:dyDescent="0.25">
      <c r="A304" s="244"/>
      <c r="B304" s="244"/>
      <c r="C304" s="244"/>
      <c r="D304" s="244"/>
      <c r="E304" s="179"/>
      <c r="F304" s="244"/>
      <c r="G304" s="244"/>
      <c r="H304" s="244"/>
      <c r="I304" s="244"/>
      <c r="J304" s="244"/>
      <c r="K304" s="179"/>
      <c r="L304" s="244"/>
      <c r="M304" s="244"/>
      <c r="N304" s="244"/>
      <c r="O304" s="244"/>
      <c r="P304" s="244"/>
      <c r="Q304" s="244"/>
      <c r="R304" s="244"/>
      <c r="S304" s="244"/>
      <c r="T304" s="244"/>
      <c r="U304" s="244"/>
      <c r="V304" s="244"/>
      <c r="W304" s="244"/>
      <c r="X304" s="244"/>
      <c r="Y304" s="244"/>
      <c r="Z304" s="244"/>
      <c r="AA304" s="244"/>
      <c r="AB304" s="244"/>
      <c r="AC304" s="244"/>
    </row>
    <row r="305" spans="1:29" ht="15.75" customHeight="1" x14ac:dyDescent="0.25">
      <c r="A305" s="244"/>
      <c r="B305" s="244"/>
      <c r="C305" s="244"/>
      <c r="D305" s="244"/>
      <c r="E305" s="179"/>
      <c r="F305" s="244"/>
      <c r="G305" s="244"/>
      <c r="H305" s="244"/>
      <c r="I305" s="244"/>
      <c r="J305" s="244"/>
      <c r="K305" s="179"/>
      <c r="L305" s="244"/>
      <c r="M305" s="244"/>
      <c r="N305" s="244"/>
      <c r="O305" s="244"/>
      <c r="P305" s="244"/>
      <c r="Q305" s="244"/>
      <c r="R305" s="244"/>
      <c r="S305" s="244"/>
      <c r="T305" s="244"/>
      <c r="U305" s="244"/>
      <c r="V305" s="244"/>
      <c r="W305" s="244"/>
      <c r="X305" s="244"/>
      <c r="Y305" s="244"/>
      <c r="Z305" s="244"/>
      <c r="AA305" s="244"/>
      <c r="AB305" s="244"/>
      <c r="AC305" s="244"/>
    </row>
    <row r="306" spans="1:29" ht="15.75" customHeight="1" x14ac:dyDescent="0.25">
      <c r="A306" s="244"/>
      <c r="B306" s="244"/>
      <c r="C306" s="244"/>
      <c r="D306" s="244"/>
      <c r="E306" s="179"/>
      <c r="F306" s="244"/>
      <c r="G306" s="244"/>
      <c r="H306" s="244"/>
      <c r="I306" s="244"/>
      <c r="J306" s="244"/>
      <c r="K306" s="179"/>
      <c r="L306" s="244"/>
      <c r="M306" s="244"/>
      <c r="N306" s="244"/>
      <c r="O306" s="244"/>
      <c r="P306" s="244"/>
      <c r="Q306" s="244"/>
      <c r="R306" s="244"/>
      <c r="S306" s="244"/>
      <c r="T306" s="244"/>
      <c r="U306" s="244"/>
      <c r="V306" s="244"/>
      <c r="W306" s="244"/>
      <c r="X306" s="244"/>
      <c r="Y306" s="244"/>
      <c r="Z306" s="244"/>
      <c r="AA306" s="244"/>
      <c r="AB306" s="244"/>
      <c r="AC306" s="244"/>
    </row>
    <row r="307" spans="1:29" ht="15.75" customHeight="1" x14ac:dyDescent="0.25">
      <c r="A307" s="244"/>
      <c r="B307" s="244"/>
      <c r="C307" s="244"/>
      <c r="D307" s="244"/>
      <c r="E307" s="179"/>
      <c r="F307" s="244"/>
      <c r="G307" s="244"/>
      <c r="H307" s="244"/>
      <c r="I307" s="244"/>
      <c r="J307" s="244"/>
      <c r="K307" s="179"/>
      <c r="L307" s="244"/>
      <c r="M307" s="244"/>
      <c r="N307" s="244"/>
      <c r="O307" s="244"/>
      <c r="P307" s="244"/>
      <c r="Q307" s="244"/>
      <c r="R307" s="244"/>
      <c r="S307" s="244"/>
      <c r="T307" s="244"/>
      <c r="U307" s="244"/>
      <c r="V307" s="244"/>
      <c r="W307" s="244"/>
      <c r="X307" s="244"/>
      <c r="Y307" s="244"/>
      <c r="Z307" s="244"/>
      <c r="AA307" s="244"/>
      <c r="AB307" s="244"/>
      <c r="AC307" s="244"/>
    </row>
    <row r="308" spans="1:29" ht="15.75" customHeight="1" x14ac:dyDescent="0.25">
      <c r="A308" s="244"/>
      <c r="B308" s="244"/>
      <c r="C308" s="244"/>
      <c r="D308" s="244"/>
      <c r="E308" s="179"/>
      <c r="F308" s="244"/>
      <c r="G308" s="244"/>
      <c r="H308" s="244"/>
      <c r="I308" s="244"/>
      <c r="J308" s="244"/>
      <c r="K308" s="179"/>
      <c r="L308" s="244"/>
      <c r="M308" s="244"/>
      <c r="N308" s="244"/>
      <c r="O308" s="244"/>
      <c r="P308" s="244"/>
      <c r="Q308" s="244"/>
      <c r="R308" s="244"/>
      <c r="S308" s="244"/>
      <c r="T308" s="244"/>
      <c r="U308" s="244"/>
      <c r="V308" s="244"/>
      <c r="W308" s="244"/>
      <c r="X308" s="244"/>
      <c r="Y308" s="244"/>
      <c r="Z308" s="244"/>
      <c r="AA308" s="244"/>
      <c r="AB308" s="244"/>
      <c r="AC308" s="244"/>
    </row>
    <row r="309" spans="1:29" ht="15.75" customHeight="1" x14ac:dyDescent="0.25">
      <c r="A309" s="244"/>
      <c r="B309" s="244"/>
      <c r="C309" s="244"/>
      <c r="D309" s="244"/>
      <c r="E309" s="179"/>
      <c r="F309" s="244"/>
      <c r="G309" s="244"/>
      <c r="H309" s="244"/>
      <c r="I309" s="244"/>
      <c r="J309" s="244"/>
      <c r="K309" s="179"/>
      <c r="L309" s="244"/>
      <c r="M309" s="244"/>
      <c r="N309" s="244"/>
      <c r="O309" s="244"/>
      <c r="P309" s="244"/>
      <c r="Q309" s="244"/>
      <c r="R309" s="244"/>
      <c r="S309" s="244"/>
      <c r="T309" s="244"/>
      <c r="U309" s="244"/>
      <c r="V309" s="244"/>
      <c r="W309" s="244"/>
      <c r="X309" s="244"/>
      <c r="Y309" s="244"/>
      <c r="Z309" s="244"/>
      <c r="AA309" s="244"/>
      <c r="AB309" s="244"/>
      <c r="AC309" s="244"/>
    </row>
    <row r="310" spans="1:29" ht="15.75" customHeight="1" x14ac:dyDescent="0.25">
      <c r="A310" s="244"/>
      <c r="B310" s="244"/>
      <c r="C310" s="244"/>
      <c r="D310" s="244"/>
      <c r="E310" s="179"/>
      <c r="F310" s="244"/>
      <c r="G310" s="244"/>
      <c r="H310" s="244"/>
      <c r="I310" s="244"/>
      <c r="J310" s="244"/>
      <c r="K310" s="179"/>
      <c r="L310" s="244"/>
      <c r="M310" s="244"/>
      <c r="N310" s="244"/>
      <c r="O310" s="244"/>
      <c r="P310" s="244"/>
      <c r="Q310" s="244"/>
      <c r="R310" s="244"/>
      <c r="S310" s="244"/>
      <c r="T310" s="244"/>
      <c r="U310" s="244"/>
      <c r="V310" s="244"/>
      <c r="W310" s="244"/>
      <c r="X310" s="244"/>
      <c r="Y310" s="244"/>
      <c r="Z310" s="244"/>
      <c r="AA310" s="244"/>
      <c r="AB310" s="244"/>
      <c r="AC310" s="244"/>
    </row>
    <row r="311" spans="1:29" ht="15.75" customHeight="1" x14ac:dyDescent="0.25">
      <c r="A311" s="244"/>
      <c r="B311" s="244"/>
      <c r="C311" s="244"/>
      <c r="D311" s="244"/>
      <c r="E311" s="179"/>
      <c r="F311" s="244"/>
      <c r="G311" s="244"/>
      <c r="H311" s="244"/>
      <c r="I311" s="244"/>
      <c r="J311" s="244"/>
      <c r="K311" s="179"/>
      <c r="L311" s="244"/>
      <c r="M311" s="244"/>
      <c r="N311" s="244"/>
      <c r="O311" s="244"/>
      <c r="P311" s="244"/>
      <c r="Q311" s="244"/>
      <c r="R311" s="244"/>
      <c r="S311" s="244"/>
      <c r="T311" s="244"/>
      <c r="U311" s="244"/>
      <c r="V311" s="244"/>
      <c r="W311" s="244"/>
      <c r="X311" s="244"/>
      <c r="Y311" s="244"/>
      <c r="Z311" s="244"/>
      <c r="AA311" s="244"/>
      <c r="AB311" s="244"/>
      <c r="AC311" s="244"/>
    </row>
    <row r="312" spans="1:29" ht="15.75" customHeight="1" x14ac:dyDescent="0.25">
      <c r="A312" s="244"/>
      <c r="B312" s="244"/>
      <c r="C312" s="244"/>
      <c r="D312" s="244"/>
      <c r="E312" s="179"/>
      <c r="F312" s="244"/>
      <c r="G312" s="244"/>
      <c r="H312" s="244"/>
      <c r="I312" s="244"/>
      <c r="J312" s="244"/>
      <c r="K312" s="179"/>
      <c r="L312" s="244"/>
      <c r="M312" s="244"/>
      <c r="N312" s="244"/>
      <c r="O312" s="244"/>
      <c r="P312" s="244"/>
      <c r="Q312" s="244"/>
      <c r="R312" s="244"/>
      <c r="S312" s="244"/>
      <c r="T312" s="244"/>
      <c r="U312" s="244"/>
      <c r="V312" s="244"/>
      <c r="W312" s="244"/>
      <c r="X312" s="244"/>
      <c r="Y312" s="244"/>
      <c r="Z312" s="244"/>
      <c r="AA312" s="244"/>
      <c r="AB312" s="244"/>
      <c r="AC312" s="244"/>
    </row>
    <row r="313" spans="1:29" ht="15.75" customHeight="1" x14ac:dyDescent="0.25">
      <c r="A313" s="244"/>
      <c r="B313" s="244"/>
      <c r="C313" s="244"/>
      <c r="D313" s="244"/>
      <c r="E313" s="179"/>
      <c r="F313" s="244"/>
      <c r="G313" s="244"/>
      <c r="H313" s="244"/>
      <c r="I313" s="244"/>
      <c r="J313" s="244"/>
      <c r="K313" s="179"/>
      <c r="L313" s="244"/>
      <c r="M313" s="244"/>
      <c r="N313" s="244"/>
      <c r="O313" s="244"/>
      <c r="P313" s="244"/>
      <c r="Q313" s="244"/>
      <c r="R313" s="244"/>
      <c r="S313" s="244"/>
      <c r="T313" s="244"/>
      <c r="U313" s="244"/>
      <c r="V313" s="244"/>
      <c r="W313" s="244"/>
      <c r="X313" s="244"/>
      <c r="Y313" s="244"/>
      <c r="Z313" s="244"/>
      <c r="AA313" s="244"/>
      <c r="AB313" s="244"/>
      <c r="AC313" s="244"/>
    </row>
    <row r="314" spans="1:29" ht="15.75" customHeight="1" x14ac:dyDescent="0.25">
      <c r="A314" s="244"/>
      <c r="B314" s="244"/>
      <c r="C314" s="244"/>
      <c r="D314" s="244"/>
      <c r="E314" s="179"/>
      <c r="F314" s="244"/>
      <c r="G314" s="244"/>
      <c r="H314" s="244"/>
      <c r="I314" s="244"/>
      <c r="J314" s="244"/>
      <c r="K314" s="179"/>
      <c r="L314" s="244"/>
      <c r="M314" s="244"/>
      <c r="N314" s="244"/>
      <c r="O314" s="244"/>
      <c r="P314" s="244"/>
      <c r="Q314" s="244"/>
      <c r="R314" s="244"/>
      <c r="S314" s="244"/>
      <c r="T314" s="244"/>
      <c r="U314" s="244"/>
      <c r="V314" s="244"/>
      <c r="W314" s="244"/>
      <c r="X314" s="244"/>
      <c r="Y314" s="244"/>
      <c r="Z314" s="244"/>
      <c r="AA314" s="244"/>
      <c r="AB314" s="244"/>
      <c r="AC314" s="244"/>
    </row>
    <row r="315" spans="1:29" ht="15.75" customHeight="1" x14ac:dyDescent="0.25">
      <c r="A315" s="244"/>
      <c r="B315" s="244"/>
      <c r="C315" s="244"/>
      <c r="D315" s="244"/>
      <c r="E315" s="179"/>
      <c r="F315" s="244"/>
      <c r="G315" s="244"/>
      <c r="H315" s="244"/>
      <c r="I315" s="244"/>
      <c r="J315" s="244"/>
      <c r="K315" s="179"/>
      <c r="L315" s="244"/>
      <c r="M315" s="244"/>
      <c r="N315" s="244"/>
      <c r="O315" s="244"/>
      <c r="P315" s="244"/>
      <c r="Q315" s="244"/>
      <c r="R315" s="244"/>
      <c r="S315" s="244"/>
      <c r="T315" s="244"/>
      <c r="U315" s="244"/>
      <c r="V315" s="244"/>
      <c r="W315" s="244"/>
      <c r="X315" s="244"/>
      <c r="Y315" s="244"/>
      <c r="Z315" s="244"/>
      <c r="AA315" s="244"/>
      <c r="AB315" s="244"/>
      <c r="AC315" s="244"/>
    </row>
    <row r="316" spans="1:29" ht="15.75" customHeight="1" x14ac:dyDescent="0.25">
      <c r="A316" s="244"/>
      <c r="B316" s="244"/>
      <c r="C316" s="244"/>
      <c r="D316" s="244"/>
      <c r="E316" s="179"/>
      <c r="F316" s="244"/>
      <c r="G316" s="244"/>
      <c r="H316" s="244"/>
      <c r="I316" s="244"/>
      <c r="J316" s="244"/>
      <c r="K316" s="179"/>
      <c r="L316" s="244"/>
      <c r="M316" s="244"/>
      <c r="N316" s="244"/>
      <c r="O316" s="244"/>
      <c r="P316" s="244"/>
      <c r="Q316" s="244"/>
      <c r="R316" s="244"/>
      <c r="S316" s="244"/>
      <c r="T316" s="244"/>
      <c r="U316" s="244"/>
      <c r="V316" s="244"/>
      <c r="W316" s="244"/>
      <c r="X316" s="244"/>
      <c r="Y316" s="244"/>
      <c r="Z316" s="244"/>
      <c r="AA316" s="244"/>
      <c r="AB316" s="244"/>
      <c r="AC316" s="244"/>
    </row>
    <row r="317" spans="1:29" ht="15.75" customHeight="1" x14ac:dyDescent="0.25">
      <c r="A317" s="244"/>
      <c r="B317" s="244"/>
      <c r="C317" s="244"/>
      <c r="D317" s="244"/>
      <c r="E317" s="179"/>
      <c r="F317" s="244"/>
      <c r="G317" s="244"/>
      <c r="H317" s="244"/>
      <c r="I317" s="244"/>
      <c r="J317" s="244"/>
      <c r="K317" s="179"/>
      <c r="L317" s="244"/>
      <c r="M317" s="244"/>
      <c r="N317" s="244"/>
      <c r="O317" s="244"/>
      <c r="P317" s="244"/>
      <c r="Q317" s="244"/>
      <c r="R317" s="244"/>
      <c r="S317" s="244"/>
      <c r="T317" s="244"/>
      <c r="U317" s="244"/>
      <c r="V317" s="244"/>
      <c r="W317" s="244"/>
      <c r="X317" s="244"/>
      <c r="Y317" s="244"/>
      <c r="Z317" s="244"/>
      <c r="AA317" s="244"/>
      <c r="AB317" s="244"/>
      <c r="AC317" s="244"/>
    </row>
    <row r="318" spans="1:29" ht="15.75" customHeight="1" x14ac:dyDescent="0.25">
      <c r="A318" s="244"/>
      <c r="B318" s="244"/>
      <c r="C318" s="244"/>
      <c r="D318" s="244"/>
      <c r="E318" s="179"/>
      <c r="F318" s="244"/>
      <c r="G318" s="244"/>
      <c r="H318" s="244"/>
      <c r="I318" s="244"/>
      <c r="J318" s="244"/>
      <c r="K318" s="179"/>
      <c r="L318" s="244"/>
      <c r="M318" s="244"/>
      <c r="N318" s="244"/>
      <c r="O318" s="244"/>
      <c r="P318" s="244"/>
      <c r="Q318" s="244"/>
      <c r="R318" s="244"/>
      <c r="S318" s="244"/>
      <c r="T318" s="244"/>
      <c r="U318" s="244"/>
      <c r="V318" s="244"/>
      <c r="W318" s="244"/>
      <c r="X318" s="244"/>
      <c r="Y318" s="244"/>
      <c r="Z318" s="244"/>
      <c r="AA318" s="244"/>
      <c r="AB318" s="244"/>
      <c r="AC318" s="244"/>
    </row>
    <row r="319" spans="1:29" ht="15.75" customHeight="1" x14ac:dyDescent="0.25">
      <c r="A319" s="244"/>
      <c r="B319" s="244"/>
      <c r="C319" s="244"/>
      <c r="D319" s="244"/>
      <c r="E319" s="179"/>
      <c r="F319" s="244"/>
      <c r="G319" s="244"/>
      <c r="H319" s="244"/>
      <c r="I319" s="244"/>
      <c r="J319" s="244"/>
      <c r="K319" s="179"/>
      <c r="L319" s="244"/>
      <c r="M319" s="244"/>
      <c r="N319" s="244"/>
      <c r="O319" s="244"/>
      <c r="P319" s="244"/>
      <c r="Q319" s="244"/>
      <c r="R319" s="244"/>
      <c r="S319" s="244"/>
      <c r="T319" s="244"/>
      <c r="U319" s="244"/>
      <c r="V319" s="244"/>
      <c r="W319" s="244"/>
      <c r="X319" s="244"/>
      <c r="Y319" s="244"/>
      <c r="Z319" s="244"/>
      <c r="AA319" s="244"/>
      <c r="AB319" s="244"/>
      <c r="AC319" s="244"/>
    </row>
    <row r="320" spans="1:29" ht="15.75" customHeight="1" x14ac:dyDescent="0.25">
      <c r="A320" s="244"/>
      <c r="B320" s="244"/>
      <c r="C320" s="244"/>
      <c r="D320" s="244"/>
      <c r="E320" s="179"/>
      <c r="F320" s="244"/>
      <c r="G320" s="244"/>
      <c r="H320" s="244"/>
      <c r="I320" s="244"/>
      <c r="J320" s="244"/>
      <c r="K320" s="179"/>
      <c r="L320" s="244"/>
      <c r="M320" s="244"/>
      <c r="N320" s="244"/>
      <c r="O320" s="244"/>
      <c r="P320" s="244"/>
      <c r="Q320" s="244"/>
      <c r="R320" s="244"/>
      <c r="S320" s="244"/>
      <c r="T320" s="244"/>
      <c r="U320" s="244"/>
      <c r="V320" s="244"/>
      <c r="W320" s="244"/>
      <c r="X320" s="244"/>
      <c r="Y320" s="244"/>
      <c r="Z320" s="244"/>
      <c r="AA320" s="244"/>
      <c r="AB320" s="244"/>
      <c r="AC320" s="244"/>
    </row>
    <row r="321" spans="1:29" ht="15.75" customHeight="1" x14ac:dyDescent="0.25">
      <c r="A321" s="244"/>
      <c r="B321" s="244"/>
      <c r="C321" s="244"/>
      <c r="D321" s="244"/>
      <c r="E321" s="179"/>
      <c r="F321" s="244"/>
      <c r="G321" s="244"/>
      <c r="H321" s="244"/>
      <c r="I321" s="244"/>
      <c r="J321" s="244"/>
      <c r="K321" s="179"/>
      <c r="L321" s="244"/>
      <c r="M321" s="244"/>
      <c r="N321" s="244"/>
      <c r="O321" s="244"/>
      <c r="P321" s="244"/>
      <c r="Q321" s="244"/>
      <c r="R321" s="244"/>
      <c r="S321" s="244"/>
      <c r="T321" s="244"/>
      <c r="U321" s="244"/>
      <c r="V321" s="244"/>
      <c r="W321" s="244"/>
      <c r="X321" s="244"/>
      <c r="Y321" s="244"/>
      <c r="Z321" s="244"/>
      <c r="AA321" s="244"/>
      <c r="AB321" s="244"/>
      <c r="AC321" s="244"/>
    </row>
    <row r="322" spans="1:29" ht="15.75" customHeight="1" x14ac:dyDescent="0.25">
      <c r="A322" s="244"/>
      <c r="B322" s="244"/>
      <c r="C322" s="244"/>
      <c r="D322" s="244"/>
      <c r="E322" s="179"/>
      <c r="F322" s="244"/>
      <c r="G322" s="244"/>
      <c r="H322" s="244"/>
      <c r="I322" s="244"/>
      <c r="J322" s="244"/>
      <c r="K322" s="179"/>
      <c r="L322" s="244"/>
      <c r="M322" s="244"/>
      <c r="N322" s="244"/>
      <c r="O322" s="244"/>
      <c r="P322" s="244"/>
      <c r="Q322" s="244"/>
      <c r="R322" s="244"/>
      <c r="S322" s="244"/>
      <c r="T322" s="244"/>
      <c r="U322" s="244"/>
      <c r="V322" s="244"/>
      <c r="W322" s="244"/>
      <c r="X322" s="244"/>
      <c r="Y322" s="244"/>
      <c r="Z322" s="244"/>
      <c r="AA322" s="244"/>
      <c r="AB322" s="244"/>
      <c r="AC322" s="244"/>
    </row>
    <row r="323" spans="1:29" ht="15.75" customHeight="1" x14ac:dyDescent="0.25">
      <c r="A323" s="244"/>
      <c r="B323" s="244"/>
      <c r="C323" s="244"/>
      <c r="D323" s="244"/>
      <c r="E323" s="179"/>
      <c r="F323" s="244"/>
      <c r="G323" s="244"/>
      <c r="H323" s="244"/>
      <c r="I323" s="244"/>
      <c r="J323" s="244"/>
      <c r="K323" s="179"/>
      <c r="L323" s="244"/>
      <c r="M323" s="244"/>
      <c r="N323" s="244"/>
      <c r="O323" s="244"/>
      <c r="P323" s="244"/>
      <c r="Q323" s="244"/>
      <c r="R323" s="244"/>
      <c r="S323" s="244"/>
      <c r="T323" s="244"/>
      <c r="U323" s="244"/>
      <c r="V323" s="244"/>
      <c r="W323" s="244"/>
      <c r="X323" s="244"/>
      <c r="Y323" s="244"/>
      <c r="Z323" s="244"/>
      <c r="AA323" s="244"/>
      <c r="AB323" s="244"/>
      <c r="AC323" s="244"/>
    </row>
    <row r="324" spans="1:29" ht="15.75" customHeight="1" x14ac:dyDescent="0.2"/>
    <row r="325" spans="1:29" ht="15.75" customHeight="1" x14ac:dyDescent="0.2"/>
    <row r="326" spans="1:29" ht="15.75" customHeight="1" x14ac:dyDescent="0.2"/>
    <row r="327" spans="1:29" ht="15.75" customHeight="1" x14ac:dyDescent="0.2"/>
    <row r="328" spans="1:29" ht="15.75" customHeight="1" x14ac:dyDescent="0.2"/>
    <row r="329" spans="1:29" ht="15.75" customHeight="1" x14ac:dyDescent="0.2"/>
    <row r="330" spans="1:29" ht="15.75" customHeight="1" x14ac:dyDescent="0.2"/>
    <row r="331" spans="1:29" ht="15.75" customHeight="1" x14ac:dyDescent="0.2"/>
    <row r="332" spans="1:29" ht="15.75" customHeight="1" x14ac:dyDescent="0.2"/>
    <row r="333" spans="1:29" ht="15.75" customHeight="1" x14ac:dyDescent="0.2"/>
    <row r="334" spans="1:29" ht="15.75" customHeight="1" x14ac:dyDescent="0.2"/>
    <row r="335" spans="1:29" ht="15.75" customHeight="1" x14ac:dyDescent="0.2"/>
    <row r="336" spans="1:29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6">
    <mergeCell ref="B56:C56"/>
    <mergeCell ref="B4:B5"/>
    <mergeCell ref="C4:C5"/>
    <mergeCell ref="D4:I4"/>
    <mergeCell ref="J4:O4"/>
    <mergeCell ref="B37:C3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C1000"/>
  <sheetViews>
    <sheetView workbookViewId="0">
      <pane xSplit="3" ySplit="16" topLeftCell="D108" activePane="bottomRight" state="frozen"/>
      <selection pane="topRight" activeCell="D1" sqref="D1"/>
      <selection pane="bottomLeft" activeCell="A17" sqref="A17"/>
      <selection pane="bottomRight" activeCell="J137" sqref="J137"/>
    </sheetView>
  </sheetViews>
  <sheetFormatPr defaultColWidth="12.5703125" defaultRowHeight="15" customHeight="1" x14ac:dyDescent="0.2"/>
  <cols>
    <col min="1" max="1" width="5.5703125" customWidth="1"/>
    <col min="2" max="2" width="9.7109375" customWidth="1"/>
    <col min="3" max="3" width="41.140625" customWidth="1"/>
    <col min="4" max="4" width="12.5703125" customWidth="1"/>
    <col min="5" max="9" width="12.5703125" hidden="1" customWidth="1"/>
    <col min="10" max="10" width="12.5703125" customWidth="1"/>
    <col min="11" max="15" width="12.5703125" hidden="1" customWidth="1"/>
    <col min="16" max="29" width="12.5703125" customWidth="1"/>
  </cols>
  <sheetData>
    <row r="1" spans="1:29" ht="15.75" customHeight="1" x14ac:dyDescent="0.25">
      <c r="A1" s="244"/>
      <c r="B1" s="785" t="s">
        <v>353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</row>
    <row r="2" spans="1:29" ht="15.75" customHeight="1" x14ac:dyDescent="0.25">
      <c r="A2" s="244"/>
      <c r="B2" s="181" t="s">
        <v>354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29" ht="15.75" customHeight="1" x14ac:dyDescent="0.25">
      <c r="A3" s="181"/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</row>
    <row r="4" spans="1:29" ht="15.75" customHeight="1" x14ac:dyDescent="0.25">
      <c r="A4" s="181"/>
      <c r="B4" s="960" t="s">
        <v>167</v>
      </c>
      <c r="C4" s="961" t="s">
        <v>46</v>
      </c>
      <c r="D4" s="987" t="s">
        <v>168</v>
      </c>
      <c r="E4" s="969"/>
      <c r="F4" s="969"/>
      <c r="G4" s="969"/>
      <c r="H4" s="969"/>
      <c r="I4" s="983"/>
      <c r="J4" s="987" t="s">
        <v>169</v>
      </c>
      <c r="K4" s="969"/>
      <c r="L4" s="969"/>
      <c r="M4" s="969"/>
      <c r="N4" s="969"/>
      <c r="O4" s="983"/>
      <c r="P4" s="786"/>
      <c r="Q4" s="786"/>
      <c r="R4" s="786"/>
      <c r="S4" s="786"/>
      <c r="T4" s="786"/>
      <c r="U4" s="786"/>
      <c r="V4" s="786"/>
      <c r="W4" s="786"/>
      <c r="X4" s="786"/>
      <c r="Y4" s="786"/>
      <c r="Z4" s="786"/>
      <c r="AA4" s="786"/>
      <c r="AB4" s="786"/>
      <c r="AC4" s="786"/>
    </row>
    <row r="5" spans="1:29" ht="15.75" customHeight="1" x14ac:dyDescent="0.2">
      <c r="A5" s="787"/>
      <c r="B5" s="957"/>
      <c r="C5" s="959"/>
      <c r="D5" s="788" t="s">
        <v>170</v>
      </c>
      <c r="E5" s="789" t="s">
        <v>18</v>
      </c>
      <c r="F5" s="789" t="s">
        <v>171</v>
      </c>
      <c r="G5" s="789" t="s">
        <v>18</v>
      </c>
      <c r="H5" s="789" t="s">
        <v>172</v>
      </c>
      <c r="I5" s="790" t="s">
        <v>260</v>
      </c>
      <c r="J5" s="788" t="s">
        <v>170</v>
      </c>
      <c r="K5" s="789" t="s">
        <v>18</v>
      </c>
      <c r="L5" s="789" t="s">
        <v>171</v>
      </c>
      <c r="M5" s="789" t="s">
        <v>18</v>
      </c>
      <c r="N5" s="789" t="s">
        <v>172</v>
      </c>
      <c r="O5" s="790" t="s">
        <v>260</v>
      </c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</row>
    <row r="6" spans="1:29" ht="15.75" hidden="1" customHeight="1" x14ac:dyDescent="0.25">
      <c r="A6" s="181"/>
      <c r="B6" s="791"/>
      <c r="C6" s="792" t="s">
        <v>78</v>
      </c>
      <c r="D6" s="793">
        <v>0</v>
      </c>
      <c r="E6" s="794"/>
      <c r="F6" s="795"/>
      <c r="G6" s="794"/>
      <c r="H6" s="795"/>
      <c r="I6" s="792"/>
      <c r="J6" s="793">
        <v>0</v>
      </c>
      <c r="K6" s="794"/>
      <c r="L6" s="795"/>
      <c r="M6" s="794"/>
      <c r="N6" s="795"/>
      <c r="O6" s="792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</row>
    <row r="7" spans="1:29" ht="15.75" hidden="1" customHeight="1" x14ac:dyDescent="0.25">
      <c r="A7" s="181"/>
      <c r="B7" s="796"/>
      <c r="C7" s="748" t="s">
        <v>85</v>
      </c>
      <c r="D7" s="797">
        <v>0</v>
      </c>
      <c r="E7" s="798"/>
      <c r="F7" s="799"/>
      <c r="G7" s="798"/>
      <c r="H7" s="799"/>
      <c r="I7" s="748"/>
      <c r="J7" s="797">
        <v>0</v>
      </c>
      <c r="K7" s="798"/>
      <c r="L7" s="799"/>
      <c r="M7" s="798"/>
      <c r="N7" s="799"/>
      <c r="O7" s="748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</row>
    <row r="8" spans="1:29" ht="15.75" hidden="1" customHeight="1" x14ac:dyDescent="0.25">
      <c r="A8" s="181"/>
      <c r="B8" s="796"/>
      <c r="C8" s="748" t="s">
        <v>92</v>
      </c>
      <c r="D8" s="797">
        <v>0</v>
      </c>
      <c r="E8" s="798"/>
      <c r="F8" s="799"/>
      <c r="G8" s="798"/>
      <c r="H8" s="799"/>
      <c r="I8" s="748"/>
      <c r="J8" s="797">
        <v>0</v>
      </c>
      <c r="K8" s="798"/>
      <c r="L8" s="799"/>
      <c r="M8" s="798"/>
      <c r="N8" s="799"/>
      <c r="O8" s="748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</row>
    <row r="9" spans="1:29" ht="15.75" hidden="1" customHeight="1" x14ac:dyDescent="0.25">
      <c r="A9" s="181"/>
      <c r="B9" s="796"/>
      <c r="C9" s="748" t="s">
        <v>99</v>
      </c>
      <c r="D9" s="797">
        <v>0</v>
      </c>
      <c r="E9" s="798"/>
      <c r="F9" s="799"/>
      <c r="G9" s="798"/>
      <c r="H9" s="799"/>
      <c r="I9" s="748"/>
      <c r="J9" s="797">
        <v>0</v>
      </c>
      <c r="K9" s="798"/>
      <c r="L9" s="799"/>
      <c r="M9" s="798"/>
      <c r="N9" s="799"/>
      <c r="O9" s="748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</row>
    <row r="10" spans="1:29" ht="15.75" hidden="1" customHeight="1" x14ac:dyDescent="0.25">
      <c r="A10" s="181"/>
      <c r="B10" s="796"/>
      <c r="C10" s="748" t="s">
        <v>106</v>
      </c>
      <c r="D10" s="797">
        <f>SUM(D8:D9)-D26</f>
        <v>-174122.08000000002</v>
      </c>
      <c r="E10" s="798"/>
      <c r="F10" s="799"/>
      <c r="G10" s="798"/>
      <c r="H10" s="799"/>
      <c r="I10" s="748"/>
      <c r="J10" s="797">
        <f>SUM(J8:J9)-J26</f>
        <v>-132839</v>
      </c>
      <c r="K10" s="798"/>
      <c r="L10" s="799"/>
      <c r="M10" s="798"/>
      <c r="N10" s="799"/>
      <c r="O10" s="748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</row>
    <row r="11" spans="1:29" ht="15.75" hidden="1" customHeight="1" x14ac:dyDescent="0.25">
      <c r="A11" s="181"/>
      <c r="B11" s="796"/>
      <c r="C11" s="748" t="s">
        <v>113</v>
      </c>
      <c r="D11" s="797">
        <v>0</v>
      </c>
      <c r="E11" s="798"/>
      <c r="F11" s="799"/>
      <c r="G11" s="798"/>
      <c r="H11" s="799"/>
      <c r="I11" s="748"/>
      <c r="J11" s="797">
        <v>0</v>
      </c>
      <c r="K11" s="798"/>
      <c r="L11" s="799"/>
      <c r="M11" s="798"/>
      <c r="N11" s="799"/>
      <c r="O11" s="748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</row>
    <row r="12" spans="1:29" ht="15.75" hidden="1" customHeight="1" x14ac:dyDescent="0.25">
      <c r="A12" s="181"/>
      <c r="B12" s="796"/>
      <c r="C12" s="748" t="s">
        <v>120</v>
      </c>
      <c r="D12" s="797">
        <v>0</v>
      </c>
      <c r="E12" s="798"/>
      <c r="F12" s="799"/>
      <c r="G12" s="798"/>
      <c r="H12" s="799"/>
      <c r="I12" s="748"/>
      <c r="J12" s="797">
        <v>0</v>
      </c>
      <c r="K12" s="798"/>
      <c r="L12" s="799"/>
      <c r="M12" s="798"/>
      <c r="N12" s="799"/>
      <c r="O12" s="748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</row>
    <row r="13" spans="1:29" ht="15.75" hidden="1" customHeight="1" x14ac:dyDescent="0.25">
      <c r="A13" s="181"/>
      <c r="B13" s="796"/>
      <c r="C13" s="748"/>
      <c r="D13" s="797"/>
      <c r="E13" s="798"/>
      <c r="F13" s="799"/>
      <c r="G13" s="798"/>
      <c r="H13" s="799"/>
      <c r="I13" s="748"/>
      <c r="J13" s="797"/>
      <c r="K13" s="798"/>
      <c r="L13" s="799"/>
      <c r="M13" s="798"/>
      <c r="N13" s="799"/>
      <c r="O13" s="748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</row>
    <row r="14" spans="1:29" ht="15.75" hidden="1" customHeight="1" x14ac:dyDescent="0.25">
      <c r="A14" s="181"/>
      <c r="B14" s="796"/>
      <c r="C14" s="748"/>
      <c r="D14" s="797"/>
      <c r="E14" s="798"/>
      <c r="F14" s="799"/>
      <c r="G14" s="798"/>
      <c r="H14" s="799"/>
      <c r="I14" s="748"/>
      <c r="J14" s="797"/>
      <c r="K14" s="798"/>
      <c r="L14" s="799"/>
      <c r="M14" s="798"/>
      <c r="N14" s="799"/>
      <c r="O14" s="748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</row>
    <row r="15" spans="1:29" ht="15.75" customHeight="1" x14ac:dyDescent="0.25">
      <c r="A15" s="181"/>
      <c r="B15" s="800" t="s">
        <v>173</v>
      </c>
      <c r="C15" s="801" t="s">
        <v>322</v>
      </c>
      <c r="D15" s="467">
        <f>SUM(D17:D19)</f>
        <v>174122.08000000002</v>
      </c>
      <c r="E15" s="313"/>
      <c r="F15" s="415"/>
      <c r="G15" s="313"/>
      <c r="H15" s="415"/>
      <c r="I15" s="271"/>
      <c r="J15" s="467">
        <f>SUM(J17:J19)</f>
        <v>132839</v>
      </c>
      <c r="K15" s="313"/>
      <c r="L15" s="415"/>
      <c r="M15" s="313"/>
      <c r="N15" s="415"/>
      <c r="O15" s="27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</row>
    <row r="16" spans="1:29" ht="15.75" customHeight="1" x14ac:dyDescent="0.25">
      <c r="A16" s="181"/>
      <c r="B16" s="796"/>
      <c r="C16" s="748"/>
      <c r="E16" s="313"/>
      <c r="F16" s="415">
        <f>SUM(F17:F19)</f>
        <v>0</v>
      </c>
      <c r="G16" s="313"/>
      <c r="H16" s="415">
        <f>SUM(H17:H19)</f>
        <v>68730.259999999995</v>
      </c>
      <c r="I16" s="271"/>
      <c r="J16" s="802"/>
      <c r="K16" s="417"/>
      <c r="L16" s="415">
        <f>SUM(L17:L19)</f>
        <v>0</v>
      </c>
      <c r="M16" s="313"/>
      <c r="N16" s="415">
        <f>SUM(N17:N19)</f>
        <v>65950</v>
      </c>
      <c r="O16" s="27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</row>
    <row r="17" spans="1:29" ht="15.75" customHeight="1" x14ac:dyDescent="0.25">
      <c r="A17" s="181"/>
      <c r="B17" s="796" t="s">
        <v>23</v>
      </c>
      <c r="C17" s="748" t="s">
        <v>355</v>
      </c>
      <c r="D17" s="467">
        <v>68730.259999999995</v>
      </c>
      <c r="E17" s="332">
        <f t="shared" ref="E17:E18" si="0">D17/D$26</f>
        <v>0.39472455187762512</v>
      </c>
      <c r="F17" s="415">
        <v>0</v>
      </c>
      <c r="G17" s="313"/>
      <c r="H17" s="415">
        <f>D17-F17</f>
        <v>68730.259999999995</v>
      </c>
      <c r="I17" s="271"/>
      <c r="J17" s="467">
        <v>65950</v>
      </c>
      <c r="K17" s="332">
        <f t="shared" ref="K17:K18" si="1">J17/J$26</f>
        <v>0.49646564638396856</v>
      </c>
      <c r="L17" s="415">
        <v>0</v>
      </c>
      <c r="M17" s="313"/>
      <c r="N17" s="415">
        <f>J17-L17</f>
        <v>65950</v>
      </c>
      <c r="O17" s="27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</row>
    <row r="18" spans="1:29" ht="15.75" customHeight="1" x14ac:dyDescent="0.25">
      <c r="A18" s="181"/>
      <c r="B18" s="803"/>
      <c r="C18" s="748" t="s">
        <v>356</v>
      </c>
      <c r="D18" s="467">
        <v>96510.25</v>
      </c>
      <c r="E18" s="332">
        <f t="shared" si="0"/>
        <v>0.55426772985941808</v>
      </c>
      <c r="F18" s="415">
        <v>0</v>
      </c>
      <c r="G18" s="313"/>
      <c r="H18" s="415"/>
      <c r="I18" s="271"/>
      <c r="J18" s="467">
        <v>66889</v>
      </c>
      <c r="K18" s="332">
        <f t="shared" si="1"/>
        <v>0.50353435361603138</v>
      </c>
      <c r="L18" s="415">
        <v>0</v>
      </c>
      <c r="M18" s="313"/>
      <c r="N18" s="415"/>
      <c r="O18" s="27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</row>
    <row r="19" spans="1:29" ht="15.75" customHeight="1" x14ac:dyDescent="0.25">
      <c r="A19" s="181"/>
      <c r="B19" s="796"/>
      <c r="C19" s="748" t="s">
        <v>179</v>
      </c>
      <c r="D19" s="467">
        <f>4056+4825.57</f>
        <v>8881.57</v>
      </c>
      <c r="E19" s="313"/>
      <c r="F19" s="415"/>
      <c r="G19" s="313"/>
      <c r="H19" s="415"/>
      <c r="I19" s="271"/>
      <c r="J19" s="467"/>
      <c r="K19" s="313"/>
      <c r="L19" s="415"/>
      <c r="M19" s="313"/>
      <c r="N19" s="415"/>
      <c r="O19" s="27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</row>
    <row r="20" spans="1:29" ht="15.75" customHeight="1" x14ac:dyDescent="0.25">
      <c r="A20" s="181"/>
      <c r="B20" s="796"/>
      <c r="C20" s="748"/>
      <c r="D20" s="467"/>
      <c r="E20" s="313"/>
      <c r="F20" s="415"/>
      <c r="G20" s="313"/>
      <c r="H20" s="415"/>
      <c r="I20" s="271"/>
      <c r="J20" s="467"/>
      <c r="K20" s="313"/>
      <c r="L20" s="415"/>
      <c r="M20" s="313"/>
      <c r="N20" s="415"/>
      <c r="O20" s="27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</row>
    <row r="21" spans="1:29" ht="15.75" customHeight="1" x14ac:dyDescent="0.25">
      <c r="A21" s="181"/>
      <c r="B21" s="796" t="s">
        <v>21</v>
      </c>
      <c r="C21" s="748" t="s">
        <v>21</v>
      </c>
      <c r="D21" s="496">
        <v>0</v>
      </c>
      <c r="E21" s="529"/>
      <c r="F21" s="529">
        <v>0</v>
      </c>
      <c r="G21" s="529"/>
      <c r="H21" s="529">
        <v>0</v>
      </c>
      <c r="I21" s="530"/>
      <c r="J21" s="496">
        <v>0</v>
      </c>
      <c r="K21" s="313"/>
      <c r="L21" s="415">
        <v>0</v>
      </c>
      <c r="M21" s="313"/>
      <c r="N21" s="415">
        <v>0</v>
      </c>
      <c r="O21" s="27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</row>
    <row r="22" spans="1:29" ht="15.75" customHeight="1" x14ac:dyDescent="0.25">
      <c r="A22" s="181"/>
      <c r="B22" s="796" t="s">
        <v>22</v>
      </c>
      <c r="C22" s="748" t="s">
        <v>22</v>
      </c>
      <c r="D22" s="496">
        <v>0</v>
      </c>
      <c r="E22" s="529"/>
      <c r="F22" s="529">
        <v>0</v>
      </c>
      <c r="G22" s="529"/>
      <c r="H22" s="529">
        <v>0</v>
      </c>
      <c r="I22" s="530"/>
      <c r="J22" s="496">
        <v>0</v>
      </c>
      <c r="K22" s="313"/>
      <c r="L22" s="415">
        <v>0</v>
      </c>
      <c r="M22" s="313"/>
      <c r="N22" s="415">
        <v>0</v>
      </c>
      <c r="O22" s="27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</row>
    <row r="23" spans="1:29" ht="15.75" customHeight="1" x14ac:dyDescent="0.25">
      <c r="A23" s="181"/>
      <c r="B23" s="796" t="s">
        <v>23</v>
      </c>
      <c r="C23" s="748" t="s">
        <v>180</v>
      </c>
      <c r="D23" s="467">
        <f>SUM(D17:D19)</f>
        <v>174122.08000000002</v>
      </c>
      <c r="E23" s="467">
        <f t="shared" ref="E23:I23" si="2">SUM(E25:E27)</f>
        <v>0</v>
      </c>
      <c r="F23" s="467" t="str">
        <f t="shared" ca="1" si="2"/>
        <v>#REF!</v>
      </c>
      <c r="G23" s="467">
        <f t="shared" si="2"/>
        <v>0</v>
      </c>
      <c r="H23" s="467" t="str">
        <f t="shared" ca="1" si="2"/>
        <v>#REF!</v>
      </c>
      <c r="I23" s="467">
        <f t="shared" si="2"/>
        <v>0</v>
      </c>
      <c r="J23" s="467">
        <f>SUM(J17:J19)</f>
        <v>132839</v>
      </c>
      <c r="K23" s="313"/>
      <c r="L23" s="420">
        <f>SUM(L17:L19)</f>
        <v>0</v>
      </c>
      <c r="M23" s="313"/>
      <c r="N23" s="420">
        <f>SUM(N17:N19)</f>
        <v>65950</v>
      </c>
      <c r="O23" s="27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</row>
    <row r="24" spans="1:29" ht="15.75" customHeight="1" x14ac:dyDescent="0.25">
      <c r="A24" s="181"/>
      <c r="B24" s="796"/>
      <c r="C24" s="748"/>
      <c r="D24" s="467"/>
      <c r="E24" s="313"/>
      <c r="F24" s="313"/>
      <c r="G24" s="313"/>
      <c r="H24" s="313"/>
      <c r="I24" s="271"/>
      <c r="J24" s="467"/>
      <c r="K24" s="313"/>
      <c r="L24" s="313"/>
      <c r="M24" s="313"/>
      <c r="N24" s="313"/>
      <c r="O24" s="27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</row>
    <row r="25" spans="1:29" ht="15.75" customHeight="1" x14ac:dyDescent="0.25">
      <c r="A25" s="181"/>
      <c r="B25" s="796"/>
      <c r="C25" s="748" t="s">
        <v>181</v>
      </c>
      <c r="D25" s="467"/>
      <c r="E25" s="313"/>
      <c r="F25" s="313"/>
      <c r="G25" s="313"/>
      <c r="H25" s="313"/>
      <c r="I25" s="271"/>
      <c r="J25" s="467"/>
      <c r="K25" s="313"/>
      <c r="L25" s="313"/>
      <c r="M25" s="313"/>
      <c r="N25" s="313"/>
      <c r="O25" s="27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</row>
    <row r="26" spans="1:29" ht="15.75" customHeight="1" x14ac:dyDescent="0.25">
      <c r="A26" s="181"/>
      <c r="B26" s="796"/>
      <c r="C26" s="748" t="s">
        <v>182</v>
      </c>
      <c r="D26" s="467">
        <f>D21+D22+D23+D25</f>
        <v>174122.08000000002</v>
      </c>
      <c r="E26" s="313"/>
      <c r="F26" s="415" t="str">
        <f ca="1">F21+F22+F23+F25</f>
        <v>#REF!</v>
      </c>
      <c r="G26" s="313"/>
      <c r="H26" s="415" t="str">
        <f ca="1">H21+H22+H23+H25</f>
        <v>#REF!</v>
      </c>
      <c r="I26" s="271"/>
      <c r="J26" s="467">
        <f>J21+J22+J23+J25</f>
        <v>132839</v>
      </c>
      <c r="K26" s="313"/>
      <c r="L26" s="415">
        <f>L21+L22+L23+L25</f>
        <v>0</v>
      </c>
      <c r="M26" s="313"/>
      <c r="N26" s="415">
        <f>N21+N22+N23+N25</f>
        <v>65950</v>
      </c>
      <c r="O26" s="27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</row>
    <row r="27" spans="1:29" ht="15.75" customHeight="1" x14ac:dyDescent="0.25">
      <c r="A27" s="181"/>
      <c r="B27" s="796"/>
      <c r="C27" s="748"/>
      <c r="D27" s="467"/>
      <c r="E27" s="332"/>
      <c r="F27" s="415"/>
      <c r="G27" s="415"/>
      <c r="H27" s="415"/>
      <c r="I27" s="486"/>
      <c r="J27" s="467"/>
      <c r="K27" s="332"/>
      <c r="L27" s="415"/>
      <c r="M27" s="415"/>
      <c r="N27" s="415"/>
      <c r="O27" s="486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</row>
    <row r="28" spans="1:29" ht="15.75" customHeight="1" x14ac:dyDescent="0.25">
      <c r="A28" s="181"/>
      <c r="B28" s="985" t="s">
        <v>186</v>
      </c>
      <c r="C28" s="986"/>
      <c r="D28" s="467"/>
      <c r="E28" s="313"/>
      <c r="F28" s="313"/>
      <c r="G28" s="313"/>
      <c r="H28" s="313"/>
      <c r="I28" s="271"/>
      <c r="J28" s="467"/>
      <c r="K28" s="313"/>
      <c r="L28" s="313"/>
      <c r="M28" s="313"/>
      <c r="N28" s="313"/>
      <c r="O28" s="27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</row>
    <row r="29" spans="1:29" ht="15.75" customHeight="1" x14ac:dyDescent="0.25">
      <c r="A29" s="181"/>
      <c r="B29" s="796" t="s">
        <v>28</v>
      </c>
      <c r="C29" s="748"/>
      <c r="D29" s="467"/>
      <c r="E29" s="313"/>
      <c r="F29" s="313"/>
      <c r="G29" s="313"/>
      <c r="H29" s="313"/>
      <c r="I29" s="271"/>
      <c r="J29" s="467"/>
      <c r="K29" s="313"/>
      <c r="L29" s="313"/>
      <c r="M29" s="313"/>
      <c r="N29" s="313"/>
      <c r="O29" s="27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</row>
    <row r="30" spans="1:29" ht="15.75" customHeight="1" x14ac:dyDescent="0.25">
      <c r="A30" s="181"/>
      <c r="B30" s="796"/>
      <c r="C30" s="428" t="s">
        <v>187</v>
      </c>
      <c r="D30" s="467"/>
      <c r="E30" s="313"/>
      <c r="F30" s="313"/>
      <c r="G30" s="313"/>
      <c r="H30" s="313"/>
      <c r="I30" s="271"/>
      <c r="J30" s="467"/>
      <c r="K30" s="313"/>
      <c r="L30" s="313"/>
      <c r="M30" s="313"/>
      <c r="N30" s="313"/>
      <c r="O30" s="27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</row>
    <row r="31" spans="1:29" ht="15.75" customHeight="1" x14ac:dyDescent="0.25">
      <c r="A31" s="181"/>
      <c r="B31" s="796"/>
      <c r="C31" s="748" t="s">
        <v>188</v>
      </c>
      <c r="D31" s="265">
        <f>'MSBC CK Allocation'!C38</f>
        <v>167919.78758071171</v>
      </c>
      <c r="E31" s="332"/>
      <c r="F31" s="313"/>
      <c r="G31" s="313"/>
      <c r="H31" s="415"/>
      <c r="I31" s="271"/>
      <c r="J31" s="265">
        <f>'MSBC CK Allocation'!D38</f>
        <v>146927.33663036837</v>
      </c>
      <c r="K31" s="332"/>
      <c r="L31" s="313"/>
      <c r="M31" s="313"/>
      <c r="N31" s="415"/>
      <c r="O31" s="27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</row>
    <row r="32" spans="1:29" ht="15.75" customHeight="1" x14ac:dyDescent="0.25">
      <c r="A32" s="181"/>
      <c r="B32" s="796"/>
      <c r="C32" s="748" t="s">
        <v>189</v>
      </c>
      <c r="D32" s="265">
        <v>101593.54757728706</v>
      </c>
      <c r="E32" s="313"/>
      <c r="F32" s="313"/>
      <c r="G32" s="313"/>
      <c r="H32" s="415"/>
      <c r="I32" s="271"/>
      <c r="J32" s="265">
        <v>71757</v>
      </c>
      <c r="K32" s="313"/>
      <c r="L32" s="313"/>
      <c r="M32" s="313"/>
      <c r="N32" s="415"/>
      <c r="O32" s="27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</row>
    <row r="33" spans="1:29" ht="15.75" customHeight="1" x14ac:dyDescent="0.25">
      <c r="A33" s="181"/>
      <c r="B33" s="796"/>
      <c r="C33" s="339" t="s">
        <v>357</v>
      </c>
      <c r="D33" s="265"/>
      <c r="E33" s="313"/>
      <c r="F33" s="313"/>
      <c r="G33" s="313"/>
      <c r="H33" s="415"/>
      <c r="I33" s="271"/>
      <c r="J33" s="265"/>
      <c r="K33" s="313"/>
      <c r="L33" s="313"/>
      <c r="M33" s="313"/>
      <c r="N33" s="415"/>
      <c r="O33" s="27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</row>
    <row r="34" spans="1:29" ht="15.75" customHeight="1" x14ac:dyDescent="0.25">
      <c r="A34" s="181"/>
      <c r="B34" s="796"/>
      <c r="C34" s="748" t="s">
        <v>22</v>
      </c>
      <c r="D34" s="265"/>
      <c r="E34" s="313"/>
      <c r="F34" s="313"/>
      <c r="G34" s="313"/>
      <c r="H34" s="415"/>
      <c r="I34" s="271"/>
      <c r="J34" s="265"/>
      <c r="K34" s="313"/>
      <c r="L34" s="313"/>
      <c r="M34" s="313"/>
      <c r="N34" s="415"/>
      <c r="O34" s="27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</row>
    <row r="35" spans="1:29" ht="15.75" customHeight="1" x14ac:dyDescent="0.25">
      <c r="A35" s="181"/>
      <c r="B35" s="796"/>
      <c r="C35" s="748" t="s">
        <v>190</v>
      </c>
      <c r="D35" s="265">
        <f>'Calculation Sheet for GST on Pu'!C30</f>
        <v>4270.7435957458383</v>
      </c>
      <c r="E35" s="313"/>
      <c r="F35" s="313"/>
      <c r="G35" s="313"/>
      <c r="H35" s="415"/>
      <c r="I35" s="271"/>
      <c r="J35" s="265">
        <f>'Calculation Sheet for GST on Pu'!D30</f>
        <v>2951.3195725903834</v>
      </c>
      <c r="K35" s="313"/>
      <c r="L35" s="313"/>
      <c r="M35" s="313"/>
      <c r="N35" s="415"/>
      <c r="O35" s="27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</row>
    <row r="36" spans="1:29" ht="15.75" customHeight="1" x14ac:dyDescent="0.25">
      <c r="A36" s="181"/>
      <c r="B36" s="796"/>
      <c r="C36" s="748" t="s">
        <v>191</v>
      </c>
      <c r="D36" s="265">
        <f>SUM(D31:D35)</f>
        <v>273784.0787537446</v>
      </c>
      <c r="E36" s="332">
        <f>D36/D$26</f>
        <v>1.5723685287572062</v>
      </c>
      <c r="F36" s="313">
        <f>SUM(F31:F35)</f>
        <v>0</v>
      </c>
      <c r="G36" s="313"/>
      <c r="H36" s="415">
        <f>SUM(H31:H35)</f>
        <v>0</v>
      </c>
      <c r="I36" s="271"/>
      <c r="J36" s="265">
        <f>SUM(J31:J35)</f>
        <v>221635.65620295875</v>
      </c>
      <c r="K36" s="332">
        <f>J36/J$26</f>
        <v>1.6684532118049575</v>
      </c>
      <c r="L36" s="313">
        <f>SUM(L31:L35)</f>
        <v>0</v>
      </c>
      <c r="M36" s="313"/>
      <c r="N36" s="415">
        <f>SUM(N31:N35)</f>
        <v>0</v>
      </c>
      <c r="O36" s="27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</row>
    <row r="37" spans="1:29" ht="15.75" customHeight="1" x14ac:dyDescent="0.25">
      <c r="A37" s="181"/>
      <c r="B37" s="804"/>
      <c r="C37" s="805" t="s">
        <v>192</v>
      </c>
      <c r="D37" s="276">
        <v>2354</v>
      </c>
      <c r="E37" s="316"/>
      <c r="F37" s="316"/>
      <c r="G37" s="316"/>
      <c r="H37" s="316"/>
      <c r="I37" s="318"/>
      <c r="J37" s="276">
        <v>3293</v>
      </c>
      <c r="K37" s="313"/>
      <c r="L37" s="313"/>
      <c r="M37" s="313"/>
      <c r="N37" s="313"/>
      <c r="O37" s="27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</row>
    <row r="38" spans="1:29" ht="15.75" customHeight="1" x14ac:dyDescent="0.25">
      <c r="A38" s="181"/>
      <c r="B38" s="806"/>
      <c r="C38" s="806" t="s">
        <v>193</v>
      </c>
      <c r="D38" s="536">
        <f>D36+D37</f>
        <v>276138.0787537446</v>
      </c>
      <c r="E38" s="537">
        <f>D38/D$26</f>
        <v>1.5858877791589934</v>
      </c>
      <c r="F38" s="504">
        <f>F36+F37</f>
        <v>0</v>
      </c>
      <c r="G38" s="504"/>
      <c r="H38" s="502">
        <f>H36+H37</f>
        <v>0</v>
      </c>
      <c r="I38" s="504"/>
      <c r="J38" s="536">
        <f>J36+J37</f>
        <v>224928.65620295875</v>
      </c>
      <c r="K38" s="335">
        <f>J38/J$26</f>
        <v>1.6932426185303922</v>
      </c>
      <c r="L38" s="313">
        <f>L36+L37</f>
        <v>0</v>
      </c>
      <c r="M38" s="313"/>
      <c r="N38" s="415">
        <f>N36+N37</f>
        <v>0</v>
      </c>
      <c r="O38" s="27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</row>
    <row r="39" spans="1:29" ht="15.75" customHeight="1" x14ac:dyDescent="0.25">
      <c r="A39" s="181"/>
      <c r="B39" s="806"/>
      <c r="C39" s="807" t="s">
        <v>32</v>
      </c>
      <c r="D39" s="536">
        <f>D26-D38</f>
        <v>-102015.99875374458</v>
      </c>
      <c r="E39" s="504"/>
      <c r="F39" s="504"/>
      <c r="G39" s="504"/>
      <c r="H39" s="504"/>
      <c r="I39" s="504"/>
      <c r="J39" s="536">
        <f>J26-J38</f>
        <v>-92089.656202958751</v>
      </c>
      <c r="K39" s="417"/>
      <c r="L39" s="313"/>
      <c r="M39" s="313"/>
      <c r="N39" s="313"/>
      <c r="O39" s="27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</row>
    <row r="40" spans="1:29" ht="15.75" customHeight="1" x14ac:dyDescent="0.25">
      <c r="A40" s="181"/>
      <c r="B40" s="791" t="s">
        <v>23</v>
      </c>
      <c r="C40" s="792" t="s">
        <v>202</v>
      </c>
      <c r="D40" s="261">
        <v>0</v>
      </c>
      <c r="E40" s="372"/>
      <c r="F40" s="372"/>
      <c r="G40" s="372"/>
      <c r="H40" s="372"/>
      <c r="I40" s="373"/>
      <c r="J40" s="261">
        <v>0</v>
      </c>
      <c r="K40" s="313"/>
      <c r="L40" s="313"/>
      <c r="M40" s="313"/>
      <c r="N40" s="313"/>
      <c r="O40" s="27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</row>
    <row r="41" spans="1:29" ht="15.75" customHeight="1" x14ac:dyDescent="0.25">
      <c r="A41" s="181"/>
      <c r="B41" s="796" t="s">
        <v>23</v>
      </c>
      <c r="C41" s="748" t="s">
        <v>201</v>
      </c>
      <c r="D41" s="265">
        <v>0</v>
      </c>
      <c r="E41" s="313"/>
      <c r="F41" s="313"/>
      <c r="G41" s="313"/>
      <c r="H41" s="313"/>
      <c r="I41" s="271"/>
      <c r="J41" s="265">
        <v>0</v>
      </c>
      <c r="K41" s="313"/>
      <c r="L41" s="313"/>
      <c r="M41" s="313"/>
      <c r="N41" s="313"/>
      <c r="O41" s="27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</row>
    <row r="42" spans="1:29" ht="15.75" hidden="1" customHeight="1" x14ac:dyDescent="0.25">
      <c r="A42" s="181"/>
      <c r="B42" s="796" t="s">
        <v>21</v>
      </c>
      <c r="C42" s="748" t="s">
        <v>202</v>
      </c>
      <c r="D42" s="265">
        <v>0</v>
      </c>
      <c r="E42" s="313"/>
      <c r="F42" s="313"/>
      <c r="G42" s="313"/>
      <c r="H42" s="313"/>
      <c r="I42" s="271"/>
      <c r="J42" s="265">
        <v>0</v>
      </c>
      <c r="K42" s="313"/>
      <c r="L42" s="313"/>
      <c r="M42" s="313"/>
      <c r="N42" s="313"/>
      <c r="O42" s="27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</row>
    <row r="43" spans="1:29" ht="15.75" hidden="1" customHeight="1" x14ac:dyDescent="0.25">
      <c r="A43" s="181"/>
      <c r="B43" s="796" t="s">
        <v>21</v>
      </c>
      <c r="C43" s="748" t="s">
        <v>201</v>
      </c>
      <c r="D43" s="265">
        <v>0</v>
      </c>
      <c r="E43" s="313"/>
      <c r="F43" s="313"/>
      <c r="G43" s="313"/>
      <c r="H43" s="313"/>
      <c r="I43" s="271"/>
      <c r="J43" s="265">
        <v>0</v>
      </c>
      <c r="K43" s="313"/>
      <c r="L43" s="313"/>
      <c r="M43" s="313"/>
      <c r="N43" s="313"/>
      <c r="O43" s="27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</row>
    <row r="44" spans="1:29" ht="15.75" hidden="1" customHeight="1" x14ac:dyDescent="0.25">
      <c r="A44" s="181"/>
      <c r="B44" s="796" t="s">
        <v>22</v>
      </c>
      <c r="C44" s="748" t="s">
        <v>202</v>
      </c>
      <c r="D44" s="265">
        <v>0</v>
      </c>
      <c r="E44" s="313"/>
      <c r="F44" s="313"/>
      <c r="G44" s="313"/>
      <c r="H44" s="313"/>
      <c r="I44" s="271"/>
      <c r="J44" s="265">
        <v>0</v>
      </c>
      <c r="K44" s="313"/>
      <c r="L44" s="313"/>
      <c r="M44" s="313"/>
      <c r="N44" s="313"/>
      <c r="O44" s="27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</row>
    <row r="45" spans="1:29" ht="15.75" hidden="1" customHeight="1" x14ac:dyDescent="0.25">
      <c r="A45" s="181"/>
      <c r="B45" s="796" t="s">
        <v>22</v>
      </c>
      <c r="C45" s="748" t="s">
        <v>201</v>
      </c>
      <c r="D45" s="265">
        <v>0</v>
      </c>
      <c r="E45" s="313"/>
      <c r="F45" s="313"/>
      <c r="G45" s="313"/>
      <c r="H45" s="313"/>
      <c r="I45" s="271"/>
      <c r="J45" s="265">
        <v>0</v>
      </c>
      <c r="K45" s="313"/>
      <c r="L45" s="313"/>
      <c r="M45" s="313"/>
      <c r="N45" s="313"/>
      <c r="O45" s="27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</row>
    <row r="46" spans="1:29" ht="15.75" hidden="1" customHeight="1" x14ac:dyDescent="0.25">
      <c r="A46" s="181"/>
      <c r="B46" s="796"/>
      <c r="C46" s="748"/>
      <c r="D46" s="265"/>
      <c r="E46" s="313"/>
      <c r="F46" s="313"/>
      <c r="G46" s="313"/>
      <c r="H46" s="313"/>
      <c r="I46" s="271"/>
      <c r="J46" s="265"/>
      <c r="K46" s="313"/>
      <c r="L46" s="313"/>
      <c r="M46" s="313"/>
      <c r="N46" s="313"/>
      <c r="O46" s="27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</row>
    <row r="47" spans="1:29" ht="15.75" hidden="1" customHeight="1" x14ac:dyDescent="0.25">
      <c r="A47" s="181"/>
      <c r="B47" s="796"/>
      <c r="C47" s="748"/>
      <c r="D47" s="265"/>
      <c r="E47" s="313"/>
      <c r="F47" s="313"/>
      <c r="G47" s="313"/>
      <c r="H47" s="313"/>
      <c r="I47" s="271"/>
      <c r="J47" s="265"/>
      <c r="K47" s="313"/>
      <c r="L47" s="313"/>
      <c r="M47" s="313"/>
      <c r="N47" s="313"/>
      <c r="O47" s="27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</row>
    <row r="48" spans="1:29" ht="15.75" hidden="1" customHeight="1" x14ac:dyDescent="0.25">
      <c r="A48" s="181"/>
      <c r="B48" s="796"/>
      <c r="C48" s="748"/>
      <c r="D48" s="265"/>
      <c r="E48" s="313"/>
      <c r="F48" s="313"/>
      <c r="G48" s="313"/>
      <c r="H48" s="313"/>
      <c r="I48" s="271"/>
      <c r="J48" s="265"/>
      <c r="K48" s="313"/>
      <c r="L48" s="313"/>
      <c r="M48" s="313"/>
      <c r="N48" s="313"/>
      <c r="O48" s="27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</row>
    <row r="49" spans="1:29" ht="15.75" customHeight="1" x14ac:dyDescent="0.25">
      <c r="A49" s="181"/>
      <c r="B49" s="796"/>
      <c r="C49" s="748" t="s">
        <v>358</v>
      </c>
      <c r="D49" s="265">
        <f>SUM(D40:D46)</f>
        <v>0</v>
      </c>
      <c r="E49" s="332" t="e">
        <f>D49/D14</f>
        <v>#DIV/0!</v>
      </c>
      <c r="F49" s="415">
        <f>SUM(F40:F46)</f>
        <v>0</v>
      </c>
      <c r="G49" s="332" t="e">
        <f>F49/F14</f>
        <v>#DIV/0!</v>
      </c>
      <c r="H49" s="415">
        <f>SUM(H40:H46)</f>
        <v>0</v>
      </c>
      <c r="I49" s="336"/>
      <c r="J49" s="265">
        <f>SUM(J40:J46)</f>
        <v>0</v>
      </c>
      <c r="K49" s="332" t="e">
        <f>J49/J14</f>
        <v>#DIV/0!</v>
      </c>
      <c r="L49" s="415">
        <f>SUM(L40:L46)</f>
        <v>0</v>
      </c>
      <c r="M49" s="332" t="e">
        <f>L49/L14</f>
        <v>#DIV/0!</v>
      </c>
      <c r="N49" s="415">
        <f>SUM(N40:N46)</f>
        <v>0</v>
      </c>
      <c r="O49" s="336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</row>
    <row r="50" spans="1:29" ht="15.75" customHeight="1" x14ac:dyDescent="0.25">
      <c r="A50" s="181"/>
      <c r="B50" s="796"/>
      <c r="C50" s="748"/>
      <c r="D50" s="265"/>
      <c r="E50" s="313"/>
      <c r="F50" s="313"/>
      <c r="G50" s="313"/>
      <c r="H50" s="313"/>
      <c r="I50" s="271"/>
      <c r="J50" s="265"/>
      <c r="K50" s="313"/>
      <c r="L50" s="313"/>
      <c r="M50" s="313"/>
      <c r="N50" s="313"/>
      <c r="O50" s="27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</row>
    <row r="51" spans="1:29" ht="15.75" customHeight="1" x14ac:dyDescent="0.25">
      <c r="A51" s="181"/>
      <c r="B51" s="796"/>
      <c r="C51" s="748"/>
      <c r="D51" s="265"/>
      <c r="E51" s="313"/>
      <c r="F51" s="313"/>
      <c r="G51" s="313"/>
      <c r="H51" s="313"/>
      <c r="I51" s="271"/>
      <c r="J51" s="265"/>
      <c r="K51" s="313"/>
      <c r="L51" s="313"/>
      <c r="M51" s="313"/>
      <c r="N51" s="313"/>
      <c r="O51" s="27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</row>
    <row r="52" spans="1:29" ht="15.75" customHeight="1" x14ac:dyDescent="0.25">
      <c r="A52" s="181"/>
      <c r="B52" s="796"/>
      <c r="C52" s="748"/>
      <c r="D52" s="265"/>
      <c r="E52" s="313"/>
      <c r="F52" s="313"/>
      <c r="G52" s="313"/>
      <c r="H52" s="313"/>
      <c r="I52" s="271"/>
      <c r="J52" s="265"/>
      <c r="K52" s="313"/>
      <c r="L52" s="313"/>
      <c r="M52" s="313"/>
      <c r="N52" s="313"/>
      <c r="O52" s="27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</row>
    <row r="53" spans="1:29" ht="15.75" customHeight="1" x14ac:dyDescent="0.25">
      <c r="A53" s="181"/>
      <c r="B53" s="988" t="s">
        <v>32</v>
      </c>
      <c r="C53" s="986"/>
      <c r="D53" s="808">
        <f>D26-D38-D49</f>
        <v>-102015.99875374458</v>
      </c>
      <c r="E53" s="809">
        <f>D38/D$26</f>
        <v>1.5858877791589934</v>
      </c>
      <c r="F53" s="810" t="str">
        <f ca="1">F26-F38-F49</f>
        <v>#REF!</v>
      </c>
      <c r="G53" s="809" t="str">
        <f ca="1">F38/F$26</f>
        <v>#REF!</v>
      </c>
      <c r="H53" s="810" t="str">
        <f ca="1">H26-H38-H49</f>
        <v>#REF!</v>
      </c>
      <c r="I53" s="811" t="str">
        <f ca="1">H38/H$26</f>
        <v>#REF!</v>
      </c>
      <c r="J53" s="808">
        <f>J26-J38-J49</f>
        <v>-92089.656202958751</v>
      </c>
      <c r="K53" s="809">
        <f>J38/J$26</f>
        <v>1.6932426185303922</v>
      </c>
      <c r="L53" s="810">
        <f>L26-L38-L49</f>
        <v>0</v>
      </c>
      <c r="M53" s="809" t="e">
        <f>L38/L$26</f>
        <v>#DIV/0!</v>
      </c>
      <c r="N53" s="810">
        <f>N26-N38-N49</f>
        <v>65950</v>
      </c>
      <c r="O53" s="811">
        <f>N38/N$26</f>
        <v>0</v>
      </c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</row>
    <row r="54" spans="1:29" ht="15.75" customHeight="1" x14ac:dyDescent="0.25">
      <c r="A54" s="181"/>
      <c r="B54" s="804"/>
      <c r="C54" s="805"/>
      <c r="D54" s="276"/>
      <c r="E54" s="316"/>
      <c r="F54" s="316"/>
      <c r="G54" s="316"/>
      <c r="H54" s="316"/>
      <c r="I54" s="318"/>
      <c r="J54" s="276"/>
      <c r="K54" s="316"/>
      <c r="L54" s="316"/>
      <c r="M54" s="316"/>
      <c r="N54" s="316"/>
      <c r="O54" s="318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</row>
    <row r="55" spans="1:29" ht="15.75" customHeight="1" x14ac:dyDescent="0.25">
      <c r="A55" s="181"/>
      <c r="B55" s="812"/>
      <c r="C55" s="813" t="s">
        <v>194</v>
      </c>
      <c r="D55" s="280"/>
      <c r="E55" s="476"/>
      <c r="F55" s="476"/>
      <c r="G55" s="476"/>
      <c r="H55" s="475">
        <f t="shared" ref="H55:H61" si="3">D55-F55</f>
        <v>0</v>
      </c>
      <c r="I55" s="743"/>
      <c r="J55" s="280"/>
      <c r="K55" s="476"/>
      <c r="L55" s="476"/>
      <c r="M55" s="476"/>
      <c r="N55" s="475">
        <f t="shared" ref="N55:N61" si="4">J55-L55</f>
        <v>0</v>
      </c>
      <c r="O55" s="743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</row>
    <row r="56" spans="1:29" ht="15.75" hidden="1" customHeight="1" x14ac:dyDescent="0.25">
      <c r="A56" s="181"/>
      <c r="B56" s="791"/>
      <c r="C56" s="792" t="s">
        <v>195</v>
      </c>
      <c r="D56" s="261"/>
      <c r="E56" s="372"/>
      <c r="F56" s="412"/>
      <c r="G56" s="372"/>
      <c r="H56" s="412">
        <f t="shared" si="3"/>
        <v>0</v>
      </c>
      <c r="I56" s="373"/>
      <c r="J56" s="261"/>
      <c r="K56" s="372"/>
      <c r="L56" s="412"/>
      <c r="M56" s="372"/>
      <c r="N56" s="412">
        <f t="shared" si="4"/>
        <v>0</v>
      </c>
      <c r="O56" s="373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</row>
    <row r="57" spans="1:29" ht="15.75" hidden="1" customHeight="1" x14ac:dyDescent="0.25">
      <c r="A57" s="181"/>
      <c r="B57" s="796"/>
      <c r="C57" s="748" t="s">
        <v>196</v>
      </c>
      <c r="D57" s="265"/>
      <c r="E57" s="313"/>
      <c r="F57" s="313"/>
      <c r="G57" s="313"/>
      <c r="H57" s="415">
        <f t="shared" si="3"/>
        <v>0</v>
      </c>
      <c r="I57" s="271"/>
      <c r="J57" s="265"/>
      <c r="K57" s="313"/>
      <c r="L57" s="313"/>
      <c r="M57" s="313"/>
      <c r="N57" s="415">
        <f t="shared" si="4"/>
        <v>0</v>
      </c>
      <c r="O57" s="27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</row>
    <row r="58" spans="1:29" ht="15.75" hidden="1" customHeight="1" x14ac:dyDescent="0.25">
      <c r="A58" s="181"/>
      <c r="B58" s="796"/>
      <c r="C58" s="748" t="s">
        <v>266</v>
      </c>
      <c r="D58" s="265"/>
      <c r="E58" s="313"/>
      <c r="F58" s="313"/>
      <c r="G58" s="313"/>
      <c r="H58" s="415">
        <f t="shared" si="3"/>
        <v>0</v>
      </c>
      <c r="I58" s="271"/>
      <c r="J58" s="265"/>
      <c r="K58" s="313"/>
      <c r="L58" s="313"/>
      <c r="M58" s="313"/>
      <c r="N58" s="415">
        <f t="shared" si="4"/>
        <v>0</v>
      </c>
      <c r="O58" s="27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</row>
    <row r="59" spans="1:29" ht="15.75" hidden="1" customHeight="1" x14ac:dyDescent="0.25">
      <c r="A59" s="181"/>
      <c r="B59" s="796"/>
      <c r="C59" s="748" t="s">
        <v>197</v>
      </c>
      <c r="D59" s="265"/>
      <c r="E59" s="313"/>
      <c r="F59" s="313"/>
      <c r="G59" s="313"/>
      <c r="H59" s="415">
        <f t="shared" si="3"/>
        <v>0</v>
      </c>
      <c r="I59" s="271"/>
      <c r="J59" s="265"/>
      <c r="K59" s="313"/>
      <c r="L59" s="313"/>
      <c r="M59" s="313"/>
      <c r="N59" s="415">
        <f t="shared" si="4"/>
        <v>0</v>
      </c>
      <c r="O59" s="27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</row>
    <row r="60" spans="1:29" ht="15.75" hidden="1" customHeight="1" x14ac:dyDescent="0.25">
      <c r="A60" s="181"/>
      <c r="B60" s="796"/>
      <c r="C60" s="748" t="s">
        <v>198</v>
      </c>
      <c r="D60" s="265"/>
      <c r="E60" s="313"/>
      <c r="F60" s="313"/>
      <c r="G60" s="313"/>
      <c r="H60" s="415">
        <f t="shared" si="3"/>
        <v>0</v>
      </c>
      <c r="I60" s="271"/>
      <c r="J60" s="265"/>
      <c r="K60" s="313"/>
      <c r="L60" s="313"/>
      <c r="M60" s="313"/>
      <c r="N60" s="415">
        <f t="shared" si="4"/>
        <v>0</v>
      </c>
      <c r="O60" s="27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</row>
    <row r="61" spans="1:29" ht="15.75" hidden="1" customHeight="1" x14ac:dyDescent="0.25">
      <c r="A61" s="181"/>
      <c r="B61" s="796"/>
      <c r="C61" s="748" t="s">
        <v>199</v>
      </c>
      <c r="D61" s="265"/>
      <c r="E61" s="313"/>
      <c r="F61" s="313"/>
      <c r="G61" s="313"/>
      <c r="H61" s="415">
        <f t="shared" si="3"/>
        <v>0</v>
      </c>
      <c r="I61" s="271"/>
      <c r="J61" s="265"/>
      <c r="K61" s="313"/>
      <c r="L61" s="313"/>
      <c r="M61" s="313"/>
      <c r="N61" s="415">
        <f t="shared" si="4"/>
        <v>0</v>
      </c>
      <c r="O61" s="27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</row>
    <row r="62" spans="1:29" ht="15.75" customHeight="1" x14ac:dyDescent="0.25">
      <c r="A62" s="181"/>
      <c r="B62" s="796"/>
      <c r="C62" s="748" t="s">
        <v>200</v>
      </c>
      <c r="D62" s="265">
        <f>SUM(D56:D61)</f>
        <v>0</v>
      </c>
      <c r="E62" s="313"/>
      <c r="F62" s="415">
        <f>SUM(F56:F61)</f>
        <v>0</v>
      </c>
      <c r="G62" s="313"/>
      <c r="H62" s="415">
        <f>SUM(H56:H61)</f>
        <v>0</v>
      </c>
      <c r="I62" s="271"/>
      <c r="J62" s="265">
        <f>SUM(J56:J61)</f>
        <v>0</v>
      </c>
      <c r="K62" s="313"/>
      <c r="L62" s="415">
        <f>SUM(L56:L61)</f>
        <v>0</v>
      </c>
      <c r="M62" s="313"/>
      <c r="N62" s="415">
        <f>SUM(N56:N61)</f>
        <v>0</v>
      </c>
      <c r="O62" s="27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</row>
    <row r="63" spans="1:29" ht="15.75" hidden="1" customHeight="1" x14ac:dyDescent="0.25">
      <c r="A63" s="181"/>
      <c r="B63" s="796"/>
      <c r="C63" s="748"/>
      <c r="D63" s="265"/>
      <c r="E63" s="313"/>
      <c r="F63" s="313"/>
      <c r="G63" s="313"/>
      <c r="H63" s="313"/>
      <c r="I63" s="271"/>
      <c r="J63" s="265"/>
      <c r="K63" s="313"/>
      <c r="L63" s="313"/>
      <c r="M63" s="313"/>
      <c r="N63" s="313"/>
      <c r="O63" s="27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</row>
    <row r="64" spans="1:29" ht="15.75" hidden="1" customHeight="1" x14ac:dyDescent="0.25">
      <c r="A64" s="181"/>
      <c r="B64" s="796"/>
      <c r="C64" s="748"/>
      <c r="D64" s="265"/>
      <c r="E64" s="313"/>
      <c r="F64" s="313"/>
      <c r="G64" s="313"/>
      <c r="H64" s="313"/>
      <c r="I64" s="271"/>
      <c r="J64" s="265"/>
      <c r="K64" s="313"/>
      <c r="L64" s="313"/>
      <c r="M64" s="313"/>
      <c r="N64" s="313"/>
      <c r="O64" s="27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</row>
    <row r="65" spans="1:29" ht="15.75" hidden="1" customHeight="1" x14ac:dyDescent="0.25">
      <c r="A65" s="181"/>
      <c r="B65" s="796"/>
      <c r="C65" s="748"/>
      <c r="D65" s="265"/>
      <c r="E65" s="313"/>
      <c r="F65" s="313"/>
      <c r="G65" s="313"/>
      <c r="H65" s="313"/>
      <c r="I65" s="271"/>
      <c r="J65" s="265"/>
      <c r="K65" s="313"/>
      <c r="L65" s="313"/>
      <c r="M65" s="313"/>
      <c r="N65" s="313"/>
      <c r="O65" s="27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</row>
    <row r="66" spans="1:29" ht="15.75" hidden="1" customHeight="1" x14ac:dyDescent="0.25">
      <c r="A66" s="181"/>
      <c r="B66" s="796"/>
      <c r="C66" s="748"/>
      <c r="D66" s="265"/>
      <c r="E66" s="313"/>
      <c r="F66" s="313"/>
      <c r="G66" s="313"/>
      <c r="H66" s="313"/>
      <c r="I66" s="271"/>
      <c r="J66" s="265"/>
      <c r="K66" s="313"/>
      <c r="L66" s="313"/>
      <c r="M66" s="313"/>
      <c r="N66" s="313"/>
      <c r="O66" s="27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</row>
    <row r="67" spans="1:29" ht="15.75" hidden="1" customHeight="1" x14ac:dyDescent="0.25">
      <c r="A67" s="181"/>
      <c r="B67" s="796"/>
      <c r="C67" s="748"/>
      <c r="D67" s="265"/>
      <c r="E67" s="313"/>
      <c r="F67" s="313"/>
      <c r="G67" s="313"/>
      <c r="H67" s="313"/>
      <c r="I67" s="271"/>
      <c r="J67" s="265"/>
      <c r="K67" s="313"/>
      <c r="L67" s="313"/>
      <c r="M67" s="313"/>
      <c r="N67" s="313"/>
      <c r="O67" s="27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</row>
    <row r="68" spans="1:29" ht="15.75" hidden="1" customHeight="1" x14ac:dyDescent="0.25">
      <c r="A68" s="181"/>
      <c r="B68" s="796"/>
      <c r="C68" s="748"/>
      <c r="D68" s="265"/>
      <c r="E68" s="313"/>
      <c r="F68" s="313"/>
      <c r="G68" s="313"/>
      <c r="H68" s="313"/>
      <c r="I68" s="271"/>
      <c r="J68" s="265"/>
      <c r="K68" s="313"/>
      <c r="L68" s="313"/>
      <c r="M68" s="313"/>
      <c r="N68" s="313"/>
      <c r="O68" s="27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  <c r="AC68" s="181"/>
    </row>
    <row r="69" spans="1:29" ht="15.75" hidden="1" customHeight="1" x14ac:dyDescent="0.25">
      <c r="A69" s="181"/>
      <c r="B69" s="796"/>
      <c r="C69" s="748"/>
      <c r="D69" s="265"/>
      <c r="E69" s="313"/>
      <c r="F69" s="313"/>
      <c r="G69" s="313"/>
      <c r="H69" s="313"/>
      <c r="I69" s="271"/>
      <c r="J69" s="265"/>
      <c r="K69" s="313"/>
      <c r="L69" s="313"/>
      <c r="M69" s="313"/>
      <c r="N69" s="313"/>
      <c r="O69" s="27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  <c r="AC69" s="181"/>
    </row>
    <row r="70" spans="1:29" ht="15.75" customHeight="1" x14ac:dyDescent="0.25">
      <c r="A70" s="181"/>
      <c r="B70" s="796"/>
      <c r="C70" s="748"/>
      <c r="D70" s="265"/>
      <c r="E70" s="313"/>
      <c r="F70" s="313"/>
      <c r="G70" s="313"/>
      <c r="H70" s="313"/>
      <c r="I70" s="271"/>
      <c r="J70" s="265"/>
      <c r="K70" s="313"/>
      <c r="L70" s="313"/>
      <c r="M70" s="313"/>
      <c r="N70" s="313"/>
      <c r="O70" s="27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</row>
    <row r="71" spans="1:29" ht="15.75" customHeight="1" x14ac:dyDescent="0.25">
      <c r="A71" s="181"/>
      <c r="B71" s="796"/>
      <c r="C71" s="748"/>
      <c r="D71" s="265"/>
      <c r="E71" s="332"/>
      <c r="F71" s="313"/>
      <c r="G71" s="332"/>
      <c r="H71" s="313"/>
      <c r="I71" s="336"/>
      <c r="J71" s="265"/>
      <c r="K71" s="332"/>
      <c r="L71" s="313"/>
      <c r="M71" s="332"/>
      <c r="N71" s="313"/>
      <c r="O71" s="336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</row>
    <row r="72" spans="1:29" ht="15.75" customHeight="1" x14ac:dyDescent="0.25">
      <c r="A72" s="181"/>
      <c r="B72" s="796"/>
      <c r="C72" s="748"/>
      <c r="D72" s="265"/>
      <c r="E72" s="313"/>
      <c r="F72" s="313"/>
      <c r="G72" s="313"/>
      <c r="H72" s="313"/>
      <c r="I72" s="271"/>
      <c r="J72" s="265"/>
      <c r="K72" s="313"/>
      <c r="L72" s="313"/>
      <c r="M72" s="313"/>
      <c r="N72" s="313"/>
      <c r="O72" s="27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</row>
    <row r="73" spans="1:29" ht="15.75" customHeight="1" x14ac:dyDescent="0.25">
      <c r="A73" s="181"/>
      <c r="B73" s="989" t="s">
        <v>204</v>
      </c>
      <c r="C73" s="964"/>
      <c r="D73" s="276"/>
      <c r="E73" s="316"/>
      <c r="F73" s="316"/>
      <c r="G73" s="316"/>
      <c r="H73" s="316"/>
      <c r="I73" s="318"/>
      <c r="J73" s="276"/>
      <c r="K73" s="316"/>
      <c r="L73" s="316"/>
      <c r="M73" s="316"/>
      <c r="N73" s="316"/>
      <c r="O73" s="318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</row>
    <row r="74" spans="1:29" ht="15.75" customHeight="1" x14ac:dyDescent="0.25">
      <c r="A74" s="181"/>
      <c r="B74" s="812"/>
      <c r="C74" s="813" t="s">
        <v>205</v>
      </c>
      <c r="D74" s="280">
        <f>SUM(D75:D80)</f>
        <v>39752.03</v>
      </c>
      <c r="E74" s="565">
        <f t="shared" ref="E74:E77" si="5">D74/D$26</f>
        <v>0.22829976531408305</v>
      </c>
      <c r="F74" s="475">
        <f>SUM(F75:F80)</f>
        <v>0</v>
      </c>
      <c r="G74" s="565" t="str">
        <f t="shared" ref="G74:G77" ca="1" si="6">F74/F$26</f>
        <v>#REF!</v>
      </c>
      <c r="H74" s="475">
        <f>SUM(H75:H80)</f>
        <v>37003.03</v>
      </c>
      <c r="I74" s="814" t="str">
        <f t="shared" ref="I74:I77" ca="1" si="7">H74/H$26</f>
        <v>#REF!</v>
      </c>
      <c r="J74" s="280">
        <f>SUM(J75:J80)</f>
        <v>3715</v>
      </c>
      <c r="K74" s="565">
        <f t="shared" ref="K74:K77" si="8">J74/J$26</f>
        <v>2.7966184629513922E-2</v>
      </c>
      <c r="L74" s="475">
        <f>SUM(L75:L80)</f>
        <v>0</v>
      </c>
      <c r="M74" s="565" t="e">
        <f t="shared" ref="M74:M77" si="9">L74/L$26</f>
        <v>#DIV/0!</v>
      </c>
      <c r="N74" s="475">
        <f>SUM(N75:N80)</f>
        <v>1555</v>
      </c>
      <c r="O74" s="814">
        <f t="shared" ref="O74:O77" si="10">N74/N$26</f>
        <v>2.3578468536770279E-2</v>
      </c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</row>
    <row r="75" spans="1:29" ht="15.75" customHeight="1" x14ac:dyDescent="0.25">
      <c r="A75" s="181"/>
      <c r="B75" s="791"/>
      <c r="C75" s="792" t="s">
        <v>268</v>
      </c>
      <c r="D75" s="815">
        <v>2749</v>
      </c>
      <c r="E75" s="326">
        <f t="shared" si="5"/>
        <v>1.5787773727490503E-2</v>
      </c>
      <c r="F75" s="412"/>
      <c r="G75" s="326" t="str">
        <f t="shared" ca="1" si="6"/>
        <v>#REF!</v>
      </c>
      <c r="H75" s="412"/>
      <c r="I75" s="328" t="str">
        <f t="shared" ca="1" si="7"/>
        <v>#REF!</v>
      </c>
      <c r="J75" s="816">
        <v>2160</v>
      </c>
      <c r="K75" s="329">
        <f t="shared" si="8"/>
        <v>1.6260285006662201E-2</v>
      </c>
      <c r="L75" s="412"/>
      <c r="M75" s="326" t="e">
        <f t="shared" si="9"/>
        <v>#DIV/0!</v>
      </c>
      <c r="N75" s="412"/>
      <c r="O75" s="330">
        <f t="shared" si="10"/>
        <v>0</v>
      </c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</row>
    <row r="76" spans="1:29" ht="15.75" customHeight="1" x14ac:dyDescent="0.25">
      <c r="A76" s="181"/>
      <c r="B76" s="796"/>
      <c r="C76" s="817" t="s">
        <v>269</v>
      </c>
      <c r="D76" s="265">
        <v>0</v>
      </c>
      <c r="E76" s="332">
        <f t="shared" si="5"/>
        <v>0</v>
      </c>
      <c r="F76" s="415"/>
      <c r="G76" s="332" t="str">
        <f t="shared" ca="1" si="6"/>
        <v>#REF!</v>
      </c>
      <c r="H76" s="415"/>
      <c r="I76" s="336" t="str">
        <f t="shared" ca="1" si="7"/>
        <v>#REF!</v>
      </c>
      <c r="J76" s="261">
        <v>0</v>
      </c>
      <c r="K76" s="332">
        <f t="shared" si="8"/>
        <v>0</v>
      </c>
      <c r="L76" s="415"/>
      <c r="M76" s="332" t="e">
        <f t="shared" si="9"/>
        <v>#DIV/0!</v>
      </c>
      <c r="N76" s="415"/>
      <c r="O76" s="336">
        <f t="shared" si="10"/>
        <v>0</v>
      </c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</row>
    <row r="77" spans="1:29" ht="15.75" customHeight="1" x14ac:dyDescent="0.25">
      <c r="A77" s="181"/>
      <c r="B77" s="796"/>
      <c r="C77" s="748" t="s">
        <v>212</v>
      </c>
      <c r="D77" s="265">
        <v>0</v>
      </c>
      <c r="E77" s="332">
        <f t="shared" si="5"/>
        <v>0</v>
      </c>
      <c r="F77" s="415"/>
      <c r="G77" s="332" t="str">
        <f t="shared" ca="1" si="6"/>
        <v>#REF!</v>
      </c>
      <c r="H77" s="415"/>
      <c r="I77" s="336" t="str">
        <f t="shared" ca="1" si="7"/>
        <v>#REF!</v>
      </c>
      <c r="J77" s="265">
        <v>0</v>
      </c>
      <c r="K77" s="332">
        <f t="shared" si="8"/>
        <v>0</v>
      </c>
      <c r="L77" s="415"/>
      <c r="M77" s="332" t="e">
        <f t="shared" si="9"/>
        <v>#DIV/0!</v>
      </c>
      <c r="N77" s="415"/>
      <c r="O77" s="336">
        <f t="shared" si="10"/>
        <v>0</v>
      </c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</row>
    <row r="78" spans="1:29" ht="15.75" customHeight="1" x14ac:dyDescent="0.25">
      <c r="A78" s="181"/>
      <c r="B78" s="796"/>
      <c r="C78" s="748" t="s">
        <v>307</v>
      </c>
      <c r="D78" s="265">
        <v>0</v>
      </c>
      <c r="E78" s="332"/>
      <c r="F78" s="415"/>
      <c r="G78" s="332"/>
      <c r="H78" s="415"/>
      <c r="I78" s="336"/>
      <c r="J78" s="265">
        <v>0</v>
      </c>
      <c r="K78" s="332"/>
      <c r="L78" s="415"/>
      <c r="M78" s="332"/>
      <c r="N78" s="415"/>
      <c r="O78" s="336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</row>
    <row r="79" spans="1:29" ht="15.75" customHeight="1" x14ac:dyDescent="0.25">
      <c r="A79" s="181"/>
      <c r="B79" s="796"/>
      <c r="C79" s="817" t="s">
        <v>345</v>
      </c>
      <c r="D79" s="265">
        <v>0</v>
      </c>
      <c r="E79" s="332">
        <f t="shared" ref="E79:E80" si="11">D79/D$26</f>
        <v>0</v>
      </c>
      <c r="F79" s="415"/>
      <c r="G79" s="332" t="str">
        <f t="shared" ref="G79:G80" ca="1" si="12">F79/F$26</f>
        <v>#REF!</v>
      </c>
      <c r="H79" s="415"/>
      <c r="I79" s="336" t="str">
        <f t="shared" ref="I79:I80" ca="1" si="13">H79/H$26</f>
        <v>#REF!</v>
      </c>
      <c r="J79" s="265">
        <v>0</v>
      </c>
      <c r="K79" s="332">
        <f t="shared" ref="K79:K80" si="14">J79/J$26</f>
        <v>0</v>
      </c>
      <c r="L79" s="415"/>
      <c r="M79" s="332" t="e">
        <f t="shared" ref="M79:M80" si="15">L79/L$26</f>
        <v>#DIV/0!</v>
      </c>
      <c r="N79" s="415"/>
      <c r="O79" s="336">
        <f t="shared" ref="O79:O80" si="16">N79/N$26</f>
        <v>0</v>
      </c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</row>
    <row r="80" spans="1:29" ht="15.75" customHeight="1" x14ac:dyDescent="0.25">
      <c r="A80" s="181"/>
      <c r="B80" s="796"/>
      <c r="C80" s="748" t="s">
        <v>271</v>
      </c>
      <c r="D80" s="265">
        <f>(22735.06)+14267.97</f>
        <v>37003.03</v>
      </c>
      <c r="E80" s="332">
        <f t="shared" si="11"/>
        <v>0.21251199158659256</v>
      </c>
      <c r="F80" s="313">
        <v>0</v>
      </c>
      <c r="G80" s="332" t="str">
        <f t="shared" ca="1" si="12"/>
        <v>#REF!</v>
      </c>
      <c r="H80" s="415">
        <f>D80-F80</f>
        <v>37003.03</v>
      </c>
      <c r="I80" s="336" t="str">
        <f t="shared" ca="1" si="13"/>
        <v>#REF!</v>
      </c>
      <c r="J80" s="265">
        <v>1555</v>
      </c>
      <c r="K80" s="332">
        <f t="shared" si="14"/>
        <v>1.1705899622851722E-2</v>
      </c>
      <c r="L80" s="313">
        <v>0</v>
      </c>
      <c r="M80" s="332" t="e">
        <f t="shared" si="15"/>
        <v>#DIV/0!</v>
      </c>
      <c r="N80" s="415">
        <f>J80-L80</f>
        <v>1555</v>
      </c>
      <c r="O80" s="336">
        <f t="shared" si="16"/>
        <v>2.3578468536770279E-2</v>
      </c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</row>
    <row r="81" spans="1:29" ht="15.75" customHeight="1" x14ac:dyDescent="0.25">
      <c r="A81" s="181"/>
      <c r="B81" s="804"/>
      <c r="C81" s="818"/>
      <c r="D81" s="276"/>
      <c r="E81" s="316"/>
      <c r="F81" s="316"/>
      <c r="G81" s="316"/>
      <c r="H81" s="316"/>
      <c r="I81" s="318"/>
      <c r="J81" s="276"/>
      <c r="K81" s="316"/>
      <c r="L81" s="316"/>
      <c r="M81" s="316"/>
      <c r="N81" s="316"/>
      <c r="O81" s="318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</row>
    <row r="82" spans="1:29" ht="15.75" customHeight="1" x14ac:dyDescent="0.25">
      <c r="A82" s="181"/>
      <c r="B82" s="812"/>
      <c r="C82" s="813" t="s">
        <v>35</v>
      </c>
      <c r="D82" s="280">
        <f>SUM(D83:D87)</f>
        <v>65245.94</v>
      </c>
      <c r="E82" s="565">
        <f>D82/D$26</f>
        <v>0.37471376404416945</v>
      </c>
      <c r="F82" s="475">
        <f>SUM(F83:F87)</f>
        <v>0</v>
      </c>
      <c r="G82" s="565" t="str">
        <f ca="1">F82/F$26</f>
        <v>#REF!</v>
      </c>
      <c r="H82" s="475">
        <f>SUM(H83:H86)</f>
        <v>0</v>
      </c>
      <c r="I82" s="743"/>
      <c r="J82" s="280">
        <f>SUM(J83:J87)</f>
        <v>20427</v>
      </c>
      <c r="K82" s="565">
        <f>J82/J$26</f>
        <v>0.1537726119588374</v>
      </c>
      <c r="L82" s="475">
        <f>SUM(L83:L87)</f>
        <v>0</v>
      </c>
      <c r="M82" s="565" t="e">
        <f>L82/L$26</f>
        <v>#DIV/0!</v>
      </c>
      <c r="N82" s="475">
        <f>SUM(N83:N86)</f>
        <v>0</v>
      </c>
      <c r="O82" s="743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</row>
    <row r="83" spans="1:29" ht="15.75" customHeight="1" x14ac:dyDescent="0.25">
      <c r="A83" s="181"/>
      <c r="B83" s="791"/>
      <c r="C83" s="792" t="s">
        <v>215</v>
      </c>
      <c r="D83" s="261"/>
      <c r="E83" s="372"/>
      <c r="F83" s="412"/>
      <c r="G83" s="372"/>
      <c r="H83" s="412"/>
      <c r="I83" s="373"/>
      <c r="J83" s="261"/>
      <c r="K83" s="372"/>
      <c r="L83" s="412"/>
      <c r="M83" s="372"/>
      <c r="N83" s="412"/>
      <c r="O83" s="373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</row>
    <row r="84" spans="1:29" ht="15.75" customHeight="1" x14ac:dyDescent="0.25">
      <c r="A84" s="181"/>
      <c r="B84" s="796"/>
      <c r="C84" s="748" t="s">
        <v>216</v>
      </c>
      <c r="D84" s="265"/>
      <c r="E84" s="313"/>
      <c r="F84" s="415"/>
      <c r="G84" s="313"/>
      <c r="H84" s="415"/>
      <c r="I84" s="271"/>
      <c r="J84" s="276"/>
      <c r="K84" s="313"/>
      <c r="L84" s="415"/>
      <c r="M84" s="313"/>
      <c r="N84" s="415"/>
      <c r="O84" s="27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</row>
    <row r="85" spans="1:29" ht="15.75" customHeight="1" x14ac:dyDescent="0.25">
      <c r="A85" s="181"/>
      <c r="B85" s="796"/>
      <c r="C85" s="339" t="s">
        <v>272</v>
      </c>
      <c r="D85" s="819">
        <v>10262.85</v>
      </c>
      <c r="E85" s="335">
        <f t="shared" ref="E85:E86" si="17">D85/D17</f>
        <v>0.14932069222493849</v>
      </c>
      <c r="F85" s="415"/>
      <c r="G85" s="332"/>
      <c r="H85" s="415"/>
      <c r="I85" s="344"/>
      <c r="J85" s="589">
        <v>9948</v>
      </c>
      <c r="K85" s="335">
        <f t="shared" ref="K85:K86" si="18">J85/J17</f>
        <v>0.150841546626232</v>
      </c>
      <c r="L85" s="415"/>
      <c r="M85" s="332"/>
      <c r="N85" s="415"/>
      <c r="O85" s="27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</row>
    <row r="86" spans="1:29" ht="15.75" customHeight="1" x14ac:dyDescent="0.25">
      <c r="A86" s="181"/>
      <c r="B86" s="796"/>
      <c r="C86" s="339" t="s">
        <v>308</v>
      </c>
      <c r="D86" s="265">
        <v>19603.09</v>
      </c>
      <c r="E86" s="332">
        <f t="shared" si="17"/>
        <v>0.20311925417248428</v>
      </c>
      <c r="F86" s="415"/>
      <c r="G86" s="332"/>
      <c r="H86" s="415"/>
      <c r="I86" s="271"/>
      <c r="J86" s="261">
        <v>9889</v>
      </c>
      <c r="K86" s="332">
        <f t="shared" si="18"/>
        <v>0.14784194710640017</v>
      </c>
      <c r="L86" s="415"/>
      <c r="M86" s="332"/>
      <c r="N86" s="415"/>
      <c r="O86" s="27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</row>
    <row r="87" spans="1:29" ht="15.75" customHeight="1" x14ac:dyDescent="0.25">
      <c r="A87" s="181"/>
      <c r="B87" s="796"/>
      <c r="C87" s="339" t="s">
        <v>348</v>
      </c>
      <c r="D87" s="265">
        <f>34800+580</f>
        <v>35380</v>
      </c>
      <c r="E87" s="332">
        <f>D87/D26</f>
        <v>0.20319077281870282</v>
      </c>
      <c r="F87" s="415"/>
      <c r="G87" s="332"/>
      <c r="H87" s="415"/>
      <c r="I87" s="271"/>
      <c r="J87" s="294">
        <v>590</v>
      </c>
      <c r="K87" s="332">
        <f>J87/J26</f>
        <v>4.4414667379308785E-3</v>
      </c>
      <c r="L87" s="415"/>
      <c r="M87" s="332"/>
      <c r="N87" s="415"/>
      <c r="O87" s="27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</row>
    <row r="88" spans="1:29" ht="15.75" customHeight="1" x14ac:dyDescent="0.25">
      <c r="A88" s="181"/>
      <c r="B88" s="804"/>
      <c r="C88" s="805"/>
      <c r="D88" s="276"/>
      <c r="E88" s="316"/>
      <c r="F88" s="316"/>
      <c r="G88" s="316"/>
      <c r="H88" s="316"/>
      <c r="I88" s="318"/>
      <c r="J88" s="276"/>
      <c r="K88" s="313"/>
      <c r="L88" s="313"/>
      <c r="M88" s="313"/>
      <c r="N88" s="313"/>
      <c r="O88" s="27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</row>
    <row r="89" spans="1:29" ht="15.75" customHeight="1" x14ac:dyDescent="0.25">
      <c r="A89" s="181"/>
      <c r="B89" s="806"/>
      <c r="C89" s="820" t="s">
        <v>219</v>
      </c>
      <c r="D89" s="536">
        <f>SUM(D90:D93)</f>
        <v>0</v>
      </c>
      <c r="E89" s="537">
        <f>D89/D$26</f>
        <v>0</v>
      </c>
      <c r="F89" s="504">
        <f>SUM(F90:F93)</f>
        <v>0</v>
      </c>
      <c r="G89" s="537" t="str">
        <f ca="1">F89/F$26</f>
        <v>#REF!</v>
      </c>
      <c r="H89" s="502">
        <f>SUM(H90:H93)</f>
        <v>0</v>
      </c>
      <c r="I89" s="504"/>
      <c r="J89" s="536">
        <f>SUM(J90:J93)</f>
        <v>0</v>
      </c>
      <c r="K89" s="335">
        <f>J89/J$26</f>
        <v>0</v>
      </c>
      <c r="L89" s="313">
        <f>SUM(L90:L93)</f>
        <v>0</v>
      </c>
      <c r="M89" s="332" t="e">
        <f>L89/L$26</f>
        <v>#DIV/0!</v>
      </c>
      <c r="N89" s="415">
        <f>SUM(N90:N93)</f>
        <v>0</v>
      </c>
      <c r="O89" s="27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</row>
    <row r="90" spans="1:29" ht="15.75" customHeight="1" x14ac:dyDescent="0.25">
      <c r="A90" s="181"/>
      <c r="B90" s="791"/>
      <c r="C90" s="792" t="s">
        <v>220</v>
      </c>
      <c r="D90" s="261"/>
      <c r="E90" s="326"/>
      <c r="F90" s="372"/>
      <c r="G90" s="326"/>
      <c r="H90" s="412"/>
      <c r="I90" s="373"/>
      <c r="J90" s="261"/>
      <c r="K90" s="332"/>
      <c r="L90" s="313"/>
      <c r="M90" s="332"/>
      <c r="N90" s="415"/>
      <c r="O90" s="27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</row>
    <row r="91" spans="1:29" ht="15.75" customHeight="1" x14ac:dyDescent="0.25">
      <c r="A91" s="181"/>
      <c r="B91" s="796"/>
      <c r="C91" s="748" t="s">
        <v>221</v>
      </c>
      <c r="D91" s="265"/>
      <c r="E91" s="332"/>
      <c r="F91" s="313"/>
      <c r="G91" s="332"/>
      <c r="H91" s="415"/>
      <c r="I91" s="271"/>
      <c r="J91" s="265"/>
      <c r="K91" s="332"/>
      <c r="L91" s="313"/>
      <c r="M91" s="332"/>
      <c r="N91" s="415"/>
      <c r="O91" s="27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  <c r="AC91" s="181"/>
    </row>
    <row r="92" spans="1:29" ht="15.75" customHeight="1" x14ac:dyDescent="0.25">
      <c r="A92" s="181"/>
      <c r="B92" s="796"/>
      <c r="C92" s="748" t="s">
        <v>222</v>
      </c>
      <c r="D92" s="265"/>
      <c r="E92" s="313"/>
      <c r="F92" s="313"/>
      <c r="G92" s="313"/>
      <c r="H92" s="313"/>
      <c r="I92" s="271"/>
      <c r="J92" s="265"/>
      <c r="K92" s="313"/>
      <c r="L92" s="313"/>
      <c r="M92" s="313"/>
      <c r="N92" s="313"/>
      <c r="O92" s="27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</row>
    <row r="93" spans="1:29" ht="15.75" customHeight="1" x14ac:dyDescent="0.25">
      <c r="A93" s="181"/>
      <c r="B93" s="796"/>
      <c r="C93" s="748" t="s">
        <v>223</v>
      </c>
      <c r="D93" s="265"/>
      <c r="E93" s="313"/>
      <c r="F93" s="313"/>
      <c r="G93" s="313"/>
      <c r="H93" s="313"/>
      <c r="I93" s="271"/>
      <c r="J93" s="265"/>
      <c r="K93" s="313"/>
      <c r="L93" s="313"/>
      <c r="M93" s="313"/>
      <c r="N93" s="313"/>
      <c r="O93" s="27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</row>
    <row r="94" spans="1:29" ht="15.75" customHeight="1" x14ac:dyDescent="0.25">
      <c r="A94" s="181"/>
      <c r="B94" s="804"/>
      <c r="C94" s="818"/>
      <c r="D94" s="276"/>
      <c r="E94" s="316"/>
      <c r="F94" s="316"/>
      <c r="G94" s="316"/>
      <c r="H94" s="316"/>
      <c r="I94" s="318"/>
      <c r="J94" s="276"/>
      <c r="K94" s="313"/>
      <c r="L94" s="313"/>
      <c r="M94" s="313"/>
      <c r="N94" s="313"/>
      <c r="O94" s="27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  <c r="AC94" s="181"/>
    </row>
    <row r="95" spans="1:29" ht="15.75" customHeight="1" x14ac:dyDescent="0.25">
      <c r="A95" s="181"/>
      <c r="B95" s="806"/>
      <c r="C95" s="820" t="s">
        <v>37</v>
      </c>
      <c r="D95" s="536">
        <f>SUM(D96:D102)</f>
        <v>0</v>
      </c>
      <c r="E95" s="537">
        <f>D95/D$26</f>
        <v>0</v>
      </c>
      <c r="F95" s="502">
        <f>SUM(F96:F102)</f>
        <v>0</v>
      </c>
      <c r="G95" s="537" t="str">
        <f ca="1">F95/F$26</f>
        <v>#REF!</v>
      </c>
      <c r="H95" s="502">
        <f>SUM(H96:H102)</f>
        <v>0</v>
      </c>
      <c r="I95" s="504"/>
      <c r="J95" s="536">
        <f>SUM(J96:J102)</f>
        <v>0</v>
      </c>
      <c r="K95" s="335">
        <f>J95/J$26</f>
        <v>0</v>
      </c>
      <c r="L95" s="415">
        <f>SUM(L96:L102)</f>
        <v>0</v>
      </c>
      <c r="M95" s="332" t="e">
        <f>L95/L$26</f>
        <v>#DIV/0!</v>
      </c>
      <c r="N95" s="415">
        <f>SUM(N96:N102)</f>
        <v>0</v>
      </c>
      <c r="O95" s="27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  <c r="AC95" s="181"/>
    </row>
    <row r="96" spans="1:29" ht="15.75" customHeight="1" x14ac:dyDescent="0.25">
      <c r="A96" s="181"/>
      <c r="B96" s="791"/>
      <c r="C96" s="792" t="s">
        <v>224</v>
      </c>
      <c r="D96" s="261"/>
      <c r="E96" s="326"/>
      <c r="F96" s="372"/>
      <c r="G96" s="326"/>
      <c r="H96" s="412"/>
      <c r="I96" s="373"/>
      <c r="J96" s="261"/>
      <c r="K96" s="332"/>
      <c r="L96" s="313"/>
      <c r="M96" s="332"/>
      <c r="N96" s="415"/>
      <c r="O96" s="27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  <c r="AC96" s="181"/>
    </row>
    <row r="97" spans="1:29" ht="15.75" customHeight="1" x14ac:dyDescent="0.25">
      <c r="A97" s="181"/>
      <c r="B97" s="796"/>
      <c r="C97" s="748" t="s">
        <v>225</v>
      </c>
      <c r="D97" s="265"/>
      <c r="E97" s="332"/>
      <c r="F97" s="313"/>
      <c r="G97" s="332"/>
      <c r="H97" s="415"/>
      <c r="I97" s="271"/>
      <c r="J97" s="265"/>
      <c r="K97" s="332"/>
      <c r="L97" s="313"/>
      <c r="M97" s="332"/>
      <c r="N97" s="415"/>
      <c r="O97" s="27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</row>
    <row r="98" spans="1:29" ht="15.75" customHeight="1" x14ac:dyDescent="0.25">
      <c r="A98" s="181"/>
      <c r="B98" s="796"/>
      <c r="C98" s="748" t="s">
        <v>226</v>
      </c>
      <c r="D98" s="265"/>
      <c r="E98" s="332"/>
      <c r="F98" s="313"/>
      <c r="G98" s="332"/>
      <c r="H98" s="415"/>
      <c r="I98" s="271"/>
      <c r="J98" s="265"/>
      <c r="K98" s="332"/>
      <c r="L98" s="313"/>
      <c r="M98" s="332"/>
      <c r="N98" s="415"/>
      <c r="O98" s="27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</row>
    <row r="99" spans="1:29" ht="15.75" customHeight="1" x14ac:dyDescent="0.25">
      <c r="A99" s="181"/>
      <c r="B99" s="796"/>
      <c r="C99" s="748" t="s">
        <v>228</v>
      </c>
      <c r="D99" s="265"/>
      <c r="E99" s="332"/>
      <c r="F99" s="313"/>
      <c r="G99" s="332"/>
      <c r="H99" s="415"/>
      <c r="I99" s="271"/>
      <c r="J99" s="265"/>
      <c r="K99" s="332"/>
      <c r="L99" s="313"/>
      <c r="M99" s="332"/>
      <c r="N99" s="415"/>
      <c r="O99" s="27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</row>
    <row r="100" spans="1:29" ht="15.75" customHeight="1" x14ac:dyDescent="0.25">
      <c r="A100" s="181"/>
      <c r="B100" s="796"/>
      <c r="C100" s="748" t="s">
        <v>229</v>
      </c>
      <c r="D100" s="265"/>
      <c r="E100" s="332"/>
      <c r="F100" s="313"/>
      <c r="G100" s="332"/>
      <c r="H100" s="415"/>
      <c r="I100" s="271"/>
      <c r="J100" s="265"/>
      <c r="K100" s="332"/>
      <c r="L100" s="313"/>
      <c r="M100" s="332"/>
      <c r="N100" s="415"/>
      <c r="O100" s="27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</row>
    <row r="101" spans="1:29" ht="15.75" customHeight="1" x14ac:dyDescent="0.25">
      <c r="A101" s="181"/>
      <c r="B101" s="796"/>
      <c r="C101" s="748" t="s">
        <v>230</v>
      </c>
      <c r="D101" s="265"/>
      <c r="E101" s="332"/>
      <c r="F101" s="313"/>
      <c r="G101" s="332"/>
      <c r="H101" s="415"/>
      <c r="I101" s="271"/>
      <c r="J101" s="265"/>
      <c r="K101" s="332"/>
      <c r="L101" s="313"/>
      <c r="M101" s="332"/>
      <c r="N101" s="415"/>
      <c r="O101" s="27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</row>
    <row r="102" spans="1:29" ht="15.75" customHeight="1" x14ac:dyDescent="0.25">
      <c r="A102" s="181"/>
      <c r="B102" s="796"/>
      <c r="C102" s="748" t="s">
        <v>231</v>
      </c>
      <c r="D102" s="265"/>
      <c r="E102" s="332"/>
      <c r="F102" s="313"/>
      <c r="G102" s="332"/>
      <c r="H102" s="415"/>
      <c r="I102" s="271"/>
      <c r="J102" s="265"/>
      <c r="K102" s="332"/>
      <c r="L102" s="313"/>
      <c r="M102" s="332"/>
      <c r="N102" s="415"/>
      <c r="O102" s="27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</row>
    <row r="103" spans="1:29" ht="15.75" customHeight="1" x14ac:dyDescent="0.25">
      <c r="A103" s="181"/>
      <c r="B103" s="796"/>
      <c r="C103" s="428"/>
      <c r="D103" s="265"/>
      <c r="E103" s="313"/>
      <c r="F103" s="313"/>
      <c r="G103" s="313"/>
      <c r="H103" s="415"/>
      <c r="I103" s="271"/>
      <c r="J103" s="265"/>
      <c r="K103" s="313"/>
      <c r="L103" s="313"/>
      <c r="M103" s="313"/>
      <c r="N103" s="415"/>
      <c r="O103" s="27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</row>
    <row r="104" spans="1:29" ht="15.75" customHeight="1" x14ac:dyDescent="0.25">
      <c r="A104" s="181"/>
      <c r="B104" s="804"/>
      <c r="C104" s="818"/>
      <c r="D104" s="276"/>
      <c r="E104" s="316"/>
      <c r="F104" s="316"/>
      <c r="G104" s="316"/>
      <c r="H104" s="316"/>
      <c r="I104" s="318"/>
      <c r="J104" s="276"/>
      <c r="K104" s="313"/>
      <c r="L104" s="313"/>
      <c r="M104" s="313"/>
      <c r="N104" s="313"/>
      <c r="O104" s="27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</row>
    <row r="105" spans="1:29" ht="15.75" customHeight="1" x14ac:dyDescent="0.25">
      <c r="A105" s="181"/>
      <c r="B105" s="806"/>
      <c r="C105" s="820" t="s">
        <v>38</v>
      </c>
      <c r="D105" s="536">
        <f>SUM(D106)</f>
        <v>0</v>
      </c>
      <c r="E105" s="537">
        <f>D105/D$26</f>
        <v>0</v>
      </c>
      <c r="F105" s="504">
        <f>SUM(F106)</f>
        <v>0</v>
      </c>
      <c r="G105" s="537" t="str">
        <f ca="1">F105/F$26</f>
        <v>#REF!</v>
      </c>
      <c r="H105" s="502">
        <f>SUM(H106)</f>
        <v>0</v>
      </c>
      <c r="I105" s="504"/>
      <c r="J105" s="536">
        <f>SUM(J106)</f>
        <v>0</v>
      </c>
      <c r="K105" s="335">
        <f>J105/J$26</f>
        <v>0</v>
      </c>
      <c r="L105" s="313">
        <f>SUM(L106)</f>
        <v>0</v>
      </c>
      <c r="M105" s="332" t="e">
        <f>L105/L$26</f>
        <v>#DIV/0!</v>
      </c>
      <c r="N105" s="415">
        <f>SUM(N106)</f>
        <v>0</v>
      </c>
      <c r="O105" s="27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</row>
    <row r="106" spans="1:29" ht="15.75" customHeight="1" x14ac:dyDescent="0.25">
      <c r="A106" s="181"/>
      <c r="B106" s="791"/>
      <c r="C106" s="792" t="s">
        <v>276</v>
      </c>
      <c r="D106" s="261">
        <v>0</v>
      </c>
      <c r="E106" s="326">
        <f>IFERROR((D106/D$26),"")</f>
        <v>0</v>
      </c>
      <c r="F106" s="372"/>
      <c r="G106" s="372"/>
      <c r="H106" s="412">
        <f>D106-F106</f>
        <v>0</v>
      </c>
      <c r="I106" s="373"/>
      <c r="J106" s="261">
        <v>0</v>
      </c>
      <c r="K106" s="332">
        <f>IFERROR((J106/J$26),"")</f>
        <v>0</v>
      </c>
      <c r="L106" s="313"/>
      <c r="M106" s="313"/>
      <c r="N106" s="415">
        <f>J106-L106</f>
        <v>0</v>
      </c>
      <c r="O106" s="27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</row>
    <row r="107" spans="1:29" ht="15.75" customHeight="1" x14ac:dyDescent="0.25">
      <c r="A107" s="181"/>
      <c r="B107" s="804"/>
      <c r="C107" s="805"/>
      <c r="D107" s="276"/>
      <c r="E107" s="316"/>
      <c r="F107" s="316"/>
      <c r="G107" s="316"/>
      <c r="H107" s="316"/>
      <c r="I107" s="318"/>
      <c r="J107" s="276"/>
      <c r="K107" s="313"/>
      <c r="L107" s="313"/>
      <c r="M107" s="313"/>
      <c r="N107" s="313"/>
      <c r="O107" s="27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</row>
    <row r="108" spans="1:29" ht="15.75" customHeight="1" x14ac:dyDescent="0.25">
      <c r="A108" s="181"/>
      <c r="B108" s="806"/>
      <c r="C108" s="820" t="s">
        <v>238</v>
      </c>
      <c r="D108" s="536">
        <f>SUM(D109:D110)</f>
        <v>23091</v>
      </c>
      <c r="E108" s="537">
        <f>D108/D$26</f>
        <v>0.13261385345270399</v>
      </c>
      <c r="F108" s="504">
        <f>SUM(F109:F110)</f>
        <v>0</v>
      </c>
      <c r="G108" s="537" t="str">
        <f ca="1">F108/F$26</f>
        <v>#REF!</v>
      </c>
      <c r="H108" s="502">
        <f>SUM(H109:H110)</f>
        <v>0</v>
      </c>
      <c r="I108" s="504"/>
      <c r="J108" s="536">
        <f>SUM(J109:J110)</f>
        <v>23091</v>
      </c>
      <c r="K108" s="335">
        <f>J108/J$26</f>
        <v>0.17382696346705409</v>
      </c>
      <c r="L108" s="313">
        <f>SUM(L109:L110)</f>
        <v>0</v>
      </c>
      <c r="M108" s="332" t="e">
        <f>L108/L$26</f>
        <v>#DIV/0!</v>
      </c>
      <c r="N108" s="415">
        <f>SUM(N109:N110)</f>
        <v>0</v>
      </c>
      <c r="O108" s="27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</row>
    <row r="109" spans="1:29" ht="15.75" customHeight="1" x14ac:dyDescent="0.25">
      <c r="A109" s="181"/>
      <c r="B109" s="791"/>
      <c r="C109" s="792" t="s">
        <v>239</v>
      </c>
      <c r="D109" s="261"/>
      <c r="E109" s="326"/>
      <c r="F109" s="372"/>
      <c r="G109" s="326"/>
      <c r="H109" s="412"/>
      <c r="I109" s="373"/>
      <c r="J109" s="261"/>
      <c r="K109" s="332"/>
      <c r="L109" s="313"/>
      <c r="M109" s="332"/>
      <c r="N109" s="415"/>
      <c r="O109" s="27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</row>
    <row r="110" spans="1:29" ht="15.75" customHeight="1" x14ac:dyDescent="0.25">
      <c r="A110" s="181"/>
      <c r="B110" s="796"/>
      <c r="C110" s="748" t="s">
        <v>289</v>
      </c>
      <c r="D110" s="265">
        <v>23091</v>
      </c>
      <c r="E110" s="332"/>
      <c r="F110" s="313"/>
      <c r="G110" s="332"/>
      <c r="H110" s="415"/>
      <c r="I110" s="271"/>
      <c r="J110" s="265">
        <v>23091</v>
      </c>
      <c r="K110" s="332"/>
      <c r="L110" s="313"/>
      <c r="M110" s="332"/>
      <c r="N110" s="415"/>
      <c r="O110" s="27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</row>
    <row r="111" spans="1:29" ht="15.75" customHeight="1" x14ac:dyDescent="0.25">
      <c r="A111" s="181"/>
      <c r="B111" s="804"/>
      <c r="C111" s="805"/>
      <c r="D111" s="276"/>
      <c r="E111" s="316"/>
      <c r="F111" s="316"/>
      <c r="G111" s="316"/>
      <c r="H111" s="316"/>
      <c r="I111" s="318"/>
      <c r="J111" s="276"/>
      <c r="K111" s="316"/>
      <c r="L111" s="316"/>
      <c r="M111" s="316"/>
      <c r="N111" s="316"/>
      <c r="O111" s="318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</row>
    <row r="112" spans="1:29" ht="15.75" customHeight="1" x14ac:dyDescent="0.25">
      <c r="A112" s="181"/>
      <c r="B112" s="812"/>
      <c r="C112" s="813" t="s">
        <v>40</v>
      </c>
      <c r="D112" s="280">
        <f>SUM(D113:D125)</f>
        <v>0</v>
      </c>
      <c r="E112" s="565">
        <f>D112/D$26</f>
        <v>0</v>
      </c>
      <c r="F112" s="475">
        <f>SUM(F113:F125)</f>
        <v>0</v>
      </c>
      <c r="G112" s="565" t="str">
        <f ca="1">F112/F$26</f>
        <v>#REF!</v>
      </c>
      <c r="H112" s="475">
        <f>SUM(H113:H125)</f>
        <v>0</v>
      </c>
      <c r="I112" s="743"/>
      <c r="J112" s="280">
        <f>SUM(J113:J125)</f>
        <v>0</v>
      </c>
      <c r="K112" s="565">
        <f>J112/J$26</f>
        <v>0</v>
      </c>
      <c r="L112" s="475">
        <f>SUM(L113:L125)</f>
        <v>0</v>
      </c>
      <c r="M112" s="565" t="e">
        <f>L112/L$26</f>
        <v>#DIV/0!</v>
      </c>
      <c r="N112" s="475">
        <f>SUM(N113:N125)</f>
        <v>0</v>
      </c>
      <c r="O112" s="743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</row>
    <row r="113" spans="1:29" ht="15.75" customHeight="1" x14ac:dyDescent="0.25">
      <c r="A113" s="181"/>
      <c r="B113" s="791"/>
      <c r="C113" s="792" t="s">
        <v>241</v>
      </c>
      <c r="D113" s="261"/>
      <c r="E113" s="326"/>
      <c r="F113" s="372"/>
      <c r="G113" s="326"/>
      <c r="H113" s="412"/>
      <c r="I113" s="373"/>
      <c r="J113" s="261"/>
      <c r="K113" s="326"/>
      <c r="L113" s="372"/>
      <c r="M113" s="326"/>
      <c r="N113" s="412"/>
      <c r="O113" s="373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  <c r="AC113" s="181"/>
    </row>
    <row r="114" spans="1:29" ht="15.75" customHeight="1" x14ac:dyDescent="0.25">
      <c r="A114" s="181"/>
      <c r="B114" s="796"/>
      <c r="C114" s="748" t="s">
        <v>242</v>
      </c>
      <c r="D114" s="265"/>
      <c r="E114" s="332"/>
      <c r="F114" s="313"/>
      <c r="G114" s="332"/>
      <c r="H114" s="415"/>
      <c r="I114" s="271"/>
      <c r="J114" s="265"/>
      <c r="K114" s="332"/>
      <c r="L114" s="313"/>
      <c r="M114" s="332"/>
      <c r="N114" s="415"/>
      <c r="O114" s="27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  <c r="AC114" s="181"/>
    </row>
    <row r="115" spans="1:29" ht="15.75" hidden="1" customHeight="1" x14ac:dyDescent="0.25">
      <c r="A115" s="181"/>
      <c r="B115" s="796"/>
      <c r="C115" s="748" t="s">
        <v>243</v>
      </c>
      <c r="D115" s="265"/>
      <c r="E115" s="332"/>
      <c r="F115" s="313"/>
      <c r="G115" s="332"/>
      <c r="H115" s="415"/>
      <c r="I115" s="271"/>
      <c r="J115" s="265"/>
      <c r="K115" s="332"/>
      <c r="L115" s="313"/>
      <c r="M115" s="332"/>
      <c r="N115" s="415"/>
      <c r="O115" s="27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  <c r="AC115" s="181"/>
    </row>
    <row r="116" spans="1:29" ht="15.75" hidden="1" customHeight="1" x14ac:dyDescent="0.25">
      <c r="A116" s="181"/>
      <c r="B116" s="796"/>
      <c r="C116" s="748" t="s">
        <v>244</v>
      </c>
      <c r="D116" s="265"/>
      <c r="E116" s="332"/>
      <c r="F116" s="313"/>
      <c r="G116" s="332"/>
      <c r="H116" s="415"/>
      <c r="I116" s="271"/>
      <c r="J116" s="265"/>
      <c r="K116" s="332"/>
      <c r="L116" s="313"/>
      <c r="M116" s="332"/>
      <c r="N116" s="415"/>
      <c r="O116" s="27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  <c r="AC116" s="181"/>
    </row>
    <row r="117" spans="1:29" ht="15.75" hidden="1" customHeight="1" x14ac:dyDescent="0.25">
      <c r="A117" s="181"/>
      <c r="B117" s="796"/>
      <c r="C117" s="748" t="s">
        <v>290</v>
      </c>
      <c r="D117" s="265"/>
      <c r="E117" s="332"/>
      <c r="F117" s="313"/>
      <c r="G117" s="332"/>
      <c r="H117" s="415"/>
      <c r="I117" s="271"/>
      <c r="J117" s="265"/>
      <c r="K117" s="332"/>
      <c r="L117" s="313"/>
      <c r="M117" s="332"/>
      <c r="N117" s="415"/>
      <c r="O117" s="27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  <c r="AC117" s="181"/>
    </row>
    <row r="118" spans="1:29" ht="15.75" hidden="1" customHeight="1" x14ac:dyDescent="0.25">
      <c r="A118" s="181"/>
      <c r="B118" s="796"/>
      <c r="C118" s="748" t="s">
        <v>247</v>
      </c>
      <c r="D118" s="265"/>
      <c r="E118" s="332"/>
      <c r="F118" s="313"/>
      <c r="G118" s="332"/>
      <c r="H118" s="415"/>
      <c r="I118" s="271"/>
      <c r="J118" s="265"/>
      <c r="K118" s="332"/>
      <c r="L118" s="313"/>
      <c r="M118" s="332"/>
      <c r="N118" s="415"/>
      <c r="O118" s="27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81"/>
    </row>
    <row r="119" spans="1:29" ht="15.75" hidden="1" customHeight="1" x14ac:dyDescent="0.25">
      <c r="A119" s="181"/>
      <c r="B119" s="796"/>
      <c r="C119" s="748" t="s">
        <v>249</v>
      </c>
      <c r="D119" s="265"/>
      <c r="E119" s="332"/>
      <c r="F119" s="313"/>
      <c r="G119" s="332"/>
      <c r="H119" s="415"/>
      <c r="I119" s="271"/>
      <c r="J119" s="265"/>
      <c r="K119" s="332"/>
      <c r="L119" s="313"/>
      <c r="M119" s="332"/>
      <c r="N119" s="415"/>
      <c r="O119" s="27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  <c r="AC119" s="181"/>
    </row>
    <row r="120" spans="1:29" ht="15.75" hidden="1" customHeight="1" x14ac:dyDescent="0.25">
      <c r="A120" s="181"/>
      <c r="B120" s="796"/>
      <c r="C120" s="748" t="s">
        <v>250</v>
      </c>
      <c r="D120" s="265"/>
      <c r="E120" s="332"/>
      <c r="F120" s="313"/>
      <c r="G120" s="332"/>
      <c r="H120" s="415"/>
      <c r="I120" s="271"/>
      <c r="J120" s="265"/>
      <c r="K120" s="332"/>
      <c r="L120" s="313"/>
      <c r="M120" s="332"/>
      <c r="N120" s="415"/>
      <c r="O120" s="27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</row>
    <row r="121" spans="1:29" ht="15.75" hidden="1" customHeight="1" x14ac:dyDescent="0.25">
      <c r="A121" s="181"/>
      <c r="B121" s="796"/>
      <c r="C121" s="748" t="s">
        <v>251</v>
      </c>
      <c r="D121" s="265"/>
      <c r="E121" s="332"/>
      <c r="F121" s="313"/>
      <c r="G121" s="332"/>
      <c r="H121" s="415"/>
      <c r="I121" s="271"/>
      <c r="J121" s="265"/>
      <c r="K121" s="332"/>
      <c r="L121" s="313"/>
      <c r="M121" s="332"/>
      <c r="N121" s="415"/>
      <c r="O121" s="27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</row>
    <row r="122" spans="1:29" ht="15.75" hidden="1" customHeight="1" x14ac:dyDescent="0.25">
      <c r="A122" s="181"/>
      <c r="B122" s="796"/>
      <c r="C122" s="748" t="s">
        <v>252</v>
      </c>
      <c r="D122" s="265"/>
      <c r="E122" s="332"/>
      <c r="F122" s="313"/>
      <c r="G122" s="332"/>
      <c r="H122" s="415"/>
      <c r="I122" s="271"/>
      <c r="J122" s="265"/>
      <c r="K122" s="332"/>
      <c r="L122" s="313"/>
      <c r="M122" s="332"/>
      <c r="N122" s="415"/>
      <c r="O122" s="27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</row>
    <row r="123" spans="1:29" ht="15.75" hidden="1" customHeight="1" x14ac:dyDescent="0.25">
      <c r="A123" s="181"/>
      <c r="B123" s="796"/>
      <c r="C123" s="748" t="s">
        <v>303</v>
      </c>
      <c r="D123" s="265"/>
      <c r="E123" s="332"/>
      <c r="F123" s="313"/>
      <c r="G123" s="332"/>
      <c r="H123" s="415"/>
      <c r="I123" s="271"/>
      <c r="J123" s="265"/>
      <c r="K123" s="332"/>
      <c r="L123" s="313"/>
      <c r="M123" s="332"/>
      <c r="N123" s="415"/>
      <c r="O123" s="27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</row>
    <row r="124" spans="1:29" ht="15.75" hidden="1" customHeight="1" x14ac:dyDescent="0.25">
      <c r="A124" s="181"/>
      <c r="B124" s="796"/>
      <c r="C124" s="748" t="s">
        <v>280</v>
      </c>
      <c r="D124" s="265"/>
      <c r="E124" s="332"/>
      <c r="F124" s="313"/>
      <c r="G124" s="332"/>
      <c r="H124" s="313"/>
      <c r="I124" s="271"/>
      <c r="J124" s="265"/>
      <c r="K124" s="332"/>
      <c r="L124" s="313"/>
      <c r="M124" s="332"/>
      <c r="N124" s="313"/>
      <c r="O124" s="27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</row>
    <row r="125" spans="1:29" ht="15.75" customHeight="1" x14ac:dyDescent="0.25">
      <c r="A125" s="181"/>
      <c r="B125" s="796"/>
      <c r="C125" s="748" t="s">
        <v>247</v>
      </c>
      <c r="D125" s="265"/>
      <c r="E125" s="313"/>
      <c r="F125" s="313"/>
      <c r="G125" s="313"/>
      <c r="H125" s="313"/>
      <c r="I125" s="271"/>
      <c r="J125" s="265"/>
      <c r="K125" s="313"/>
      <c r="L125" s="313"/>
      <c r="M125" s="313"/>
      <c r="N125" s="313"/>
      <c r="O125" s="27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</row>
    <row r="126" spans="1:29" ht="15.75" customHeight="1" x14ac:dyDescent="0.25">
      <c r="A126" s="181"/>
      <c r="B126" s="804"/>
      <c r="C126" s="817"/>
      <c r="D126" s="276"/>
      <c r="E126" s="316"/>
      <c r="F126" s="316"/>
      <c r="G126" s="316"/>
      <c r="H126" s="316"/>
      <c r="I126" s="318"/>
      <c r="J126" s="276"/>
      <c r="K126" s="316"/>
      <c r="L126" s="316"/>
      <c r="M126" s="316"/>
      <c r="N126" s="316"/>
      <c r="O126" s="318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</row>
    <row r="127" spans="1:29" ht="15.75" customHeight="1" x14ac:dyDescent="0.25">
      <c r="A127" s="181"/>
      <c r="B127" s="812"/>
      <c r="C127" s="813" t="s">
        <v>41</v>
      </c>
      <c r="D127" s="280">
        <f>SUM(D128:D129)</f>
        <v>0</v>
      </c>
      <c r="E127" s="476"/>
      <c r="F127" s="475">
        <f>SUM(F128:F129)</f>
        <v>0</v>
      </c>
      <c r="G127" s="476"/>
      <c r="H127" s="475">
        <f>SUM(H128:H129)</f>
        <v>0</v>
      </c>
      <c r="I127" s="743"/>
      <c r="J127" s="280">
        <f>SUM(J128:J129)</f>
        <v>0</v>
      </c>
      <c r="K127" s="476"/>
      <c r="L127" s="475">
        <f>SUM(L128:L129)</f>
        <v>0</v>
      </c>
      <c r="M127" s="476"/>
      <c r="N127" s="475">
        <f>SUM(N128:N129)</f>
        <v>0</v>
      </c>
      <c r="O127" s="743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</row>
    <row r="128" spans="1:29" ht="15.75" hidden="1" customHeight="1" x14ac:dyDescent="0.25">
      <c r="A128" s="181"/>
      <c r="B128" s="791"/>
      <c r="C128" s="792" t="s">
        <v>253</v>
      </c>
      <c r="D128" s="261"/>
      <c r="E128" s="326">
        <f t="shared" ref="E128:E129" si="19">IFERROR((D128/D$26),"")</f>
        <v>0</v>
      </c>
      <c r="F128" s="372"/>
      <c r="G128" s="372"/>
      <c r="H128" s="412">
        <f t="shared" ref="H128:H129" si="20">D128-F128</f>
        <v>0</v>
      </c>
      <c r="I128" s="373"/>
      <c r="J128" s="261"/>
      <c r="K128" s="326">
        <f t="shared" ref="K128:K129" si="21">IFERROR((J128/J$26),"")</f>
        <v>0</v>
      </c>
      <c r="L128" s="372"/>
      <c r="M128" s="372"/>
      <c r="N128" s="412">
        <f t="shared" ref="N128:N129" si="22">J128-L128</f>
        <v>0</v>
      </c>
      <c r="O128" s="373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</row>
    <row r="129" spans="1:29" ht="15.75" hidden="1" customHeight="1" x14ac:dyDescent="0.25">
      <c r="A129" s="181"/>
      <c r="B129" s="796"/>
      <c r="C129" s="748" t="s">
        <v>292</v>
      </c>
      <c r="D129" s="265"/>
      <c r="E129" s="332">
        <f t="shared" si="19"/>
        <v>0</v>
      </c>
      <c r="F129" s="313"/>
      <c r="G129" s="313"/>
      <c r="H129" s="415">
        <f t="shared" si="20"/>
        <v>0</v>
      </c>
      <c r="I129" s="271"/>
      <c r="J129" s="265"/>
      <c r="K129" s="332">
        <f t="shared" si="21"/>
        <v>0</v>
      </c>
      <c r="L129" s="313"/>
      <c r="M129" s="313"/>
      <c r="N129" s="415">
        <f t="shared" si="22"/>
        <v>0</v>
      </c>
      <c r="O129" s="27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</row>
    <row r="130" spans="1:29" ht="15.75" customHeight="1" x14ac:dyDescent="0.25">
      <c r="A130" s="181"/>
      <c r="B130" s="804"/>
      <c r="C130" s="805"/>
      <c r="D130" s="276"/>
      <c r="E130" s="316"/>
      <c r="F130" s="316"/>
      <c r="G130" s="316"/>
      <c r="H130" s="316"/>
      <c r="I130" s="318"/>
      <c r="J130" s="276"/>
      <c r="K130" s="316"/>
      <c r="L130" s="316"/>
      <c r="M130" s="316"/>
      <c r="N130" s="316"/>
      <c r="O130" s="318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</row>
    <row r="131" spans="1:29" ht="15.75" customHeight="1" x14ac:dyDescent="0.25">
      <c r="A131" s="181"/>
      <c r="B131" s="812"/>
      <c r="C131" s="813" t="s">
        <v>42</v>
      </c>
      <c r="D131" s="280">
        <f>SUM(D132:D133)</f>
        <v>0</v>
      </c>
      <c r="E131" s="476"/>
      <c r="F131" s="476">
        <f>SUM(F132:F133)</f>
        <v>0</v>
      </c>
      <c r="G131" s="476"/>
      <c r="H131" s="475">
        <f>SUM(H132:H133)</f>
        <v>0</v>
      </c>
      <c r="I131" s="743"/>
      <c r="J131" s="280">
        <f>SUM(J132:J133)</f>
        <v>0</v>
      </c>
      <c r="K131" s="476"/>
      <c r="L131" s="476">
        <f>SUM(L132:L133)</f>
        <v>0</v>
      </c>
      <c r="M131" s="476"/>
      <c r="N131" s="475">
        <f>SUM(N132:N133)</f>
        <v>0</v>
      </c>
      <c r="O131" s="743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</row>
    <row r="132" spans="1:29" ht="15.75" hidden="1" customHeight="1" x14ac:dyDescent="0.25">
      <c r="A132" s="181"/>
      <c r="B132" s="791"/>
      <c r="C132" s="792" t="s">
        <v>333</v>
      </c>
      <c r="D132" s="261"/>
      <c r="E132" s="326"/>
      <c r="F132" s="372"/>
      <c r="G132" s="372"/>
      <c r="H132" s="412"/>
      <c r="I132" s="373"/>
      <c r="J132" s="261"/>
      <c r="K132" s="326"/>
      <c r="L132" s="372"/>
      <c r="M132" s="372"/>
      <c r="N132" s="412"/>
      <c r="O132" s="373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</row>
    <row r="133" spans="1:29" ht="15.75" customHeight="1" x14ac:dyDescent="0.25">
      <c r="A133" s="181"/>
      <c r="B133" s="796"/>
      <c r="C133" s="748" t="s">
        <v>256</v>
      </c>
      <c r="D133" s="265">
        <v>0</v>
      </c>
      <c r="E133" s="332"/>
      <c r="F133" s="313"/>
      <c r="G133" s="313"/>
      <c r="H133" s="415"/>
      <c r="I133" s="271"/>
      <c r="J133" s="265">
        <v>0</v>
      </c>
      <c r="K133" s="332"/>
      <c r="L133" s="313"/>
      <c r="M133" s="313"/>
      <c r="N133" s="415"/>
      <c r="O133" s="27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</row>
    <row r="134" spans="1:29" ht="15.75" customHeight="1" x14ac:dyDescent="0.25">
      <c r="A134" s="181"/>
      <c r="B134" s="804"/>
      <c r="C134" s="805"/>
      <c r="D134" s="276"/>
      <c r="E134" s="316"/>
      <c r="F134" s="316"/>
      <c r="G134" s="316"/>
      <c r="H134" s="316"/>
      <c r="I134" s="318"/>
      <c r="J134" s="276"/>
      <c r="K134" s="316"/>
      <c r="L134" s="316"/>
      <c r="M134" s="316"/>
      <c r="N134" s="316"/>
      <c r="O134" s="318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</row>
    <row r="135" spans="1:29" ht="15.75" customHeight="1" x14ac:dyDescent="0.25">
      <c r="A135" s="181"/>
      <c r="B135" s="821"/>
      <c r="C135" s="822" t="s">
        <v>257</v>
      </c>
      <c r="D135" s="257">
        <f>D62+D89+D95+D131+D127+D112+D108+D105+D82+D74</f>
        <v>128088.97</v>
      </c>
      <c r="E135" s="321">
        <f>IFERROR((D135/D$26),"")</f>
        <v>0.73562738281095652</v>
      </c>
      <c r="F135" s="411">
        <f>F131+F127+F112+F108+F105+F95+F89+F82+F74</f>
        <v>0</v>
      </c>
      <c r="G135" s="321" t="str">
        <f ca="1">IFERROR((F135/F$26),"")</f>
        <v/>
      </c>
      <c r="H135" s="411"/>
      <c r="I135" s="349"/>
      <c r="J135" s="257">
        <f>J131+J127+J112+J108+J105+J95+J89+J82+J74</f>
        <v>47233</v>
      </c>
      <c r="K135" s="321">
        <f>IFERROR((J135/J$26),"")</f>
        <v>0.35556576005540541</v>
      </c>
      <c r="L135" s="411">
        <f>L131+L127+L112+L108+L105+L95+L89+L82+L74</f>
        <v>0</v>
      </c>
      <c r="M135" s="321" t="str">
        <f>IFERROR((L135/L$26),"")</f>
        <v/>
      </c>
      <c r="N135" s="411"/>
      <c r="O135" s="349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</row>
    <row r="136" spans="1:29" ht="15.75" customHeight="1" x14ac:dyDescent="0.25">
      <c r="A136" s="181"/>
      <c r="B136" s="823"/>
      <c r="C136" s="824"/>
      <c r="D136" s="294"/>
      <c r="E136" s="381"/>
      <c r="F136" s="381"/>
      <c r="G136" s="381"/>
      <c r="H136" s="381"/>
      <c r="I136" s="253"/>
      <c r="J136" s="294"/>
      <c r="K136" s="381"/>
      <c r="L136" s="381"/>
      <c r="M136" s="381"/>
      <c r="N136" s="381"/>
      <c r="O136" s="253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  <c r="AC136" s="181"/>
    </row>
    <row r="137" spans="1:29" ht="15.75" customHeight="1" x14ac:dyDescent="0.25">
      <c r="A137" s="181"/>
      <c r="B137" s="821"/>
      <c r="C137" s="822" t="s">
        <v>258</v>
      </c>
      <c r="D137" s="257">
        <f>D39-D135</f>
        <v>-230104.96875374459</v>
      </c>
      <c r="E137" s="321">
        <f>IFERROR((D137/D$26),"")</f>
        <v>-1.3215151619699499</v>
      </c>
      <c r="F137" s="411" t="str">
        <f ca="1">F53-F135</f>
        <v>#REF!</v>
      </c>
      <c r="G137" s="321" t="str">
        <f ca="1">IFERROR((F137/F$26),"")</f>
        <v/>
      </c>
      <c r="H137" s="411" t="str">
        <f ca="1">H53-H135</f>
        <v>#REF!</v>
      </c>
      <c r="I137" s="349"/>
      <c r="J137" s="257">
        <f>J39-J135</f>
        <v>-139322.65620295875</v>
      </c>
      <c r="K137" s="321">
        <f>IFERROR((J137/J$26),"")</f>
        <v>-1.0488083785857976</v>
      </c>
      <c r="L137" s="411">
        <f>L53-L135</f>
        <v>0</v>
      </c>
      <c r="M137" s="321" t="str">
        <f>IFERROR((L137/L$26),"")</f>
        <v/>
      </c>
      <c r="N137" s="411">
        <f>N53-N135</f>
        <v>65950</v>
      </c>
      <c r="O137" s="349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  <c r="AC137" s="181"/>
    </row>
    <row r="138" spans="1:29" ht="15.75" customHeight="1" x14ac:dyDescent="0.25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</row>
    <row r="139" spans="1:29" ht="15.75" customHeight="1" x14ac:dyDescent="0.25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  <c r="AC139" s="181"/>
    </row>
    <row r="140" spans="1:29" ht="15.75" customHeight="1" x14ac:dyDescent="0.25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  <c r="AC140" s="181"/>
    </row>
    <row r="141" spans="1:29" ht="15.75" customHeight="1" x14ac:dyDescent="0.25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  <c r="AC141" s="181"/>
    </row>
    <row r="142" spans="1:29" ht="15.75" customHeight="1" x14ac:dyDescent="0.25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  <c r="AC142" s="181"/>
    </row>
    <row r="143" spans="1:29" ht="15.75" customHeight="1" x14ac:dyDescent="0.25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</row>
    <row r="144" spans="1:29" ht="15.75" customHeight="1" x14ac:dyDescent="0.25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</row>
    <row r="145" spans="1:29" ht="15.75" customHeight="1" x14ac:dyDescent="0.25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</row>
    <row r="146" spans="1:29" ht="15.75" customHeight="1" x14ac:dyDescent="0.25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</row>
    <row r="147" spans="1:29" ht="15.75" customHeight="1" x14ac:dyDescent="0.25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</row>
    <row r="148" spans="1:29" ht="15.75" customHeight="1" x14ac:dyDescent="0.25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</row>
    <row r="149" spans="1:29" ht="15.75" customHeight="1" x14ac:dyDescent="0.25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</row>
    <row r="150" spans="1:29" ht="15.75" customHeight="1" x14ac:dyDescent="0.25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</row>
    <row r="151" spans="1:29" ht="15.75" customHeight="1" x14ac:dyDescent="0.25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</row>
    <row r="152" spans="1:29" ht="15.75" customHeight="1" x14ac:dyDescent="0.25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</row>
    <row r="153" spans="1:29" ht="15.75" customHeight="1" x14ac:dyDescent="0.25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</row>
    <row r="154" spans="1:29" ht="15.75" customHeight="1" x14ac:dyDescent="0.25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</row>
    <row r="155" spans="1:29" ht="15.75" customHeight="1" x14ac:dyDescent="0.25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</row>
    <row r="156" spans="1:29" ht="15.75" customHeight="1" x14ac:dyDescent="0.25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</row>
    <row r="157" spans="1:29" ht="15.75" customHeight="1" x14ac:dyDescent="0.25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</row>
    <row r="158" spans="1:29" ht="15.75" customHeight="1" x14ac:dyDescent="0.25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</row>
    <row r="159" spans="1:29" ht="15.75" customHeight="1" x14ac:dyDescent="0.25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  <c r="AC159" s="181"/>
    </row>
    <row r="160" spans="1:29" ht="15.75" customHeight="1" x14ac:dyDescent="0.25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  <c r="AC160" s="181"/>
    </row>
    <row r="161" spans="1:29" ht="15.75" customHeight="1" x14ac:dyDescent="0.25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  <c r="AC161" s="181"/>
    </row>
    <row r="162" spans="1:29" ht="15.75" customHeight="1" x14ac:dyDescent="0.25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  <c r="AC162" s="181"/>
    </row>
    <row r="163" spans="1:29" ht="15.75" customHeight="1" x14ac:dyDescent="0.25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  <c r="AC163" s="181"/>
    </row>
    <row r="164" spans="1:29" ht="15.75" customHeight="1" x14ac:dyDescent="0.25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  <c r="AC164" s="181"/>
    </row>
    <row r="165" spans="1:29" ht="15.75" customHeight="1" x14ac:dyDescent="0.25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  <c r="AC165" s="181"/>
    </row>
    <row r="166" spans="1:29" ht="15.75" customHeight="1" x14ac:dyDescent="0.25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</row>
    <row r="167" spans="1:29" ht="15.75" customHeight="1" x14ac:dyDescent="0.25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</row>
    <row r="168" spans="1:29" ht="15.75" customHeight="1" x14ac:dyDescent="0.25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</row>
    <row r="169" spans="1:29" ht="15.75" customHeight="1" x14ac:dyDescent="0.25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</row>
    <row r="170" spans="1:29" ht="15.75" customHeight="1" x14ac:dyDescent="0.25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</row>
    <row r="171" spans="1:29" ht="15.75" customHeight="1" x14ac:dyDescent="0.25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</row>
    <row r="172" spans="1:29" ht="15.75" customHeight="1" x14ac:dyDescent="0.25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</row>
    <row r="173" spans="1:29" ht="15.75" customHeight="1" x14ac:dyDescent="0.25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</row>
    <row r="174" spans="1:29" ht="15.75" customHeight="1" x14ac:dyDescent="0.25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</row>
    <row r="175" spans="1:29" ht="15.75" customHeight="1" x14ac:dyDescent="0.25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</row>
    <row r="176" spans="1:29" ht="15.75" customHeight="1" x14ac:dyDescent="0.25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</row>
    <row r="177" spans="1:29" ht="15.75" customHeight="1" x14ac:dyDescent="0.25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</row>
    <row r="178" spans="1:29" ht="15.75" customHeight="1" x14ac:dyDescent="0.25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</row>
    <row r="179" spans="1:29" ht="15.75" customHeight="1" x14ac:dyDescent="0.25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</row>
    <row r="180" spans="1:29" ht="15.75" customHeight="1" x14ac:dyDescent="0.25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</row>
    <row r="181" spans="1:29" ht="15.75" customHeight="1" x14ac:dyDescent="0.25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</row>
    <row r="182" spans="1:29" ht="15.75" customHeight="1" x14ac:dyDescent="0.25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  <c r="AC182" s="181"/>
    </row>
    <row r="183" spans="1:29" ht="15.75" customHeight="1" x14ac:dyDescent="0.25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  <c r="AC183" s="181"/>
    </row>
    <row r="184" spans="1:29" ht="15.75" customHeight="1" x14ac:dyDescent="0.25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  <c r="AC184" s="181"/>
    </row>
    <row r="185" spans="1:29" ht="15.75" customHeight="1" x14ac:dyDescent="0.25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  <c r="AC185" s="181"/>
    </row>
    <row r="186" spans="1:29" ht="15.75" customHeight="1" x14ac:dyDescent="0.25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  <c r="AC186" s="181"/>
    </row>
    <row r="187" spans="1:29" ht="15.75" customHeight="1" x14ac:dyDescent="0.25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  <c r="AC187" s="181"/>
    </row>
    <row r="188" spans="1:29" ht="15.75" customHeight="1" x14ac:dyDescent="0.25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  <c r="AC188" s="181"/>
    </row>
    <row r="189" spans="1:29" ht="15.75" customHeight="1" x14ac:dyDescent="0.25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</row>
    <row r="190" spans="1:29" ht="15.75" customHeight="1" x14ac:dyDescent="0.25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</row>
    <row r="191" spans="1:29" ht="15.75" customHeight="1" x14ac:dyDescent="0.25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</row>
    <row r="192" spans="1:29" ht="15.75" customHeight="1" x14ac:dyDescent="0.25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</row>
    <row r="193" spans="1:29" ht="15.75" customHeight="1" x14ac:dyDescent="0.25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</row>
    <row r="194" spans="1:29" ht="15.75" customHeight="1" x14ac:dyDescent="0.25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</row>
    <row r="195" spans="1:29" ht="15.75" customHeight="1" x14ac:dyDescent="0.25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</row>
    <row r="196" spans="1:29" ht="15.75" customHeight="1" x14ac:dyDescent="0.25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</row>
    <row r="197" spans="1:29" ht="15.75" customHeight="1" x14ac:dyDescent="0.25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</row>
    <row r="198" spans="1:29" ht="15.75" customHeight="1" x14ac:dyDescent="0.25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</row>
    <row r="199" spans="1:29" ht="15.75" customHeight="1" x14ac:dyDescent="0.25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</row>
    <row r="200" spans="1:29" ht="15.75" customHeight="1" x14ac:dyDescent="0.25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</row>
    <row r="201" spans="1:29" ht="15.75" customHeight="1" x14ac:dyDescent="0.25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</row>
    <row r="202" spans="1:29" ht="15.75" customHeight="1" x14ac:dyDescent="0.25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</row>
    <row r="203" spans="1:29" ht="15.75" customHeight="1" x14ac:dyDescent="0.25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</row>
    <row r="204" spans="1:29" ht="15.75" customHeight="1" x14ac:dyDescent="0.25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</row>
    <row r="205" spans="1:29" ht="15.75" customHeight="1" x14ac:dyDescent="0.25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  <c r="AC205" s="181"/>
    </row>
    <row r="206" spans="1:29" ht="15.75" customHeight="1" x14ac:dyDescent="0.25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  <c r="AC206" s="181"/>
    </row>
    <row r="207" spans="1:29" ht="15.75" customHeight="1" x14ac:dyDescent="0.25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  <c r="AC207" s="181"/>
    </row>
    <row r="208" spans="1:29" ht="15.75" customHeight="1" x14ac:dyDescent="0.25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  <c r="AC208" s="181"/>
    </row>
    <row r="209" spans="1:29" ht="15.75" customHeight="1" x14ac:dyDescent="0.25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  <c r="AC209" s="181"/>
    </row>
    <row r="210" spans="1:29" ht="15.75" customHeight="1" x14ac:dyDescent="0.25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  <c r="AC210" s="181"/>
    </row>
    <row r="211" spans="1:29" ht="15.75" customHeight="1" x14ac:dyDescent="0.25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  <c r="AC211" s="181"/>
    </row>
    <row r="212" spans="1:29" ht="15.75" customHeight="1" x14ac:dyDescent="0.25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</row>
    <row r="213" spans="1:29" ht="15.75" customHeight="1" x14ac:dyDescent="0.25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</row>
    <row r="214" spans="1:29" ht="15.75" customHeight="1" x14ac:dyDescent="0.25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</row>
    <row r="215" spans="1:29" ht="15.75" customHeight="1" x14ac:dyDescent="0.25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</row>
    <row r="216" spans="1:29" ht="15.75" customHeight="1" x14ac:dyDescent="0.25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</row>
    <row r="217" spans="1:29" ht="15.75" customHeight="1" x14ac:dyDescent="0.25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</row>
    <row r="218" spans="1:29" ht="15.75" customHeight="1" x14ac:dyDescent="0.25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</row>
    <row r="219" spans="1:29" ht="15.75" customHeight="1" x14ac:dyDescent="0.25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</row>
    <row r="220" spans="1:29" ht="15.75" customHeight="1" x14ac:dyDescent="0.25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</row>
    <row r="221" spans="1:29" ht="15.75" customHeight="1" x14ac:dyDescent="0.25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</row>
    <row r="222" spans="1:29" ht="15.75" customHeight="1" x14ac:dyDescent="0.25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</row>
    <row r="223" spans="1:29" ht="15.75" customHeight="1" x14ac:dyDescent="0.25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</row>
    <row r="224" spans="1:29" ht="15.75" customHeight="1" x14ac:dyDescent="0.25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</row>
    <row r="225" spans="1:29" ht="15.75" customHeight="1" x14ac:dyDescent="0.25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</row>
    <row r="226" spans="1:29" ht="15.75" customHeight="1" x14ac:dyDescent="0.25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</row>
    <row r="227" spans="1:29" ht="15.75" customHeight="1" x14ac:dyDescent="0.25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</row>
    <row r="228" spans="1:29" ht="15.75" customHeight="1" x14ac:dyDescent="0.25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  <c r="AC228" s="181"/>
    </row>
    <row r="229" spans="1:29" ht="15.75" customHeight="1" x14ac:dyDescent="0.25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  <c r="AC229" s="181"/>
    </row>
    <row r="230" spans="1:29" ht="15.75" customHeight="1" x14ac:dyDescent="0.25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  <c r="AC230" s="181"/>
    </row>
    <row r="231" spans="1:29" ht="15.75" customHeight="1" x14ac:dyDescent="0.25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  <c r="AC231" s="181"/>
    </row>
    <row r="232" spans="1:29" ht="15.75" customHeight="1" x14ac:dyDescent="0.25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  <c r="AC232" s="181"/>
    </row>
    <row r="233" spans="1:29" ht="15.75" customHeight="1" x14ac:dyDescent="0.25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  <c r="AC233" s="181"/>
    </row>
    <row r="234" spans="1:29" ht="15.75" customHeight="1" x14ac:dyDescent="0.25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  <c r="AC234" s="181"/>
    </row>
    <row r="235" spans="1:29" ht="15.75" customHeight="1" x14ac:dyDescent="0.25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</row>
    <row r="236" spans="1:29" ht="15.75" customHeight="1" x14ac:dyDescent="0.25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</row>
    <row r="237" spans="1:29" ht="15.75" customHeight="1" x14ac:dyDescent="0.25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</row>
    <row r="238" spans="1:29" ht="15.75" customHeight="1" x14ac:dyDescent="0.25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</row>
    <row r="239" spans="1:29" ht="15.75" customHeight="1" x14ac:dyDescent="0.25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</row>
    <row r="240" spans="1:29" ht="15.75" customHeight="1" x14ac:dyDescent="0.25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</row>
    <row r="241" spans="1:29" ht="15.75" customHeight="1" x14ac:dyDescent="0.25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</row>
    <row r="242" spans="1:29" ht="15.75" customHeight="1" x14ac:dyDescent="0.25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</row>
    <row r="243" spans="1:29" ht="15.75" customHeight="1" x14ac:dyDescent="0.25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</row>
    <row r="244" spans="1:29" ht="15.75" customHeight="1" x14ac:dyDescent="0.25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</row>
    <row r="245" spans="1:29" ht="15.75" customHeight="1" x14ac:dyDescent="0.25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</row>
    <row r="246" spans="1:29" ht="15.75" customHeight="1" x14ac:dyDescent="0.25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</row>
    <row r="247" spans="1:29" ht="15.75" customHeight="1" x14ac:dyDescent="0.25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</row>
    <row r="248" spans="1:29" ht="15.75" customHeight="1" x14ac:dyDescent="0.25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</row>
    <row r="249" spans="1:29" ht="15.75" customHeight="1" x14ac:dyDescent="0.25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</row>
    <row r="250" spans="1:29" ht="15.75" customHeight="1" x14ac:dyDescent="0.25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</row>
    <row r="251" spans="1:29" ht="15.75" customHeight="1" x14ac:dyDescent="0.25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  <c r="AC251" s="181"/>
    </row>
    <row r="252" spans="1:29" ht="15.75" customHeight="1" x14ac:dyDescent="0.25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  <c r="AC252" s="181"/>
    </row>
    <row r="253" spans="1:29" ht="15.75" customHeight="1" x14ac:dyDescent="0.25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  <c r="AC253" s="181"/>
    </row>
    <row r="254" spans="1:29" ht="15.75" customHeight="1" x14ac:dyDescent="0.25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  <c r="AC254" s="181"/>
    </row>
    <row r="255" spans="1:29" ht="15.75" customHeight="1" x14ac:dyDescent="0.25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  <c r="AC255" s="181"/>
    </row>
    <row r="256" spans="1:29" ht="15.75" customHeight="1" x14ac:dyDescent="0.25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  <c r="AC256" s="181"/>
    </row>
    <row r="257" spans="1:29" ht="15.75" customHeight="1" x14ac:dyDescent="0.25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  <c r="AC257" s="181"/>
    </row>
    <row r="258" spans="1:29" ht="15.75" customHeight="1" x14ac:dyDescent="0.25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</row>
    <row r="259" spans="1:29" ht="15.75" customHeight="1" x14ac:dyDescent="0.25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</row>
    <row r="260" spans="1:29" ht="15.75" customHeight="1" x14ac:dyDescent="0.25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</row>
    <row r="261" spans="1:29" ht="15.75" customHeight="1" x14ac:dyDescent="0.25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</row>
    <row r="262" spans="1:29" ht="15.75" customHeight="1" x14ac:dyDescent="0.25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</row>
    <row r="263" spans="1:29" ht="15.75" customHeight="1" x14ac:dyDescent="0.25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</row>
    <row r="264" spans="1:29" ht="15.75" customHeight="1" x14ac:dyDescent="0.25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</row>
    <row r="265" spans="1:29" ht="15.75" customHeight="1" x14ac:dyDescent="0.25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</row>
    <row r="266" spans="1:29" ht="15.75" customHeight="1" x14ac:dyDescent="0.25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</row>
    <row r="267" spans="1:29" ht="15.75" customHeight="1" x14ac:dyDescent="0.25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</row>
    <row r="268" spans="1:29" ht="15.75" customHeight="1" x14ac:dyDescent="0.25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</row>
    <row r="269" spans="1:29" ht="15.75" customHeight="1" x14ac:dyDescent="0.25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</row>
    <row r="270" spans="1:29" ht="15.75" customHeight="1" x14ac:dyDescent="0.25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</row>
    <row r="271" spans="1:29" ht="15.75" customHeight="1" x14ac:dyDescent="0.25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</row>
    <row r="272" spans="1:29" ht="15.75" customHeight="1" x14ac:dyDescent="0.25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</row>
    <row r="273" spans="1:29" ht="15.75" customHeight="1" x14ac:dyDescent="0.25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</row>
    <row r="274" spans="1:29" ht="15.75" customHeight="1" x14ac:dyDescent="0.25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  <c r="AC274" s="181"/>
    </row>
    <row r="275" spans="1:29" ht="15.75" customHeight="1" x14ac:dyDescent="0.25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  <c r="AC275" s="181"/>
    </row>
    <row r="276" spans="1:29" ht="15.75" customHeight="1" x14ac:dyDescent="0.25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  <c r="AC276" s="181"/>
    </row>
    <row r="277" spans="1:29" ht="15.75" customHeight="1" x14ac:dyDescent="0.25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  <c r="AC277" s="181"/>
    </row>
    <row r="278" spans="1:29" ht="15.75" customHeight="1" x14ac:dyDescent="0.25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  <c r="AC278" s="181"/>
    </row>
    <row r="279" spans="1:29" ht="15.75" customHeight="1" x14ac:dyDescent="0.25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  <c r="AC279" s="181"/>
    </row>
    <row r="280" spans="1:29" ht="15.75" customHeight="1" x14ac:dyDescent="0.25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  <c r="AC280" s="181"/>
    </row>
    <row r="281" spans="1:29" ht="15.75" customHeight="1" x14ac:dyDescent="0.25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</row>
    <row r="282" spans="1:29" ht="15.75" customHeight="1" x14ac:dyDescent="0.25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</row>
    <row r="283" spans="1:29" ht="15.75" customHeight="1" x14ac:dyDescent="0.25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</row>
    <row r="284" spans="1:29" ht="15.75" customHeight="1" x14ac:dyDescent="0.25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</row>
    <row r="285" spans="1:29" ht="15.75" customHeight="1" x14ac:dyDescent="0.25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</row>
    <row r="286" spans="1:29" ht="15.75" customHeight="1" x14ac:dyDescent="0.25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</row>
    <row r="287" spans="1:29" ht="15.75" customHeight="1" x14ac:dyDescent="0.25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</row>
    <row r="288" spans="1:29" ht="15.75" customHeight="1" x14ac:dyDescent="0.25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</row>
    <row r="289" spans="1:29" ht="15.75" customHeight="1" x14ac:dyDescent="0.25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</row>
    <row r="290" spans="1:29" ht="15.75" customHeight="1" x14ac:dyDescent="0.25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</row>
    <row r="291" spans="1:29" ht="15.75" customHeight="1" x14ac:dyDescent="0.25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</row>
    <row r="292" spans="1:29" ht="15.75" customHeight="1" x14ac:dyDescent="0.25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</row>
    <row r="293" spans="1:29" ht="15.75" customHeight="1" x14ac:dyDescent="0.25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</row>
    <row r="294" spans="1:29" ht="15.75" customHeight="1" x14ac:dyDescent="0.25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</row>
    <row r="295" spans="1:29" ht="15.75" customHeight="1" x14ac:dyDescent="0.25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</row>
    <row r="296" spans="1:29" ht="15.75" customHeight="1" x14ac:dyDescent="0.25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</row>
    <row r="297" spans="1:29" ht="15.75" customHeight="1" x14ac:dyDescent="0.25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  <c r="AC297" s="181"/>
    </row>
    <row r="298" spans="1:29" ht="15.75" customHeight="1" x14ac:dyDescent="0.25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  <c r="AC298" s="181"/>
    </row>
    <row r="299" spans="1:29" ht="15.75" customHeight="1" x14ac:dyDescent="0.25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  <c r="AC299" s="181"/>
    </row>
    <row r="300" spans="1:29" ht="15.75" customHeight="1" x14ac:dyDescent="0.25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  <c r="AC300" s="181"/>
    </row>
    <row r="301" spans="1:29" ht="15.75" customHeight="1" x14ac:dyDescent="0.25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  <c r="AC301" s="181"/>
    </row>
    <row r="302" spans="1:29" ht="15.75" customHeight="1" x14ac:dyDescent="0.25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  <c r="AC302" s="181"/>
    </row>
    <row r="303" spans="1:29" ht="15.75" customHeight="1" x14ac:dyDescent="0.25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  <c r="AC303" s="181"/>
    </row>
    <row r="304" spans="1:29" ht="15.75" customHeight="1" x14ac:dyDescent="0.25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</row>
    <row r="305" spans="1:29" ht="15.75" customHeight="1" x14ac:dyDescent="0.25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</row>
    <row r="306" spans="1:29" ht="15.75" customHeight="1" x14ac:dyDescent="0.25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</row>
    <row r="307" spans="1:29" ht="15.75" customHeight="1" x14ac:dyDescent="0.25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</row>
    <row r="308" spans="1:29" ht="15.75" customHeight="1" x14ac:dyDescent="0.25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</row>
    <row r="309" spans="1:29" ht="15.75" customHeight="1" x14ac:dyDescent="0.25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</row>
    <row r="310" spans="1:29" ht="15.75" customHeight="1" x14ac:dyDescent="0.25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</row>
    <row r="311" spans="1:29" ht="15.75" customHeight="1" x14ac:dyDescent="0.25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</row>
    <row r="312" spans="1:29" ht="15.75" customHeight="1" x14ac:dyDescent="0.25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</row>
    <row r="313" spans="1:29" ht="15.75" customHeight="1" x14ac:dyDescent="0.25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</row>
    <row r="314" spans="1:29" ht="15.75" customHeight="1" x14ac:dyDescent="0.25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</row>
    <row r="315" spans="1:29" ht="15.75" customHeight="1" x14ac:dyDescent="0.25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</row>
    <row r="316" spans="1:29" ht="15.75" customHeight="1" x14ac:dyDescent="0.25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</row>
    <row r="317" spans="1:29" ht="15.75" customHeight="1" x14ac:dyDescent="0.25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</row>
    <row r="318" spans="1:29" ht="15.75" customHeight="1" x14ac:dyDescent="0.25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</row>
    <row r="319" spans="1:29" ht="15.75" customHeight="1" x14ac:dyDescent="0.25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</row>
    <row r="320" spans="1:29" ht="15.75" customHeight="1" x14ac:dyDescent="0.25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  <c r="AC320" s="181"/>
    </row>
    <row r="321" spans="1:29" ht="15.75" customHeight="1" x14ac:dyDescent="0.25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  <c r="AC321" s="181"/>
    </row>
    <row r="322" spans="1:29" ht="15.75" customHeight="1" x14ac:dyDescent="0.25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  <c r="AC322" s="181"/>
    </row>
    <row r="323" spans="1:29" ht="15.75" customHeight="1" x14ac:dyDescent="0.25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  <c r="AC323" s="181"/>
    </row>
    <row r="324" spans="1:29" ht="15.75" customHeight="1" x14ac:dyDescent="0.25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  <c r="AC324" s="181"/>
    </row>
    <row r="325" spans="1:29" ht="15.75" customHeight="1" x14ac:dyDescent="0.25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  <c r="AC325" s="181"/>
    </row>
    <row r="326" spans="1:29" ht="15.75" customHeight="1" x14ac:dyDescent="0.25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  <c r="AC326" s="181"/>
    </row>
    <row r="327" spans="1:29" ht="15.75" customHeight="1" x14ac:dyDescent="0.25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</row>
    <row r="328" spans="1:29" ht="15.75" customHeight="1" x14ac:dyDescent="0.25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</row>
    <row r="329" spans="1:29" ht="15.75" customHeight="1" x14ac:dyDescent="0.25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</row>
    <row r="330" spans="1:29" ht="15.75" customHeight="1" x14ac:dyDescent="0.25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</row>
    <row r="331" spans="1:29" ht="15.75" customHeight="1" x14ac:dyDescent="0.25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</row>
    <row r="332" spans="1:29" ht="15.75" customHeight="1" x14ac:dyDescent="0.25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</row>
    <row r="333" spans="1:29" ht="15.75" customHeight="1" x14ac:dyDescent="0.25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</row>
    <row r="334" spans="1:29" ht="15.75" customHeight="1" x14ac:dyDescent="0.25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</row>
    <row r="335" spans="1:29" ht="15.75" customHeight="1" x14ac:dyDescent="0.25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</row>
    <row r="336" spans="1:29" ht="15.75" customHeight="1" x14ac:dyDescent="0.25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</row>
    <row r="337" spans="1:29" ht="15.75" customHeight="1" x14ac:dyDescent="0.25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</row>
    <row r="338" spans="1:29" ht="15.75" customHeight="1" x14ac:dyDescent="0.2"/>
    <row r="339" spans="1:29" ht="15.75" customHeight="1" x14ac:dyDescent="0.2"/>
    <row r="340" spans="1:29" ht="15.75" customHeight="1" x14ac:dyDescent="0.2"/>
    <row r="341" spans="1:29" ht="15.75" customHeight="1" x14ac:dyDescent="0.2"/>
    <row r="342" spans="1:29" ht="15.75" customHeight="1" x14ac:dyDescent="0.2"/>
    <row r="343" spans="1:29" ht="15.75" customHeight="1" x14ac:dyDescent="0.2"/>
    <row r="344" spans="1:29" ht="15.75" customHeight="1" x14ac:dyDescent="0.2"/>
    <row r="345" spans="1:29" ht="15.75" customHeight="1" x14ac:dyDescent="0.2"/>
    <row r="346" spans="1:29" ht="15.75" customHeight="1" x14ac:dyDescent="0.2"/>
    <row r="347" spans="1:29" ht="15.75" customHeight="1" x14ac:dyDescent="0.2"/>
    <row r="348" spans="1:29" ht="15.75" customHeight="1" x14ac:dyDescent="0.2"/>
    <row r="349" spans="1:29" ht="15.75" customHeight="1" x14ac:dyDescent="0.2"/>
    <row r="350" spans="1:29" ht="15.75" customHeight="1" x14ac:dyDescent="0.2"/>
    <row r="351" spans="1:29" ht="15.75" customHeight="1" x14ac:dyDescent="0.2"/>
    <row r="352" spans="1:29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B53:C53"/>
    <mergeCell ref="B73:C73"/>
    <mergeCell ref="B4:B5"/>
    <mergeCell ref="C4:C5"/>
    <mergeCell ref="D4:I4"/>
    <mergeCell ref="J4:O4"/>
    <mergeCell ref="B28:C28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C1000"/>
  <sheetViews>
    <sheetView workbookViewId="0">
      <pane xSplit="3" ySplit="5" topLeftCell="D112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2.5703125" defaultRowHeight="15" customHeight="1" x14ac:dyDescent="0.2"/>
  <cols>
    <col min="1" max="1" width="5.5703125" customWidth="1"/>
    <col min="2" max="2" width="9.7109375" customWidth="1"/>
    <col min="3" max="3" width="35.85546875" customWidth="1"/>
    <col min="4" max="4" width="13.85546875" customWidth="1"/>
    <col min="5" max="6" width="12.5703125" hidden="1" customWidth="1"/>
    <col min="7" max="9" width="12.5703125" hidden="1"/>
    <col min="10" max="10" width="13.85546875" customWidth="1"/>
    <col min="11" max="12" width="12.5703125" hidden="1" customWidth="1"/>
    <col min="13" max="15" width="12.5703125" hidden="1"/>
    <col min="16" max="29" width="12.5703125" customWidth="1"/>
  </cols>
  <sheetData>
    <row r="1" spans="1:29" ht="15.75" customHeight="1" x14ac:dyDescent="0.25">
      <c r="A1" s="244"/>
      <c r="B1" s="245" t="s">
        <v>0</v>
      </c>
      <c r="C1" s="244"/>
      <c r="D1" s="303"/>
      <c r="E1" s="179"/>
      <c r="F1" s="244"/>
      <c r="G1" s="244"/>
      <c r="H1" s="244"/>
      <c r="I1" s="244"/>
      <c r="J1" s="303"/>
      <c r="K1" s="179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</row>
    <row r="2" spans="1:29" ht="15.75" customHeight="1" x14ac:dyDescent="0.25">
      <c r="A2" s="244"/>
      <c r="B2" s="246" t="s">
        <v>359</v>
      </c>
      <c r="C2" s="244"/>
      <c r="D2" s="303"/>
      <c r="E2" s="179"/>
      <c r="F2" s="244"/>
      <c r="G2" s="244"/>
      <c r="H2" s="244"/>
      <c r="I2" s="244"/>
      <c r="J2" s="303"/>
      <c r="K2" s="179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</row>
    <row r="3" spans="1:29" ht="15.75" customHeight="1" x14ac:dyDescent="0.25">
      <c r="A3" s="244"/>
      <c r="B3" s="244"/>
      <c r="C3" s="244"/>
      <c r="D3" s="303"/>
      <c r="E3" s="179"/>
      <c r="F3" s="244"/>
      <c r="G3" s="244"/>
      <c r="H3" s="244"/>
      <c r="I3" s="244"/>
      <c r="J3" s="303"/>
      <c r="K3" s="179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</row>
    <row r="4" spans="1:29" ht="15.75" customHeight="1" x14ac:dyDescent="0.25">
      <c r="A4" s="244"/>
      <c r="B4" s="990" t="s">
        <v>167</v>
      </c>
      <c r="C4" s="990" t="s">
        <v>46</v>
      </c>
      <c r="D4" s="965" t="s">
        <v>168</v>
      </c>
      <c r="E4" s="930"/>
      <c r="F4" s="930"/>
      <c r="G4" s="930"/>
      <c r="H4" s="930"/>
      <c r="I4" s="931"/>
      <c r="J4" s="965" t="s">
        <v>169</v>
      </c>
      <c r="K4" s="930"/>
      <c r="L4" s="930"/>
      <c r="M4" s="930"/>
      <c r="N4" s="930"/>
      <c r="O4" s="931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5"/>
    </row>
    <row r="5" spans="1:29" ht="15.75" customHeight="1" x14ac:dyDescent="0.2">
      <c r="A5" s="306"/>
      <c r="B5" s="937"/>
      <c r="C5" s="937"/>
      <c r="D5" s="825" t="s">
        <v>170</v>
      </c>
      <c r="E5" s="514" t="s">
        <v>18</v>
      </c>
      <c r="F5" s="514" t="s">
        <v>171</v>
      </c>
      <c r="G5" s="514" t="s">
        <v>18</v>
      </c>
      <c r="H5" s="514" t="s">
        <v>172</v>
      </c>
      <c r="I5" s="514" t="s">
        <v>260</v>
      </c>
      <c r="J5" s="825" t="s">
        <v>170</v>
      </c>
      <c r="K5" s="514" t="s">
        <v>18</v>
      </c>
      <c r="L5" s="514" t="s">
        <v>171</v>
      </c>
      <c r="M5" s="514" t="s">
        <v>18</v>
      </c>
      <c r="N5" s="514" t="s">
        <v>172</v>
      </c>
      <c r="O5" s="514" t="s">
        <v>260</v>
      </c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</row>
    <row r="6" spans="1:29" ht="15.75" hidden="1" customHeight="1" x14ac:dyDescent="0.25">
      <c r="A6" s="244"/>
      <c r="B6" s="372"/>
      <c r="C6" s="560" t="s">
        <v>78</v>
      </c>
      <c r="D6" s="327">
        <v>0</v>
      </c>
      <c r="E6" s="372"/>
      <c r="F6" s="412"/>
      <c r="G6" s="372"/>
      <c r="H6" s="412"/>
      <c r="I6" s="373"/>
      <c r="J6" s="261">
        <v>0</v>
      </c>
      <c r="K6" s="372"/>
      <c r="L6" s="412"/>
      <c r="M6" s="372"/>
      <c r="N6" s="412"/>
      <c r="O6" s="372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</row>
    <row r="7" spans="1:29" ht="15.75" hidden="1" customHeight="1" x14ac:dyDescent="0.25">
      <c r="A7" s="244"/>
      <c r="B7" s="313"/>
      <c r="C7" s="186" t="s">
        <v>85</v>
      </c>
      <c r="D7" s="296">
        <v>0</v>
      </c>
      <c r="E7" s="313"/>
      <c r="F7" s="415"/>
      <c r="G7" s="313"/>
      <c r="H7" s="415"/>
      <c r="I7" s="271"/>
      <c r="J7" s="265">
        <v>0</v>
      </c>
      <c r="K7" s="313"/>
      <c r="L7" s="415"/>
      <c r="M7" s="313"/>
      <c r="N7" s="415"/>
      <c r="O7" s="313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</row>
    <row r="8" spans="1:29" ht="15.75" hidden="1" customHeight="1" x14ac:dyDescent="0.25">
      <c r="A8" s="244"/>
      <c r="B8" s="313"/>
      <c r="C8" s="186" t="s">
        <v>92</v>
      </c>
      <c r="D8" s="296">
        <v>0</v>
      </c>
      <c r="E8" s="313"/>
      <c r="F8" s="415"/>
      <c r="G8" s="313"/>
      <c r="H8" s="415"/>
      <c r="I8" s="271"/>
      <c r="J8" s="265">
        <v>0</v>
      </c>
      <c r="K8" s="313"/>
      <c r="L8" s="415"/>
      <c r="M8" s="313"/>
      <c r="N8" s="415"/>
      <c r="O8" s="313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</row>
    <row r="9" spans="1:29" ht="15.75" hidden="1" customHeight="1" x14ac:dyDescent="0.25">
      <c r="A9" s="244"/>
      <c r="B9" s="313"/>
      <c r="C9" s="186" t="s">
        <v>99</v>
      </c>
      <c r="D9" s="296">
        <v>0</v>
      </c>
      <c r="E9" s="313"/>
      <c r="F9" s="415"/>
      <c r="G9" s="313"/>
      <c r="H9" s="415"/>
      <c r="I9" s="271"/>
      <c r="J9" s="265">
        <v>0</v>
      </c>
      <c r="K9" s="313"/>
      <c r="L9" s="415"/>
      <c r="M9" s="313"/>
      <c r="N9" s="415"/>
      <c r="O9" s="313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</row>
    <row r="10" spans="1:29" ht="15.75" hidden="1" customHeight="1" x14ac:dyDescent="0.25">
      <c r="A10" s="244"/>
      <c r="B10" s="313"/>
      <c r="C10" s="186" t="s">
        <v>106</v>
      </c>
      <c r="D10" s="296">
        <f>SUM(D8:D9)-D29</f>
        <v>-636289</v>
      </c>
      <c r="E10" s="313"/>
      <c r="F10" s="415"/>
      <c r="G10" s="313"/>
      <c r="H10" s="415"/>
      <c r="I10" s="271"/>
      <c r="J10" s="265">
        <f>SUM(J8:J9)-J29</f>
        <v>-600696</v>
      </c>
      <c r="K10" s="313"/>
      <c r="L10" s="415"/>
      <c r="M10" s="313"/>
      <c r="N10" s="415"/>
      <c r="O10" s="313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</row>
    <row r="11" spans="1:29" ht="15.75" hidden="1" customHeight="1" x14ac:dyDescent="0.25">
      <c r="A11" s="244"/>
      <c r="B11" s="313"/>
      <c r="C11" s="186" t="s">
        <v>113</v>
      </c>
      <c r="D11" s="296"/>
      <c r="E11" s="313"/>
      <c r="F11" s="415"/>
      <c r="G11" s="313"/>
      <c r="H11" s="415"/>
      <c r="I11" s="271"/>
      <c r="J11" s="265"/>
      <c r="K11" s="313"/>
      <c r="L11" s="415"/>
      <c r="M11" s="313"/>
      <c r="N11" s="415"/>
      <c r="O11" s="313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</row>
    <row r="12" spans="1:29" ht="15.75" hidden="1" customHeight="1" x14ac:dyDescent="0.25">
      <c r="A12" s="244"/>
      <c r="B12" s="313"/>
      <c r="C12" s="186" t="s">
        <v>120</v>
      </c>
      <c r="D12" s="296"/>
      <c r="E12" s="313"/>
      <c r="F12" s="415"/>
      <c r="G12" s="313"/>
      <c r="H12" s="415"/>
      <c r="I12" s="271"/>
      <c r="J12" s="265"/>
      <c r="K12" s="313"/>
      <c r="L12" s="415"/>
      <c r="M12" s="313"/>
      <c r="N12" s="415"/>
      <c r="O12" s="313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</row>
    <row r="13" spans="1:29" ht="15.75" hidden="1" customHeight="1" x14ac:dyDescent="0.25">
      <c r="A13" s="244"/>
      <c r="B13" s="313"/>
      <c r="C13" s="186"/>
      <c r="D13" s="296"/>
      <c r="E13" s="313"/>
      <c r="F13" s="415"/>
      <c r="G13" s="186"/>
      <c r="H13" s="415"/>
      <c r="I13" s="339"/>
      <c r="J13" s="265"/>
      <c r="K13" s="313"/>
      <c r="L13" s="415"/>
      <c r="M13" s="186"/>
      <c r="N13" s="415"/>
      <c r="O13" s="186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</row>
    <row r="14" spans="1:29" ht="15.75" hidden="1" customHeight="1" x14ac:dyDescent="0.25">
      <c r="A14" s="244"/>
      <c r="B14" s="313"/>
      <c r="C14" s="186"/>
      <c r="D14" s="296"/>
      <c r="E14" s="313"/>
      <c r="F14" s="415"/>
      <c r="G14" s="186"/>
      <c r="H14" s="415"/>
      <c r="I14" s="339"/>
      <c r="J14" s="265"/>
      <c r="K14" s="313"/>
      <c r="L14" s="415"/>
      <c r="M14" s="186"/>
      <c r="N14" s="415"/>
      <c r="O14" s="186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</row>
    <row r="15" spans="1:29" ht="15.75" customHeight="1" x14ac:dyDescent="0.25">
      <c r="A15" s="244"/>
      <c r="B15" s="733" t="s">
        <v>173</v>
      </c>
      <c r="C15" s="826" t="s">
        <v>322</v>
      </c>
      <c r="D15" s="447">
        <f>SUM(D17:D21)</f>
        <v>636289</v>
      </c>
      <c r="E15" s="733"/>
      <c r="F15" s="448"/>
      <c r="G15" s="454"/>
      <c r="H15" s="448"/>
      <c r="I15" s="455"/>
      <c r="J15" s="445">
        <f>SUM(J17:J21)</f>
        <v>600696</v>
      </c>
      <c r="K15" s="313"/>
      <c r="L15" s="415"/>
      <c r="M15" s="186"/>
      <c r="N15" s="415"/>
      <c r="O15" s="186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</row>
    <row r="16" spans="1:29" ht="15.75" customHeight="1" x14ac:dyDescent="0.25">
      <c r="A16" s="244"/>
      <c r="B16" s="313"/>
      <c r="C16" s="186"/>
      <c r="D16" s="266"/>
      <c r="E16" s="417"/>
      <c r="F16" s="415">
        <f>SUM(F17:F21)</f>
        <v>0</v>
      </c>
      <c r="G16" s="186"/>
      <c r="H16" s="415">
        <f>SUM(H17:H21)</f>
        <v>0</v>
      </c>
      <c r="I16" s="339"/>
      <c r="K16" s="313"/>
      <c r="L16" s="415">
        <f>SUM(L17:L21)</f>
        <v>0</v>
      </c>
      <c r="M16" s="186"/>
      <c r="N16" s="415">
        <f>SUM(N17:N21)</f>
        <v>0</v>
      </c>
      <c r="O16" s="18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</row>
    <row r="17" spans="1:29" ht="15.75" customHeight="1" x14ac:dyDescent="0.25">
      <c r="A17" s="244"/>
      <c r="B17" s="313"/>
      <c r="C17" s="186"/>
      <c r="D17" s="296"/>
      <c r="E17" s="313"/>
      <c r="F17" s="415"/>
      <c r="G17" s="186"/>
      <c r="H17" s="415"/>
      <c r="I17" s="339"/>
      <c r="J17" s="265"/>
      <c r="K17" s="313"/>
      <c r="L17" s="415"/>
      <c r="M17" s="186"/>
      <c r="N17" s="415"/>
      <c r="O17" s="186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</row>
    <row r="18" spans="1:29" ht="15.75" customHeight="1" x14ac:dyDescent="0.25">
      <c r="A18" s="244"/>
      <c r="B18" s="313" t="s">
        <v>23</v>
      </c>
      <c r="C18" s="186" t="s">
        <v>175</v>
      </c>
      <c r="D18" s="296"/>
      <c r="E18" s="332"/>
      <c r="F18" s="415"/>
      <c r="G18" s="186"/>
      <c r="H18" s="415"/>
      <c r="I18" s="339"/>
      <c r="J18" s="265"/>
      <c r="K18" s="332"/>
      <c r="L18" s="415"/>
      <c r="M18" s="186"/>
      <c r="N18" s="415"/>
      <c r="O18" s="186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</row>
    <row r="19" spans="1:29" ht="15.75" customHeight="1" x14ac:dyDescent="0.25">
      <c r="A19" s="244"/>
      <c r="B19" s="186"/>
      <c r="C19" s="186" t="s">
        <v>360</v>
      </c>
      <c r="D19" s="482">
        <f>360380+157280</f>
        <v>517660</v>
      </c>
      <c r="E19" s="332"/>
      <c r="F19" s="415"/>
      <c r="G19" s="186"/>
      <c r="H19" s="415"/>
      <c r="I19" s="339"/>
      <c r="J19" s="265">
        <v>507085</v>
      </c>
      <c r="K19" s="332"/>
      <c r="L19" s="415"/>
      <c r="M19" s="186"/>
      <c r="N19" s="415"/>
      <c r="O19" s="186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</row>
    <row r="20" spans="1:29" ht="15.75" customHeight="1" x14ac:dyDescent="0.25">
      <c r="A20" s="244"/>
      <c r="B20" s="312"/>
      <c r="C20" s="186" t="s">
        <v>330</v>
      </c>
      <c r="D20" s="482">
        <v>118629</v>
      </c>
      <c r="E20" s="186"/>
      <c r="F20" s="415"/>
      <c r="G20" s="186"/>
      <c r="H20" s="415"/>
      <c r="I20" s="339"/>
      <c r="J20" s="265">
        <v>93611</v>
      </c>
      <c r="K20" s="186"/>
      <c r="L20" s="415"/>
      <c r="M20" s="186"/>
      <c r="N20" s="415"/>
      <c r="O20" s="186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</row>
    <row r="21" spans="1:29" ht="15.75" customHeight="1" x14ac:dyDescent="0.25">
      <c r="A21" s="244"/>
      <c r="B21" s="186"/>
      <c r="C21" s="186" t="s">
        <v>179</v>
      </c>
      <c r="D21" s="296"/>
      <c r="E21" s="186"/>
      <c r="F21" s="415"/>
      <c r="G21" s="186"/>
      <c r="H21" s="415"/>
      <c r="I21" s="339"/>
      <c r="J21" s="265"/>
      <c r="K21" s="186"/>
      <c r="L21" s="415"/>
      <c r="M21" s="186"/>
      <c r="N21" s="415"/>
      <c r="O21" s="186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</row>
    <row r="22" spans="1:29" ht="15.75" customHeight="1" x14ac:dyDescent="0.25">
      <c r="A22" s="244"/>
      <c r="B22" s="186"/>
      <c r="C22" s="186"/>
      <c r="D22" s="296"/>
      <c r="E22" s="313"/>
      <c r="F22" s="415"/>
      <c r="G22" s="186"/>
      <c r="H22" s="415"/>
      <c r="I22" s="339"/>
      <c r="J22" s="265"/>
      <c r="K22" s="313"/>
      <c r="L22" s="415"/>
      <c r="M22" s="186"/>
      <c r="N22" s="415"/>
      <c r="O22" s="186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</row>
    <row r="23" spans="1:29" ht="15.75" customHeight="1" x14ac:dyDescent="0.25">
      <c r="A23" s="244"/>
      <c r="B23" s="313"/>
      <c r="C23" s="186"/>
      <c r="D23" s="296"/>
      <c r="E23" s="313"/>
      <c r="F23" s="415"/>
      <c r="G23" s="186"/>
      <c r="H23" s="415"/>
      <c r="I23" s="339"/>
      <c r="J23" s="265"/>
      <c r="K23" s="313"/>
      <c r="L23" s="415"/>
      <c r="M23" s="186"/>
      <c r="N23" s="415"/>
      <c r="O23" s="186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</row>
    <row r="24" spans="1:29" ht="15.75" customHeight="1" x14ac:dyDescent="0.25">
      <c r="A24" s="244"/>
      <c r="B24" s="313" t="s">
        <v>21</v>
      </c>
      <c r="C24" s="186" t="s">
        <v>21</v>
      </c>
      <c r="D24" s="296"/>
      <c r="E24" s="313"/>
      <c r="F24" s="415"/>
      <c r="G24" s="186"/>
      <c r="H24" s="415"/>
      <c r="I24" s="339"/>
      <c r="J24" s="265"/>
      <c r="K24" s="313"/>
      <c r="L24" s="415"/>
      <c r="M24" s="186"/>
      <c r="N24" s="415"/>
      <c r="O24" s="186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</row>
    <row r="25" spans="1:29" ht="15.75" customHeight="1" x14ac:dyDescent="0.25">
      <c r="A25" s="244"/>
      <c r="B25" s="313" t="s">
        <v>22</v>
      </c>
      <c r="C25" s="186" t="s">
        <v>22</v>
      </c>
      <c r="D25" s="296"/>
      <c r="E25" s="313"/>
      <c r="F25" s="415"/>
      <c r="G25" s="186"/>
      <c r="H25" s="415"/>
      <c r="I25" s="339"/>
      <c r="J25" s="265"/>
      <c r="K25" s="313"/>
      <c r="L25" s="415"/>
      <c r="M25" s="186"/>
      <c r="N25" s="415"/>
      <c r="O25" s="186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</row>
    <row r="26" spans="1:29" ht="15.75" customHeight="1" x14ac:dyDescent="0.25">
      <c r="A26" s="244"/>
      <c r="B26" s="313" t="s">
        <v>23</v>
      </c>
      <c r="C26" s="186" t="s">
        <v>180</v>
      </c>
      <c r="D26" s="268">
        <f>SUM(D17:D22)</f>
        <v>636289</v>
      </c>
      <c r="E26" s="313"/>
      <c r="F26" s="420"/>
      <c r="G26" s="186"/>
      <c r="H26" s="420"/>
      <c r="I26" s="339"/>
      <c r="J26" s="268">
        <f>SUM(J17:J22)</f>
        <v>600696</v>
      </c>
      <c r="K26" s="313"/>
      <c r="L26" s="420"/>
      <c r="M26" s="186"/>
      <c r="N26" s="420"/>
      <c r="O26" s="186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  <c r="AC26" s="244"/>
    </row>
    <row r="27" spans="1:29" ht="15.75" customHeight="1" x14ac:dyDescent="0.25">
      <c r="A27" s="244"/>
      <c r="B27" s="186"/>
      <c r="C27" s="186"/>
      <c r="D27" s="296"/>
      <c r="E27" s="313"/>
      <c r="F27" s="313"/>
      <c r="G27" s="186"/>
      <c r="H27" s="186"/>
      <c r="I27" s="339"/>
      <c r="J27" s="265"/>
      <c r="K27" s="313"/>
      <c r="L27" s="313"/>
      <c r="M27" s="186"/>
      <c r="N27" s="186"/>
      <c r="O27" s="186"/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244"/>
      <c r="AC27" s="244"/>
    </row>
    <row r="28" spans="1:29" ht="15.75" customHeight="1" x14ac:dyDescent="0.25">
      <c r="A28" s="244"/>
      <c r="B28" s="186"/>
      <c r="C28" s="186" t="s">
        <v>181</v>
      </c>
      <c r="D28" s="296"/>
      <c r="E28" s="313"/>
      <c r="F28" s="313"/>
      <c r="G28" s="186"/>
      <c r="H28" s="186"/>
      <c r="I28" s="339"/>
      <c r="J28" s="265"/>
      <c r="K28" s="313"/>
      <c r="L28" s="313"/>
      <c r="M28" s="186"/>
      <c r="N28" s="186"/>
      <c r="O28" s="186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</row>
    <row r="29" spans="1:29" ht="15.75" customHeight="1" x14ac:dyDescent="0.25">
      <c r="A29" s="244"/>
      <c r="B29" s="454"/>
      <c r="C29" s="454" t="s">
        <v>182</v>
      </c>
      <c r="D29" s="447">
        <f>D24+D25+D26+D28</f>
        <v>636289</v>
      </c>
      <c r="E29" s="733"/>
      <c r="F29" s="448">
        <f>F24+F25+F26+F28</f>
        <v>0</v>
      </c>
      <c r="G29" s="454"/>
      <c r="H29" s="448">
        <f>H24+H25+H26+H28</f>
        <v>0</v>
      </c>
      <c r="I29" s="455"/>
      <c r="J29" s="445">
        <f>J24+J25+J26+J28</f>
        <v>600696</v>
      </c>
      <c r="K29" s="733"/>
      <c r="L29" s="448">
        <f>L24+L25+L26+L28</f>
        <v>0</v>
      </c>
      <c r="M29" s="454"/>
      <c r="N29" s="448">
        <f>N24+N25+N26+N28</f>
        <v>0</v>
      </c>
      <c r="O29" s="454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</row>
    <row r="30" spans="1:29" ht="15.75" customHeight="1" x14ac:dyDescent="0.25">
      <c r="A30" s="244"/>
      <c r="B30" s="313"/>
      <c r="C30" s="313"/>
      <c r="D30" s="296"/>
      <c r="E30" s="313"/>
      <c r="F30" s="186"/>
      <c r="G30" s="186"/>
      <c r="H30" s="186"/>
      <c r="I30" s="339"/>
      <c r="J30" s="265"/>
      <c r="K30" s="313"/>
      <c r="L30" s="186"/>
      <c r="M30" s="186"/>
      <c r="N30" s="186"/>
      <c r="O30" s="186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  <c r="AC30" s="244"/>
    </row>
    <row r="31" spans="1:29" ht="15.75" customHeight="1" x14ac:dyDescent="0.25">
      <c r="A31" s="244"/>
      <c r="B31" s="827" t="s">
        <v>186</v>
      </c>
      <c r="C31" s="828"/>
      <c r="D31" s="296"/>
      <c r="E31" s="313"/>
      <c r="F31" s="186"/>
      <c r="G31" s="186"/>
      <c r="H31" s="186"/>
      <c r="I31" s="339"/>
      <c r="J31" s="265"/>
      <c r="K31" s="313"/>
      <c r="L31" s="186"/>
      <c r="M31" s="186"/>
      <c r="N31" s="186"/>
      <c r="O31" s="186"/>
      <c r="P31" s="244"/>
      <c r="Q31" s="244"/>
      <c r="R31" s="244"/>
      <c r="S31" s="244"/>
      <c r="T31" s="244"/>
      <c r="U31" s="244"/>
      <c r="V31" s="244"/>
      <c r="W31" s="244"/>
      <c r="X31" s="244"/>
      <c r="Y31" s="244"/>
      <c r="Z31" s="244"/>
      <c r="AA31" s="244"/>
      <c r="AB31" s="244"/>
      <c r="AC31" s="244"/>
    </row>
    <row r="32" spans="1:29" ht="15.75" customHeight="1" x14ac:dyDescent="0.25">
      <c r="A32" s="244"/>
      <c r="B32" s="313" t="s">
        <v>28</v>
      </c>
      <c r="C32" s="186"/>
      <c r="D32" s="296"/>
      <c r="E32" s="313"/>
      <c r="F32" s="186"/>
      <c r="G32" s="186"/>
      <c r="H32" s="186"/>
      <c r="I32" s="339"/>
      <c r="J32" s="265"/>
      <c r="K32" s="313"/>
      <c r="L32" s="186"/>
      <c r="M32" s="186"/>
      <c r="N32" s="186"/>
      <c r="O32" s="186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</row>
    <row r="33" spans="1:29" ht="15.75" customHeight="1" x14ac:dyDescent="0.25">
      <c r="A33" s="244"/>
      <c r="B33" s="186"/>
      <c r="C33" s="829" t="s">
        <v>187</v>
      </c>
      <c r="D33" s="296"/>
      <c r="E33" s="313"/>
      <c r="F33" s="186"/>
      <c r="G33" s="186"/>
      <c r="H33" s="186"/>
      <c r="I33" s="339"/>
      <c r="J33" s="265"/>
      <c r="K33" s="313"/>
      <c r="L33" s="186"/>
      <c r="M33" s="186"/>
      <c r="N33" s="186"/>
      <c r="O33" s="186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  <c r="AC33" s="244"/>
    </row>
    <row r="34" spans="1:29" ht="15.75" customHeight="1" x14ac:dyDescent="0.25">
      <c r="A34" s="244"/>
      <c r="B34" s="186"/>
      <c r="C34" s="186" t="s">
        <v>188</v>
      </c>
      <c r="D34" s="296">
        <v>0</v>
      </c>
      <c r="E34" s="332"/>
      <c r="F34" s="186"/>
      <c r="G34" s="186"/>
      <c r="H34" s="415"/>
      <c r="I34" s="339"/>
      <c r="J34" s="265">
        <v>0</v>
      </c>
      <c r="K34" s="332"/>
      <c r="L34" s="186"/>
      <c r="M34" s="186"/>
      <c r="N34" s="415"/>
      <c r="O34" s="186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</row>
    <row r="35" spans="1:29" ht="15.75" customHeight="1" x14ac:dyDescent="0.25">
      <c r="A35" s="244"/>
      <c r="B35" s="186"/>
      <c r="C35" s="186" t="s">
        <v>189</v>
      </c>
      <c r="D35" s="296">
        <v>143343.66088220209</v>
      </c>
      <c r="E35" s="313"/>
      <c r="F35" s="186"/>
      <c r="G35" s="186"/>
      <c r="H35" s="415"/>
      <c r="I35" s="339"/>
      <c r="J35" s="265">
        <v>209887.7</v>
      </c>
      <c r="K35" s="313"/>
      <c r="L35" s="186"/>
      <c r="M35" s="186"/>
      <c r="N35" s="415"/>
      <c r="O35" s="186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</row>
    <row r="36" spans="1:29" ht="15.75" customHeight="1" x14ac:dyDescent="0.25">
      <c r="A36" s="244"/>
      <c r="B36" s="186"/>
      <c r="C36" s="186" t="s">
        <v>21</v>
      </c>
      <c r="D36" s="296">
        <v>0</v>
      </c>
      <c r="E36" s="313"/>
      <c r="F36" s="186"/>
      <c r="G36" s="186"/>
      <c r="H36" s="415"/>
      <c r="I36" s="339"/>
      <c r="J36" s="265">
        <v>3174.88</v>
      </c>
      <c r="K36" s="313"/>
      <c r="L36" s="186"/>
      <c r="M36" s="186"/>
      <c r="N36" s="415"/>
      <c r="O36" s="186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244"/>
    </row>
    <row r="37" spans="1:29" ht="15.75" customHeight="1" x14ac:dyDescent="0.25">
      <c r="A37" s="244"/>
      <c r="B37" s="186"/>
      <c r="C37" s="186" t="s">
        <v>22</v>
      </c>
      <c r="D37" s="296">
        <v>0</v>
      </c>
      <c r="E37" s="313"/>
      <c r="F37" s="186"/>
      <c r="G37" s="186"/>
      <c r="H37" s="415"/>
      <c r="I37" s="339"/>
      <c r="J37" s="265">
        <v>0</v>
      </c>
      <c r="K37" s="313"/>
      <c r="L37" s="186"/>
      <c r="M37" s="186"/>
      <c r="N37" s="415"/>
      <c r="O37" s="186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</row>
    <row r="38" spans="1:29" ht="15.75" customHeight="1" x14ac:dyDescent="0.25">
      <c r="A38" s="244"/>
      <c r="B38" s="186"/>
      <c r="C38" s="186" t="s">
        <v>190</v>
      </c>
      <c r="D38" s="296"/>
      <c r="E38" s="313"/>
      <c r="F38" s="186"/>
      <c r="G38" s="186"/>
      <c r="H38" s="415"/>
      <c r="I38" s="339"/>
      <c r="J38" s="265"/>
      <c r="K38" s="313"/>
      <c r="L38" s="186"/>
      <c r="M38" s="186"/>
      <c r="N38" s="415"/>
      <c r="O38" s="186"/>
      <c r="P38" s="244"/>
      <c r="Q38" s="244"/>
      <c r="R38" s="244"/>
      <c r="S38" s="244"/>
      <c r="T38" s="244"/>
      <c r="U38" s="244"/>
      <c r="V38" s="244"/>
      <c r="W38" s="244"/>
      <c r="X38" s="244"/>
      <c r="Y38" s="244"/>
      <c r="Z38" s="244"/>
      <c r="AA38" s="244"/>
      <c r="AB38" s="244"/>
      <c r="AC38" s="244"/>
    </row>
    <row r="39" spans="1:29" ht="15.75" customHeight="1" x14ac:dyDescent="0.25">
      <c r="A39" s="244"/>
      <c r="B39" s="186"/>
      <c r="C39" s="454" t="s">
        <v>191</v>
      </c>
      <c r="D39" s="447">
        <f>SUM(D34:D38)</f>
        <v>143343.66088220209</v>
      </c>
      <c r="E39" s="446"/>
      <c r="F39" s="454"/>
      <c r="G39" s="454"/>
      <c r="H39" s="454"/>
      <c r="I39" s="455"/>
      <c r="J39" s="445">
        <f>SUM(J34:J38)</f>
        <v>213062.58000000002</v>
      </c>
      <c r="K39" s="446"/>
      <c r="L39" s="454"/>
      <c r="M39" s="454"/>
      <c r="N39" s="454"/>
      <c r="O39" s="454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</row>
    <row r="40" spans="1:29" ht="15.75" customHeight="1" x14ac:dyDescent="0.25">
      <c r="A40" s="244"/>
      <c r="B40" s="458"/>
      <c r="C40" s="458" t="s">
        <v>192</v>
      </c>
      <c r="D40" s="317">
        <v>45355</v>
      </c>
      <c r="E40" s="316"/>
      <c r="F40" s="458"/>
      <c r="G40" s="458"/>
      <c r="H40" s="458"/>
      <c r="I40" s="404"/>
      <c r="J40" s="709">
        <v>41129</v>
      </c>
      <c r="K40" s="313"/>
      <c r="L40" s="186"/>
      <c r="M40" s="186"/>
      <c r="N40" s="186"/>
      <c r="O40" s="186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</row>
    <row r="41" spans="1:29" ht="15.75" customHeight="1" x14ac:dyDescent="0.25">
      <c r="A41" s="244"/>
      <c r="B41" s="279"/>
      <c r="C41" s="278" t="s">
        <v>193</v>
      </c>
      <c r="D41" s="367">
        <f>SUM(D39:D40)</f>
        <v>188698.66088220209</v>
      </c>
      <c r="E41" s="490"/>
      <c r="F41" s="278"/>
      <c r="G41" s="278"/>
      <c r="H41" s="278"/>
      <c r="I41" s="278"/>
      <c r="J41" s="367">
        <f>SUM(J39:J40)</f>
        <v>254191.58000000002</v>
      </c>
      <c r="K41" s="505"/>
      <c r="L41" s="454"/>
      <c r="M41" s="454"/>
      <c r="N41" s="454"/>
      <c r="O41" s="454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</row>
    <row r="42" spans="1:29" ht="15.75" customHeight="1" x14ac:dyDescent="0.25">
      <c r="A42" s="244"/>
      <c r="B42" s="830"/>
      <c r="C42" s="831" t="s">
        <v>32</v>
      </c>
      <c r="D42" s="367">
        <f>D29-D41</f>
        <v>447590.33911779791</v>
      </c>
      <c r="E42" s="832"/>
      <c r="F42" s="833"/>
      <c r="G42" s="834"/>
      <c r="H42" s="833"/>
      <c r="I42" s="834"/>
      <c r="J42" s="367">
        <f>J29-J41</f>
        <v>346504.42</v>
      </c>
      <c r="K42" s="835"/>
      <c r="L42" s="836"/>
      <c r="M42" s="837"/>
      <c r="N42" s="836"/>
      <c r="O42" s="837"/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244"/>
      <c r="AA42" s="244"/>
      <c r="AB42" s="244"/>
      <c r="AC42" s="244"/>
    </row>
    <row r="43" spans="1:29" ht="15.75" customHeight="1" x14ac:dyDescent="0.25">
      <c r="A43" s="244"/>
      <c r="B43" s="560"/>
      <c r="C43" s="560"/>
      <c r="D43" s="327"/>
      <c r="E43" s="372"/>
      <c r="F43" s="560"/>
      <c r="G43" s="560"/>
      <c r="H43" s="560"/>
      <c r="I43" s="393"/>
      <c r="J43" s="261"/>
      <c r="K43" s="313"/>
      <c r="L43" s="186"/>
      <c r="M43" s="186"/>
      <c r="N43" s="186"/>
      <c r="O43" s="186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</row>
    <row r="44" spans="1:29" ht="15.75" customHeight="1" x14ac:dyDescent="0.25">
      <c r="A44" s="244"/>
      <c r="B44" s="186"/>
      <c r="C44" s="838" t="s">
        <v>194</v>
      </c>
      <c r="D44" s="296"/>
      <c r="E44" s="313"/>
      <c r="F44" s="186"/>
      <c r="G44" s="186"/>
      <c r="H44" s="529">
        <f t="shared" ref="H44:H50" si="0">D44-F44</f>
        <v>0</v>
      </c>
      <c r="I44" s="339"/>
      <c r="J44" s="265"/>
      <c r="K44" s="313"/>
      <c r="L44" s="186"/>
      <c r="M44" s="186"/>
      <c r="N44" s="529">
        <f t="shared" ref="N44:N50" si="1">J44-L44</f>
        <v>0</v>
      </c>
      <c r="O44" s="186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</row>
    <row r="45" spans="1:29" ht="15.75" customHeight="1" x14ac:dyDescent="0.25">
      <c r="A45" s="244"/>
      <c r="B45" s="186"/>
      <c r="C45" s="186" t="s">
        <v>195</v>
      </c>
      <c r="D45" s="296"/>
      <c r="E45" s="313"/>
      <c r="F45" s="758"/>
      <c r="G45" s="186"/>
      <c r="H45" s="529">
        <f t="shared" si="0"/>
        <v>0</v>
      </c>
      <c r="I45" s="339"/>
      <c r="J45" s="265"/>
      <c r="K45" s="313"/>
      <c r="L45" s="758"/>
      <c r="M45" s="186"/>
      <c r="N45" s="529">
        <f t="shared" si="1"/>
        <v>0</v>
      </c>
      <c r="O45" s="186"/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</row>
    <row r="46" spans="1:29" ht="15.75" customHeight="1" x14ac:dyDescent="0.25">
      <c r="A46" s="244"/>
      <c r="B46" s="186"/>
      <c r="C46" s="186" t="s">
        <v>196</v>
      </c>
      <c r="D46" s="296">
        <v>0</v>
      </c>
      <c r="E46" s="313"/>
      <c r="F46" s="186"/>
      <c r="G46" s="186"/>
      <c r="H46" s="529">
        <f t="shared" si="0"/>
        <v>0</v>
      </c>
      <c r="I46" s="339"/>
      <c r="J46" s="265">
        <v>2563</v>
      </c>
      <c r="K46" s="313"/>
      <c r="L46" s="186"/>
      <c r="M46" s="186"/>
      <c r="N46" s="529">
        <f t="shared" si="1"/>
        <v>2563</v>
      </c>
      <c r="O46" s="186"/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  <c r="AC46" s="244"/>
    </row>
    <row r="47" spans="1:29" ht="15.75" customHeight="1" x14ac:dyDescent="0.25">
      <c r="A47" s="244"/>
      <c r="B47" s="186"/>
      <c r="C47" s="186" t="s">
        <v>266</v>
      </c>
      <c r="D47" s="296"/>
      <c r="E47" s="313"/>
      <c r="F47" s="186"/>
      <c r="G47" s="186"/>
      <c r="H47" s="529">
        <f t="shared" si="0"/>
        <v>0</v>
      </c>
      <c r="I47" s="339"/>
      <c r="J47" s="265"/>
      <c r="K47" s="313"/>
      <c r="L47" s="186"/>
      <c r="M47" s="186"/>
      <c r="N47" s="529">
        <f t="shared" si="1"/>
        <v>0</v>
      </c>
      <c r="O47" s="186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</row>
    <row r="48" spans="1:29" ht="15.75" customHeight="1" x14ac:dyDescent="0.25">
      <c r="A48" s="244"/>
      <c r="B48" s="186"/>
      <c r="C48" s="186" t="s">
        <v>197</v>
      </c>
      <c r="D48" s="296">
        <v>1500</v>
      </c>
      <c r="E48" s="313"/>
      <c r="F48" s="186"/>
      <c r="G48" s="186"/>
      <c r="H48" s="529">
        <f t="shared" si="0"/>
        <v>1500</v>
      </c>
      <c r="I48" s="339"/>
      <c r="J48" s="265">
        <v>1650</v>
      </c>
      <c r="K48" s="313"/>
      <c r="L48" s="186"/>
      <c r="M48" s="186"/>
      <c r="N48" s="529">
        <f t="shared" si="1"/>
        <v>1650</v>
      </c>
      <c r="O48" s="186"/>
      <c r="P48" s="244"/>
      <c r="Q48" s="244"/>
      <c r="R48" s="244"/>
      <c r="S48" s="244"/>
      <c r="T48" s="244"/>
      <c r="U48" s="244"/>
      <c r="V48" s="244"/>
      <c r="W48" s="244"/>
      <c r="X48" s="244"/>
      <c r="Y48" s="244"/>
      <c r="Z48" s="244"/>
      <c r="AA48" s="244"/>
      <c r="AB48" s="244"/>
      <c r="AC48" s="244"/>
    </row>
    <row r="49" spans="1:29" ht="15.75" customHeight="1" x14ac:dyDescent="0.25">
      <c r="A49" s="244"/>
      <c r="B49" s="186"/>
      <c r="C49" s="186" t="s">
        <v>198</v>
      </c>
      <c r="D49" s="296"/>
      <c r="E49" s="313"/>
      <c r="F49" s="186"/>
      <c r="G49" s="186"/>
      <c r="H49" s="529">
        <f t="shared" si="0"/>
        <v>0</v>
      </c>
      <c r="I49" s="339"/>
      <c r="J49" s="265"/>
      <c r="K49" s="313"/>
      <c r="L49" s="186"/>
      <c r="M49" s="186"/>
      <c r="N49" s="529">
        <f t="shared" si="1"/>
        <v>0</v>
      </c>
      <c r="O49" s="186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</row>
    <row r="50" spans="1:29" ht="15.75" customHeight="1" x14ac:dyDescent="0.25">
      <c r="A50" s="244"/>
      <c r="B50" s="458"/>
      <c r="C50" s="458" t="s">
        <v>199</v>
      </c>
      <c r="D50" s="317"/>
      <c r="E50" s="316"/>
      <c r="F50" s="458"/>
      <c r="G50" s="458"/>
      <c r="H50" s="726">
        <f t="shared" si="0"/>
        <v>0</v>
      </c>
      <c r="I50" s="404"/>
      <c r="J50" s="276"/>
      <c r="K50" s="313"/>
      <c r="L50" s="186"/>
      <c r="M50" s="186"/>
      <c r="N50" s="529">
        <f t="shared" si="1"/>
        <v>0</v>
      </c>
      <c r="O50" s="186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</row>
    <row r="51" spans="1:29" ht="15.75" customHeight="1" x14ac:dyDescent="0.25">
      <c r="A51" s="244"/>
      <c r="B51" s="279"/>
      <c r="C51" s="279" t="s">
        <v>200</v>
      </c>
      <c r="D51" s="367">
        <f>SUM(D45:D50)</f>
        <v>1500</v>
      </c>
      <c r="E51" s="255"/>
      <c r="F51" s="744">
        <f>SUM(F45:F50)</f>
        <v>0</v>
      </c>
      <c r="G51" s="278"/>
      <c r="H51" s="744">
        <f>SUM(H45:H50)</f>
        <v>1500</v>
      </c>
      <c r="I51" s="278"/>
      <c r="J51" s="367">
        <f>SUM(J45:J50)</f>
        <v>4213</v>
      </c>
      <c r="K51" s="417"/>
      <c r="L51" s="529">
        <f>SUM(L45:L50)</f>
        <v>0</v>
      </c>
      <c r="M51" s="186"/>
      <c r="N51" s="529">
        <f>SUM(N45:N50)</f>
        <v>4213</v>
      </c>
      <c r="O51" s="18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</row>
    <row r="52" spans="1:29" ht="15.75" customHeight="1" x14ac:dyDescent="0.25">
      <c r="A52" s="244"/>
      <c r="B52" s="560"/>
      <c r="C52" s="560"/>
      <c r="D52" s="327"/>
      <c r="E52" s="372"/>
      <c r="F52" s="560"/>
      <c r="G52" s="560"/>
      <c r="H52" s="560"/>
      <c r="I52" s="393"/>
      <c r="J52" s="261"/>
      <c r="K52" s="313"/>
      <c r="L52" s="186"/>
      <c r="M52" s="186"/>
      <c r="N52" s="186"/>
      <c r="O52" s="186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  <c r="AA52" s="244"/>
      <c r="AB52" s="244"/>
      <c r="AC52" s="244"/>
    </row>
    <row r="53" spans="1:29" ht="15.75" customHeight="1" x14ac:dyDescent="0.25">
      <c r="A53" s="244"/>
      <c r="B53" s="991" t="s">
        <v>204</v>
      </c>
      <c r="C53" s="992"/>
      <c r="D53" s="317"/>
      <c r="E53" s="316"/>
      <c r="F53" s="458"/>
      <c r="G53" s="458"/>
      <c r="H53" s="458"/>
      <c r="I53" s="404"/>
      <c r="J53" s="276"/>
      <c r="K53" s="313"/>
      <c r="L53" s="186"/>
      <c r="M53" s="186"/>
      <c r="N53" s="186"/>
      <c r="O53" s="186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  <c r="AC53" s="244"/>
    </row>
    <row r="54" spans="1:29" ht="15.75" customHeight="1" x14ac:dyDescent="0.25">
      <c r="A54" s="244"/>
      <c r="B54" s="279"/>
      <c r="C54" s="501" t="s">
        <v>205</v>
      </c>
      <c r="D54" s="367">
        <f>SUM(D55:D61)</f>
        <v>14848</v>
      </c>
      <c r="E54" s="490">
        <f>D54/D$29</f>
        <v>2.3335308326876622E-2</v>
      </c>
      <c r="F54" s="489">
        <f>SUM(F55:F61)</f>
        <v>0</v>
      </c>
      <c r="G54" s="490" t="e">
        <f>F54/F$29</f>
        <v>#DIV/0!</v>
      </c>
      <c r="H54" s="489">
        <f>SUM(H55:H61)</f>
        <v>0</v>
      </c>
      <c r="I54" s="490" t="e">
        <f>H54/H$29</f>
        <v>#DIV/0!</v>
      </c>
      <c r="J54" s="367">
        <f>SUM(J55:J61)</f>
        <v>0</v>
      </c>
      <c r="K54" s="335">
        <f>J54/J$29</f>
        <v>0</v>
      </c>
      <c r="L54" s="415">
        <f>SUM(L55:L61)</f>
        <v>0</v>
      </c>
      <c r="M54" s="332" t="e">
        <f>L54/L$29</f>
        <v>#DIV/0!</v>
      </c>
      <c r="N54" s="415">
        <f>SUM(N55:N61)</f>
        <v>0</v>
      </c>
      <c r="O54" s="332" t="e">
        <f>N54/N$29</f>
        <v>#DIV/0!</v>
      </c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  <c r="AA54" s="246"/>
      <c r="AB54" s="246"/>
      <c r="AC54" s="246"/>
    </row>
    <row r="55" spans="1:29" ht="15.75" customHeight="1" x14ac:dyDescent="0.25">
      <c r="A55" s="244"/>
      <c r="B55" s="560"/>
      <c r="C55" s="560" t="s">
        <v>268</v>
      </c>
      <c r="D55" s="327"/>
      <c r="E55" s="326"/>
      <c r="F55" s="412"/>
      <c r="G55" s="326"/>
      <c r="H55" s="412"/>
      <c r="I55" s="330"/>
      <c r="J55" s="261"/>
      <c r="K55" s="332"/>
      <c r="L55" s="415"/>
      <c r="M55" s="332"/>
      <c r="N55" s="415"/>
      <c r="O55" s="332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B55" s="244"/>
      <c r="AC55" s="244"/>
    </row>
    <row r="56" spans="1:29" ht="15.75" customHeight="1" x14ac:dyDescent="0.25">
      <c r="A56" s="244"/>
      <c r="B56" s="186"/>
      <c r="C56" s="246" t="s">
        <v>269</v>
      </c>
      <c r="D56" s="296">
        <v>14848</v>
      </c>
      <c r="E56" s="332"/>
      <c r="F56" s="415"/>
      <c r="G56" s="332"/>
      <c r="H56" s="415"/>
      <c r="I56" s="336"/>
      <c r="J56" s="265"/>
      <c r="K56" s="332"/>
      <c r="L56" s="415"/>
      <c r="M56" s="332"/>
      <c r="N56" s="415"/>
      <c r="O56" s="332"/>
      <c r="P56" s="244"/>
      <c r="Q56" s="244"/>
      <c r="R56" s="244"/>
      <c r="S56" s="244"/>
      <c r="T56" s="244"/>
      <c r="U56" s="244"/>
      <c r="V56" s="244"/>
      <c r="W56" s="244"/>
      <c r="X56" s="244"/>
      <c r="Y56" s="244"/>
      <c r="Z56" s="244"/>
      <c r="AA56" s="244"/>
      <c r="AB56" s="244"/>
      <c r="AC56" s="244"/>
    </row>
    <row r="57" spans="1:29" ht="15.75" customHeight="1" x14ac:dyDescent="0.25">
      <c r="A57" s="244"/>
      <c r="B57" s="186"/>
      <c r="C57" s="186" t="s">
        <v>212</v>
      </c>
      <c r="D57" s="296"/>
      <c r="E57" s="332"/>
      <c r="F57" s="415"/>
      <c r="G57" s="332"/>
      <c r="H57" s="415"/>
      <c r="I57" s="336"/>
      <c r="J57" s="265"/>
      <c r="K57" s="332"/>
      <c r="L57" s="415"/>
      <c r="M57" s="332"/>
      <c r="N57" s="415"/>
      <c r="O57" s="332"/>
      <c r="P57" s="244"/>
      <c r="Q57" s="244"/>
      <c r="R57" s="244"/>
      <c r="S57" s="244"/>
      <c r="T57" s="244"/>
      <c r="U57" s="244"/>
      <c r="V57" s="244"/>
      <c r="W57" s="244"/>
      <c r="X57" s="244"/>
      <c r="Y57" s="244"/>
      <c r="Z57" s="244"/>
      <c r="AA57" s="244"/>
      <c r="AB57" s="244"/>
      <c r="AC57" s="244"/>
    </row>
    <row r="58" spans="1:29" ht="15.75" customHeight="1" x14ac:dyDescent="0.25">
      <c r="A58" s="244"/>
      <c r="B58" s="186"/>
      <c r="C58" s="246" t="s">
        <v>213</v>
      </c>
      <c r="D58" s="296"/>
      <c r="E58" s="332"/>
      <c r="F58" s="415"/>
      <c r="G58" s="332"/>
      <c r="H58" s="415"/>
      <c r="I58" s="336"/>
      <c r="J58" s="265"/>
      <c r="K58" s="332"/>
      <c r="L58" s="415"/>
      <c r="M58" s="332"/>
      <c r="N58" s="415"/>
      <c r="O58" s="332"/>
      <c r="P58" s="244"/>
      <c r="Q58" s="244"/>
      <c r="R58" s="244"/>
      <c r="S58" s="244"/>
      <c r="T58" s="244"/>
      <c r="U58" s="244"/>
      <c r="V58" s="244"/>
      <c r="W58" s="244"/>
      <c r="X58" s="244"/>
      <c r="Y58" s="244"/>
      <c r="Z58" s="244"/>
      <c r="AA58" s="244"/>
      <c r="AB58" s="244"/>
      <c r="AC58" s="244"/>
    </row>
    <row r="59" spans="1:29" ht="15.75" customHeight="1" x14ac:dyDescent="0.25">
      <c r="A59" s="244"/>
      <c r="B59" s="186"/>
      <c r="C59" s="186" t="s">
        <v>307</v>
      </c>
      <c r="D59" s="296"/>
      <c r="E59" s="332"/>
      <c r="F59" s="415"/>
      <c r="G59" s="332"/>
      <c r="H59" s="415"/>
      <c r="I59" s="336"/>
      <c r="J59" s="265"/>
      <c r="K59" s="332"/>
      <c r="L59" s="415"/>
      <c r="M59" s="332"/>
      <c r="N59" s="415"/>
      <c r="O59" s="332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</row>
    <row r="60" spans="1:29" ht="15.75" customHeight="1" x14ac:dyDescent="0.25">
      <c r="A60" s="244"/>
      <c r="B60" s="186"/>
      <c r="C60" s="246" t="s">
        <v>345</v>
      </c>
      <c r="D60" s="296"/>
      <c r="E60" s="332"/>
      <c r="F60" s="415"/>
      <c r="G60" s="332"/>
      <c r="H60" s="415"/>
      <c r="I60" s="336"/>
      <c r="J60" s="265"/>
      <c r="K60" s="332"/>
      <c r="L60" s="415"/>
      <c r="M60" s="332"/>
      <c r="N60" s="415"/>
      <c r="O60" s="332"/>
      <c r="P60" s="244"/>
      <c r="Q60" s="244"/>
      <c r="R60" s="244"/>
      <c r="S60" s="244"/>
      <c r="T60" s="244"/>
      <c r="U60" s="244"/>
      <c r="V60" s="244"/>
      <c r="W60" s="244"/>
      <c r="X60" s="244"/>
      <c r="Y60" s="244"/>
      <c r="Z60" s="244"/>
      <c r="AA60" s="244"/>
      <c r="AB60" s="244"/>
      <c r="AC60" s="244"/>
    </row>
    <row r="61" spans="1:29" ht="15.75" customHeight="1" x14ac:dyDescent="0.25">
      <c r="A61" s="244"/>
      <c r="B61" s="186"/>
      <c r="C61" s="186" t="s">
        <v>271</v>
      </c>
      <c r="D61" s="296">
        <v>0</v>
      </c>
      <c r="E61" s="332"/>
      <c r="F61" s="313"/>
      <c r="G61" s="332"/>
      <c r="H61" s="415"/>
      <c r="I61" s="336"/>
      <c r="J61" s="265">
        <v>0</v>
      </c>
      <c r="K61" s="332"/>
      <c r="L61" s="313"/>
      <c r="M61" s="332"/>
      <c r="N61" s="415"/>
      <c r="O61" s="332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</row>
    <row r="62" spans="1:29" ht="15.75" customHeight="1" x14ac:dyDescent="0.25">
      <c r="A62" s="244"/>
      <c r="B62" s="458"/>
      <c r="C62" s="839"/>
      <c r="D62" s="317"/>
      <c r="E62" s="316"/>
      <c r="F62" s="458"/>
      <c r="G62" s="458"/>
      <c r="H62" s="458"/>
      <c r="I62" s="404"/>
      <c r="J62" s="276"/>
      <c r="K62" s="313"/>
      <c r="L62" s="186"/>
      <c r="M62" s="186"/>
      <c r="N62" s="186"/>
      <c r="O62" s="186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  <c r="AC62" s="244"/>
    </row>
    <row r="63" spans="1:29" ht="15.75" customHeight="1" x14ac:dyDescent="0.25">
      <c r="A63" s="244"/>
      <c r="B63" s="279"/>
      <c r="C63" s="501" t="s">
        <v>35</v>
      </c>
      <c r="D63" s="367">
        <f>SUM(D64:D68)</f>
        <v>73266.559999999998</v>
      </c>
      <c r="E63" s="490">
        <f>D63/D$29</f>
        <v>0.11514667077381505</v>
      </c>
      <c r="F63" s="489">
        <f>SUM(F64:F68)</f>
        <v>0</v>
      </c>
      <c r="G63" s="840" t="e">
        <f>F63/F$29</f>
        <v>#DIV/0!</v>
      </c>
      <c r="H63" s="489">
        <f>SUM(H64:H67)</f>
        <v>0</v>
      </c>
      <c r="I63" s="278"/>
      <c r="J63" s="367">
        <f>SUM(J64:J68)</f>
        <v>72888</v>
      </c>
      <c r="K63" s="335">
        <f>J63/J$29</f>
        <v>0.12133924647409006</v>
      </c>
      <c r="L63" s="415">
        <f>SUM(L64:L68)</f>
        <v>0</v>
      </c>
      <c r="M63" s="769" t="e">
        <f>L63/L$29</f>
        <v>#DIV/0!</v>
      </c>
      <c r="N63" s="415">
        <f>SUM(N64:N67)</f>
        <v>0</v>
      </c>
      <c r="O63" s="18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6"/>
      <c r="AB63" s="246"/>
      <c r="AC63" s="246"/>
    </row>
    <row r="64" spans="1:29" ht="15.75" customHeight="1" x14ac:dyDescent="0.25">
      <c r="A64" s="244"/>
      <c r="B64" s="560"/>
      <c r="C64" s="560" t="s">
        <v>215</v>
      </c>
      <c r="D64" s="327"/>
      <c r="E64" s="372"/>
      <c r="F64" s="412"/>
      <c r="G64" s="560"/>
      <c r="H64" s="412"/>
      <c r="I64" s="393"/>
      <c r="J64" s="261"/>
      <c r="K64" s="313"/>
      <c r="L64" s="415"/>
      <c r="M64" s="186"/>
      <c r="N64" s="415"/>
      <c r="O64" s="186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4"/>
    </row>
    <row r="65" spans="1:29" ht="15.75" customHeight="1" x14ac:dyDescent="0.25">
      <c r="A65" s="244"/>
      <c r="B65" s="186"/>
      <c r="C65" s="186" t="s">
        <v>216</v>
      </c>
      <c r="D65" s="296"/>
      <c r="E65" s="313"/>
      <c r="F65" s="415"/>
      <c r="G65" s="186"/>
      <c r="H65" s="415"/>
      <c r="I65" s="339"/>
      <c r="J65" s="265"/>
      <c r="K65" s="313"/>
      <c r="L65" s="415"/>
      <c r="M65" s="186"/>
      <c r="N65" s="415"/>
      <c r="O65" s="186"/>
      <c r="P65" s="244"/>
      <c r="Q65" s="244"/>
      <c r="R65" s="244"/>
      <c r="S65" s="244"/>
      <c r="T65" s="244"/>
      <c r="U65" s="244"/>
      <c r="V65" s="244"/>
      <c r="W65" s="244"/>
      <c r="X65" s="244"/>
      <c r="Y65" s="244"/>
      <c r="Z65" s="244"/>
      <c r="AA65" s="244"/>
      <c r="AB65" s="244"/>
      <c r="AC65" s="244"/>
    </row>
    <row r="66" spans="1:29" ht="15.75" customHeight="1" x14ac:dyDescent="0.25">
      <c r="A66" s="244"/>
      <c r="B66" s="186"/>
      <c r="C66" s="186" t="s">
        <v>272</v>
      </c>
      <c r="D66" s="296">
        <v>51122</v>
      </c>
      <c r="E66" s="769" t="e">
        <f t="shared" ref="E66:E67" si="2">D66/D18</f>
        <v>#DIV/0!</v>
      </c>
      <c r="F66" s="415"/>
      <c r="G66" s="769"/>
      <c r="H66" s="415"/>
      <c r="I66" s="339"/>
      <c r="J66" s="265">
        <v>49432</v>
      </c>
      <c r="K66" s="769" t="e">
        <f t="shared" ref="K66:K67" si="3">J66/J18</f>
        <v>#DIV/0!</v>
      </c>
      <c r="L66" s="415"/>
      <c r="M66" s="769"/>
      <c r="N66" s="415"/>
      <c r="O66" s="186"/>
      <c r="P66" s="244"/>
      <c r="Q66" s="244"/>
      <c r="R66" s="244"/>
      <c r="S66" s="244"/>
      <c r="T66" s="244"/>
      <c r="U66" s="244"/>
      <c r="V66" s="244"/>
      <c r="W66" s="244"/>
      <c r="X66" s="244"/>
      <c r="Y66" s="244"/>
      <c r="Z66" s="244"/>
      <c r="AA66" s="244"/>
      <c r="AB66" s="244"/>
      <c r="AC66" s="244"/>
    </row>
    <row r="67" spans="1:29" ht="15.75" customHeight="1" x14ac:dyDescent="0.25">
      <c r="A67" s="244"/>
      <c r="B67" s="186"/>
      <c r="C67" s="186" t="s">
        <v>308</v>
      </c>
      <c r="D67" s="296">
        <v>22144.560000000001</v>
      </c>
      <c r="E67" s="769">
        <f t="shared" si="2"/>
        <v>4.2778194181509098E-2</v>
      </c>
      <c r="F67" s="415"/>
      <c r="G67" s="769"/>
      <c r="H67" s="415"/>
      <c r="I67" s="339"/>
      <c r="J67" s="265">
        <v>23456</v>
      </c>
      <c r="K67" s="769">
        <f t="shared" si="3"/>
        <v>4.6256544760740308E-2</v>
      </c>
      <c r="L67" s="415"/>
      <c r="M67" s="769"/>
      <c r="N67" s="415"/>
      <c r="O67" s="186"/>
      <c r="P67" s="244"/>
      <c r="Q67" s="244"/>
      <c r="R67" s="244"/>
      <c r="S67" s="244"/>
      <c r="T67" s="244"/>
      <c r="U67" s="244"/>
      <c r="V67" s="244"/>
      <c r="W67" s="244"/>
      <c r="X67" s="244"/>
      <c r="Y67" s="244"/>
      <c r="Z67" s="244"/>
      <c r="AA67" s="244"/>
      <c r="AB67" s="244"/>
      <c r="AC67" s="244"/>
    </row>
    <row r="68" spans="1:29" ht="15.75" customHeight="1" x14ac:dyDescent="0.25">
      <c r="A68" s="244"/>
      <c r="B68" s="186"/>
      <c r="C68" s="186" t="s">
        <v>361</v>
      </c>
      <c r="D68" s="296">
        <v>0</v>
      </c>
      <c r="E68" s="769">
        <f>D68/D29</f>
        <v>0</v>
      </c>
      <c r="F68" s="415"/>
      <c r="G68" s="769"/>
      <c r="H68" s="415"/>
      <c r="I68" s="339"/>
      <c r="J68" s="265">
        <v>0</v>
      </c>
      <c r="K68" s="769">
        <f>J68/J29</f>
        <v>0</v>
      </c>
      <c r="L68" s="415"/>
      <c r="M68" s="769"/>
      <c r="N68" s="415"/>
      <c r="O68" s="186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  <c r="AC68" s="244"/>
    </row>
    <row r="69" spans="1:29" ht="15.75" customHeight="1" x14ac:dyDescent="0.25">
      <c r="A69" s="244"/>
      <c r="B69" s="458"/>
      <c r="C69" s="458"/>
      <c r="D69" s="317"/>
      <c r="E69" s="316"/>
      <c r="F69" s="458"/>
      <c r="G69" s="458"/>
      <c r="H69" s="458"/>
      <c r="I69" s="404"/>
      <c r="J69" s="276"/>
      <c r="K69" s="313"/>
      <c r="L69" s="186"/>
      <c r="M69" s="186"/>
      <c r="N69" s="186"/>
      <c r="O69" s="186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  <c r="AC69" s="244"/>
    </row>
    <row r="70" spans="1:29" ht="15.75" customHeight="1" x14ac:dyDescent="0.25">
      <c r="A70" s="244"/>
      <c r="B70" s="279"/>
      <c r="C70" s="501" t="s">
        <v>219</v>
      </c>
      <c r="D70" s="536">
        <f>SUM(D71:D74)</f>
        <v>0</v>
      </c>
      <c r="E70" s="537">
        <f>D70/D$29</f>
        <v>0</v>
      </c>
      <c r="F70" s="279">
        <f>SUM(F71:F74)</f>
        <v>0</v>
      </c>
      <c r="G70" s="841" t="e">
        <f>F70/F$29</f>
        <v>#DIV/0!</v>
      </c>
      <c r="H70" s="842">
        <f>SUM(H71:H74)</f>
        <v>0</v>
      </c>
      <c r="I70" s="279"/>
      <c r="J70" s="536">
        <f>SUM(J71:J74)</f>
        <v>0</v>
      </c>
      <c r="K70" s="335">
        <f>J70/J$29</f>
        <v>0</v>
      </c>
      <c r="L70" s="186">
        <f>SUM(L71:L74)</f>
        <v>0</v>
      </c>
      <c r="M70" s="769" t="e">
        <f>L70/L$29</f>
        <v>#DIV/0!</v>
      </c>
      <c r="N70" s="758">
        <f>SUM(N71:N74)</f>
        <v>0</v>
      </c>
      <c r="O70" s="18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  <c r="AB70" s="246"/>
      <c r="AC70" s="246"/>
    </row>
    <row r="71" spans="1:29" ht="15.75" customHeight="1" x14ac:dyDescent="0.25">
      <c r="A71" s="244"/>
      <c r="B71" s="560"/>
      <c r="C71" s="560" t="s">
        <v>220</v>
      </c>
      <c r="D71" s="327"/>
      <c r="E71" s="326"/>
      <c r="F71" s="560"/>
      <c r="G71" s="773"/>
      <c r="H71" s="412"/>
      <c r="I71" s="393"/>
      <c r="J71" s="261"/>
      <c r="K71" s="332"/>
      <c r="L71" s="186"/>
      <c r="M71" s="769"/>
      <c r="N71" s="415"/>
      <c r="O71" s="186"/>
      <c r="P71" s="244"/>
      <c r="Q71" s="244"/>
      <c r="R71" s="244"/>
      <c r="S71" s="244"/>
      <c r="T71" s="244"/>
      <c r="U71" s="244"/>
      <c r="V71" s="244"/>
      <c r="W71" s="244"/>
      <c r="X71" s="244"/>
      <c r="Y71" s="244"/>
      <c r="Z71" s="244"/>
      <c r="AA71" s="244"/>
      <c r="AB71" s="244"/>
      <c r="AC71" s="244"/>
    </row>
    <row r="72" spans="1:29" ht="15.75" customHeight="1" x14ac:dyDescent="0.25">
      <c r="A72" s="244"/>
      <c r="B72" s="186"/>
      <c r="C72" s="186" t="s">
        <v>221</v>
      </c>
      <c r="D72" s="296"/>
      <c r="E72" s="332"/>
      <c r="F72" s="186"/>
      <c r="G72" s="769"/>
      <c r="H72" s="415"/>
      <c r="I72" s="339"/>
      <c r="J72" s="265"/>
      <c r="K72" s="332"/>
      <c r="L72" s="186"/>
      <c r="M72" s="769"/>
      <c r="N72" s="415"/>
      <c r="O72" s="186"/>
      <c r="P72" s="244"/>
      <c r="Q72" s="244"/>
      <c r="R72" s="244"/>
      <c r="S72" s="244"/>
      <c r="T72" s="244"/>
      <c r="U72" s="244"/>
      <c r="V72" s="244"/>
      <c r="W72" s="244"/>
      <c r="X72" s="244"/>
      <c r="Y72" s="244"/>
      <c r="Z72" s="244"/>
      <c r="AA72" s="244"/>
      <c r="AB72" s="244"/>
      <c r="AC72" s="244"/>
    </row>
    <row r="73" spans="1:29" ht="15.75" customHeight="1" x14ac:dyDescent="0.25">
      <c r="A73" s="244"/>
      <c r="B73" s="186"/>
      <c r="C73" s="186" t="s">
        <v>222</v>
      </c>
      <c r="D73" s="296"/>
      <c r="E73" s="313"/>
      <c r="F73" s="186"/>
      <c r="G73" s="186"/>
      <c r="H73" s="186"/>
      <c r="I73" s="339"/>
      <c r="J73" s="265"/>
      <c r="K73" s="313"/>
      <c r="L73" s="186"/>
      <c r="M73" s="186"/>
      <c r="N73" s="186"/>
      <c r="O73" s="186"/>
      <c r="P73" s="244"/>
      <c r="Q73" s="244"/>
      <c r="R73" s="244"/>
      <c r="S73" s="244"/>
      <c r="T73" s="244"/>
      <c r="U73" s="244"/>
      <c r="V73" s="244"/>
      <c r="W73" s="244"/>
      <c r="X73" s="244"/>
      <c r="Y73" s="244"/>
      <c r="Z73" s="244"/>
      <c r="AA73" s="244"/>
      <c r="AB73" s="244"/>
      <c r="AC73" s="244"/>
    </row>
    <row r="74" spans="1:29" ht="15.75" customHeight="1" x14ac:dyDescent="0.25">
      <c r="A74" s="244"/>
      <c r="B74" s="186"/>
      <c r="C74" s="186" t="s">
        <v>223</v>
      </c>
      <c r="D74" s="296"/>
      <c r="E74" s="313"/>
      <c r="F74" s="186"/>
      <c r="G74" s="186"/>
      <c r="H74" s="186"/>
      <c r="I74" s="339"/>
      <c r="J74" s="265"/>
      <c r="K74" s="313"/>
      <c r="L74" s="186"/>
      <c r="M74" s="186"/>
      <c r="N74" s="186"/>
      <c r="O74" s="186"/>
      <c r="P74" s="244"/>
      <c r="Q74" s="244"/>
      <c r="R74" s="244"/>
      <c r="S74" s="244"/>
      <c r="T74" s="244"/>
      <c r="U74" s="244"/>
      <c r="V74" s="244"/>
      <c r="W74" s="244"/>
      <c r="X74" s="244"/>
      <c r="Y74" s="244"/>
      <c r="Z74" s="244"/>
      <c r="AA74" s="244"/>
      <c r="AB74" s="244"/>
      <c r="AC74" s="244"/>
    </row>
    <row r="75" spans="1:29" ht="15.75" customHeight="1" x14ac:dyDescent="0.25">
      <c r="A75" s="244"/>
      <c r="B75" s="186"/>
      <c r="C75" s="186" t="s">
        <v>362</v>
      </c>
      <c r="D75" s="296"/>
      <c r="E75" s="313"/>
      <c r="F75" s="186"/>
      <c r="G75" s="186"/>
      <c r="H75" s="186"/>
      <c r="I75" s="339"/>
      <c r="J75" s="265"/>
      <c r="K75" s="313"/>
      <c r="L75" s="186"/>
      <c r="M75" s="186"/>
      <c r="N75" s="186"/>
      <c r="O75" s="186"/>
      <c r="P75" s="244"/>
      <c r="Q75" s="244"/>
      <c r="R75" s="244"/>
      <c r="S75" s="244"/>
      <c r="T75" s="244"/>
      <c r="U75" s="244"/>
      <c r="V75" s="244"/>
      <c r="W75" s="244"/>
      <c r="X75" s="244"/>
      <c r="Y75" s="244"/>
      <c r="Z75" s="244"/>
      <c r="AA75" s="244"/>
      <c r="AB75" s="244"/>
      <c r="AC75" s="244"/>
    </row>
    <row r="76" spans="1:29" ht="15.75" customHeight="1" x14ac:dyDescent="0.25">
      <c r="A76" s="244"/>
      <c r="B76" s="458"/>
      <c r="C76" s="839"/>
      <c r="D76" s="317"/>
      <c r="E76" s="316"/>
      <c r="F76" s="458"/>
      <c r="G76" s="458"/>
      <c r="H76" s="458"/>
      <c r="I76" s="404"/>
      <c r="J76" s="276"/>
      <c r="K76" s="313"/>
      <c r="L76" s="186"/>
      <c r="M76" s="186"/>
      <c r="N76" s="186"/>
      <c r="O76" s="186"/>
      <c r="P76" s="244"/>
      <c r="Q76" s="244"/>
      <c r="R76" s="244"/>
      <c r="S76" s="244"/>
      <c r="T76" s="244"/>
      <c r="U76" s="244"/>
      <c r="V76" s="244"/>
      <c r="W76" s="244"/>
      <c r="X76" s="244"/>
      <c r="Y76" s="244"/>
      <c r="Z76" s="244"/>
      <c r="AA76" s="244"/>
      <c r="AB76" s="244"/>
      <c r="AC76" s="244"/>
    </row>
    <row r="77" spans="1:29" ht="15.75" customHeight="1" x14ac:dyDescent="0.25">
      <c r="A77" s="244"/>
      <c r="B77" s="279"/>
      <c r="C77" s="501" t="s">
        <v>37</v>
      </c>
      <c r="D77" s="367">
        <f>SUM(D78:D85)</f>
        <v>497550.5</v>
      </c>
      <c r="E77" s="490">
        <f>D77/D$29</f>
        <v>0.78195678378849864</v>
      </c>
      <c r="F77" s="489">
        <f>SUM(F78:F85)</f>
        <v>0</v>
      </c>
      <c r="G77" s="840" t="e">
        <f>F77/F$29</f>
        <v>#DIV/0!</v>
      </c>
      <c r="H77" s="489">
        <f>SUM(H78:H85)</f>
        <v>0</v>
      </c>
      <c r="I77" s="278"/>
      <c r="J77" s="367">
        <f>SUM(J78:J85)</f>
        <v>706216</v>
      </c>
      <c r="K77" s="335">
        <f>J77/J$29</f>
        <v>1.1756628977053285</v>
      </c>
      <c r="L77" s="415">
        <f>SUM(L78:L85)</f>
        <v>0</v>
      </c>
      <c r="M77" s="769" t="e">
        <f>L77/L$29</f>
        <v>#DIV/0!</v>
      </c>
      <c r="N77" s="415">
        <f>SUM(N78:N85)</f>
        <v>0</v>
      </c>
      <c r="O77" s="18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  <c r="AA77" s="246"/>
      <c r="AB77" s="246"/>
      <c r="AC77" s="246"/>
    </row>
    <row r="78" spans="1:29" ht="15.75" customHeight="1" x14ac:dyDescent="0.25">
      <c r="A78" s="244"/>
      <c r="B78" s="560"/>
      <c r="C78" s="560" t="s">
        <v>224</v>
      </c>
      <c r="D78" s="327"/>
      <c r="E78" s="326"/>
      <c r="F78" s="560"/>
      <c r="G78" s="773"/>
      <c r="H78" s="412"/>
      <c r="I78" s="393"/>
      <c r="J78" s="261"/>
      <c r="K78" s="332"/>
      <c r="L78" s="186"/>
      <c r="M78" s="769"/>
      <c r="N78" s="415"/>
      <c r="O78" s="186"/>
      <c r="P78" s="244"/>
      <c r="Q78" s="244"/>
      <c r="R78" s="244"/>
      <c r="S78" s="244"/>
      <c r="T78" s="244"/>
      <c r="U78" s="244"/>
      <c r="V78" s="244"/>
      <c r="W78" s="244"/>
      <c r="X78" s="244"/>
      <c r="Y78" s="244"/>
      <c r="Z78" s="244"/>
      <c r="AA78" s="244"/>
      <c r="AB78" s="244"/>
      <c r="AC78" s="244"/>
    </row>
    <row r="79" spans="1:29" ht="15.75" customHeight="1" x14ac:dyDescent="0.25">
      <c r="A79" s="244"/>
      <c r="B79" s="186"/>
      <c r="C79" s="186" t="s">
        <v>225</v>
      </c>
      <c r="D79" s="296">
        <v>140157</v>
      </c>
      <c r="E79" s="332"/>
      <c r="F79" s="186"/>
      <c r="G79" s="769"/>
      <c r="H79" s="415"/>
      <c r="I79" s="339"/>
      <c r="J79" s="265">
        <v>131624</v>
      </c>
      <c r="K79" s="332"/>
      <c r="L79" s="186"/>
      <c r="M79" s="769"/>
      <c r="N79" s="415"/>
      <c r="O79" s="186"/>
      <c r="P79" s="244"/>
      <c r="Q79" s="244"/>
      <c r="R79" s="244"/>
      <c r="S79" s="244"/>
      <c r="T79" s="244"/>
      <c r="U79" s="244"/>
      <c r="V79" s="244"/>
      <c r="W79" s="244"/>
      <c r="X79" s="244"/>
      <c r="Y79" s="244"/>
      <c r="Z79" s="244"/>
      <c r="AA79" s="244"/>
      <c r="AB79" s="244"/>
      <c r="AC79" s="244"/>
    </row>
    <row r="80" spans="1:29" ht="15.75" customHeight="1" x14ac:dyDescent="0.25">
      <c r="A80" s="244"/>
      <c r="B80" s="186"/>
      <c r="C80" s="186" t="s">
        <v>363</v>
      </c>
      <c r="D80" s="296">
        <f>535355/2</f>
        <v>267677.5</v>
      </c>
      <c r="E80" s="332"/>
      <c r="F80" s="186"/>
      <c r="G80" s="769"/>
      <c r="H80" s="415"/>
      <c r="I80" s="339"/>
      <c r="J80" s="265">
        <v>479850</v>
      </c>
      <c r="K80" s="332"/>
      <c r="L80" s="186"/>
      <c r="M80" s="769"/>
      <c r="N80" s="415"/>
      <c r="O80" s="186"/>
      <c r="P80" s="244"/>
      <c r="Q80" s="244"/>
      <c r="R80" s="244"/>
      <c r="S80" s="244"/>
      <c r="T80" s="244"/>
      <c r="U80" s="244"/>
      <c r="V80" s="244"/>
      <c r="W80" s="244"/>
      <c r="X80" s="244"/>
      <c r="Y80" s="244"/>
      <c r="Z80" s="244"/>
      <c r="AA80" s="244"/>
      <c r="AB80" s="244"/>
      <c r="AC80" s="244"/>
    </row>
    <row r="81" spans="1:29" ht="15.75" customHeight="1" x14ac:dyDescent="0.25">
      <c r="A81" s="244"/>
      <c r="B81" s="186"/>
      <c r="C81" s="186" t="s">
        <v>226</v>
      </c>
      <c r="D81" s="296">
        <v>709</v>
      </c>
      <c r="E81" s="332"/>
      <c r="F81" s="186"/>
      <c r="G81" s="769"/>
      <c r="H81" s="415"/>
      <c r="I81" s="339"/>
      <c r="J81" s="265">
        <v>6342</v>
      </c>
      <c r="K81" s="332"/>
      <c r="L81" s="186"/>
      <c r="M81" s="769"/>
      <c r="N81" s="415"/>
      <c r="O81" s="186"/>
      <c r="P81" s="244"/>
      <c r="Q81" s="244"/>
      <c r="R81" s="244"/>
      <c r="S81" s="244"/>
      <c r="T81" s="244"/>
      <c r="U81" s="244"/>
      <c r="V81" s="244"/>
      <c r="W81" s="244"/>
      <c r="X81" s="244"/>
      <c r="Y81" s="244"/>
      <c r="Z81" s="244"/>
      <c r="AA81" s="244"/>
      <c r="AB81" s="244"/>
      <c r="AC81" s="244"/>
    </row>
    <row r="82" spans="1:29" ht="15.75" customHeight="1" x14ac:dyDescent="0.25">
      <c r="A82" s="244"/>
      <c r="B82" s="186"/>
      <c r="C82" s="186" t="s">
        <v>228</v>
      </c>
      <c r="D82" s="296"/>
      <c r="E82" s="332"/>
      <c r="F82" s="186"/>
      <c r="G82" s="769"/>
      <c r="H82" s="415"/>
      <c r="I82" s="339"/>
      <c r="J82" s="265">
        <v>0</v>
      </c>
      <c r="K82" s="332"/>
      <c r="L82" s="186"/>
      <c r="M82" s="769"/>
      <c r="N82" s="415"/>
      <c r="O82" s="186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  <c r="AA82" s="244"/>
      <c r="AB82" s="244"/>
      <c r="AC82" s="244"/>
    </row>
    <row r="83" spans="1:29" ht="15.75" customHeight="1" x14ac:dyDescent="0.25">
      <c r="A83" s="244"/>
      <c r="B83" s="186"/>
      <c r="C83" s="186" t="s">
        <v>229</v>
      </c>
      <c r="D83" s="296"/>
      <c r="E83" s="332"/>
      <c r="F83" s="186"/>
      <c r="G83" s="769"/>
      <c r="H83" s="415"/>
      <c r="I83" s="339"/>
      <c r="J83" s="265"/>
      <c r="K83" s="332"/>
      <c r="L83" s="186"/>
      <c r="M83" s="769"/>
      <c r="N83" s="415"/>
      <c r="O83" s="186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</row>
    <row r="84" spans="1:29" ht="15.75" customHeight="1" x14ac:dyDescent="0.25">
      <c r="A84" s="244"/>
      <c r="B84" s="186"/>
      <c r="C84" s="186" t="s">
        <v>230</v>
      </c>
      <c r="D84" s="296">
        <v>4507</v>
      </c>
      <c r="E84" s="332"/>
      <c r="F84" s="186"/>
      <c r="G84" s="769"/>
      <c r="H84" s="415"/>
      <c r="I84" s="339"/>
      <c r="J84" s="265">
        <v>3900</v>
      </c>
      <c r="K84" s="332"/>
      <c r="L84" s="186"/>
      <c r="M84" s="769"/>
      <c r="N84" s="415"/>
      <c r="O84" s="186"/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Z84" s="244"/>
      <c r="AA84" s="244"/>
      <c r="AB84" s="244"/>
      <c r="AC84" s="244"/>
    </row>
    <row r="85" spans="1:29" ht="15.75" customHeight="1" x14ac:dyDescent="0.25">
      <c r="A85" s="244"/>
      <c r="B85" s="186"/>
      <c r="C85" s="186" t="s">
        <v>231</v>
      </c>
      <c r="D85" s="296">
        <v>84500</v>
      </c>
      <c r="E85" s="332"/>
      <c r="F85" s="186"/>
      <c r="G85" s="769"/>
      <c r="H85" s="415"/>
      <c r="I85" s="339"/>
      <c r="J85" s="265">
        <v>84500</v>
      </c>
      <c r="K85" s="332"/>
      <c r="L85" s="186"/>
      <c r="M85" s="769"/>
      <c r="N85" s="415"/>
      <c r="O85" s="186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</row>
    <row r="86" spans="1:29" ht="15.75" customHeight="1" x14ac:dyDescent="0.25">
      <c r="A86" s="244"/>
      <c r="B86" s="186"/>
      <c r="C86" s="186" t="s">
        <v>230</v>
      </c>
      <c r="D86" s="296"/>
      <c r="E86" s="313"/>
      <c r="F86" s="186"/>
      <c r="G86" s="186"/>
      <c r="H86" s="415"/>
      <c r="I86" s="339"/>
      <c r="J86" s="265"/>
      <c r="K86" s="313"/>
      <c r="L86" s="186"/>
      <c r="M86" s="186"/>
      <c r="N86" s="415"/>
      <c r="O86" s="186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Z86" s="244"/>
      <c r="AA86" s="244"/>
      <c r="AB86" s="244"/>
      <c r="AC86" s="244"/>
    </row>
    <row r="87" spans="1:29" ht="15.75" customHeight="1" x14ac:dyDescent="0.25">
      <c r="A87" s="244"/>
      <c r="B87" s="186"/>
      <c r="C87" s="186" t="s">
        <v>226</v>
      </c>
      <c r="D87" s="296"/>
      <c r="E87" s="313"/>
      <c r="F87" s="186"/>
      <c r="G87" s="186"/>
      <c r="H87" s="186"/>
      <c r="I87" s="339"/>
      <c r="J87" s="265"/>
      <c r="K87" s="313"/>
      <c r="L87" s="186"/>
      <c r="M87" s="186"/>
      <c r="N87" s="186"/>
      <c r="O87" s="186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244"/>
      <c r="AB87" s="244"/>
      <c r="AC87" s="244"/>
    </row>
    <row r="88" spans="1:29" ht="15.75" customHeight="1" x14ac:dyDescent="0.25">
      <c r="A88" s="244"/>
      <c r="B88" s="458"/>
      <c r="C88" s="839"/>
      <c r="D88" s="317"/>
      <c r="E88" s="316"/>
      <c r="F88" s="458"/>
      <c r="G88" s="458"/>
      <c r="H88" s="458"/>
      <c r="I88" s="404"/>
      <c r="J88" s="276"/>
      <c r="K88" s="313"/>
      <c r="L88" s="186"/>
      <c r="M88" s="186"/>
      <c r="N88" s="186"/>
      <c r="O88" s="186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</row>
    <row r="89" spans="1:29" ht="15.75" customHeight="1" x14ac:dyDescent="0.25">
      <c r="A89" s="244"/>
      <c r="B89" s="279"/>
      <c r="C89" s="501" t="s">
        <v>38</v>
      </c>
      <c r="D89" s="536">
        <f>SUM(D90)</f>
        <v>0</v>
      </c>
      <c r="E89" s="537">
        <f>D89/D$29</f>
        <v>0</v>
      </c>
      <c r="F89" s="279">
        <f>SUM(F90)</f>
        <v>0</v>
      </c>
      <c r="G89" s="841" t="e">
        <f>F89/F$29</f>
        <v>#DIV/0!</v>
      </c>
      <c r="H89" s="842">
        <f>SUM(H90)</f>
        <v>0</v>
      </c>
      <c r="I89" s="279"/>
      <c r="J89" s="536">
        <f>SUM(J90)</f>
        <v>0</v>
      </c>
      <c r="K89" s="335">
        <f>J89/J$29</f>
        <v>0</v>
      </c>
      <c r="L89" s="186">
        <f>SUM(L90)</f>
        <v>0</v>
      </c>
      <c r="M89" s="769" t="e">
        <f>L89/L$29</f>
        <v>#DIV/0!</v>
      </c>
      <c r="N89" s="758">
        <f>SUM(N90)</f>
        <v>0</v>
      </c>
      <c r="O89" s="18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  <c r="AA89" s="246"/>
      <c r="AB89" s="246"/>
      <c r="AC89" s="246"/>
    </row>
    <row r="90" spans="1:29" ht="15.75" customHeight="1" x14ac:dyDescent="0.25">
      <c r="A90" s="244"/>
      <c r="B90" s="560"/>
      <c r="C90" s="560" t="s">
        <v>276</v>
      </c>
      <c r="D90" s="327">
        <v>0</v>
      </c>
      <c r="E90" s="326">
        <f>IFERROR((D90/D$29),"")</f>
        <v>0</v>
      </c>
      <c r="F90" s="560"/>
      <c r="G90" s="560"/>
      <c r="H90" s="412">
        <f>D90-F90</f>
        <v>0</v>
      </c>
      <c r="I90" s="393"/>
      <c r="J90" s="261">
        <v>0</v>
      </c>
      <c r="K90" s="332">
        <f>IFERROR((J90/J$29),"")</f>
        <v>0</v>
      </c>
      <c r="L90" s="186"/>
      <c r="M90" s="186"/>
      <c r="N90" s="415">
        <f>J90-L90</f>
        <v>0</v>
      </c>
      <c r="O90" s="186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</row>
    <row r="91" spans="1:29" ht="15.75" customHeight="1" x14ac:dyDescent="0.25">
      <c r="A91" s="244"/>
      <c r="B91" s="458"/>
      <c r="C91" s="458"/>
      <c r="D91" s="317"/>
      <c r="E91" s="316"/>
      <c r="F91" s="458"/>
      <c r="G91" s="458"/>
      <c r="H91" s="458"/>
      <c r="I91" s="404"/>
      <c r="J91" s="276"/>
      <c r="K91" s="313"/>
      <c r="L91" s="186"/>
      <c r="M91" s="186"/>
      <c r="N91" s="186"/>
      <c r="O91" s="186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</row>
    <row r="92" spans="1:29" ht="15.75" customHeight="1" x14ac:dyDescent="0.25">
      <c r="A92" s="244"/>
      <c r="B92" s="279"/>
      <c r="C92" s="501" t="s">
        <v>238</v>
      </c>
      <c r="D92" s="367">
        <f>SUM(D93:D94)</f>
        <v>1994</v>
      </c>
      <c r="E92" s="490">
        <f>D92/D$29</f>
        <v>3.1337961209450421E-3</v>
      </c>
      <c r="F92" s="278">
        <f>SUM(F93:F94)</f>
        <v>0</v>
      </c>
      <c r="G92" s="840" t="e">
        <f>F92/F$29</f>
        <v>#DIV/0!</v>
      </c>
      <c r="H92" s="489">
        <f>SUM(H93:H94)</f>
        <v>0</v>
      </c>
      <c r="I92" s="278"/>
      <c r="J92" s="367">
        <f>SUM(J93:J94)</f>
        <v>0</v>
      </c>
      <c r="K92" s="335">
        <f>J92/J$29</f>
        <v>0</v>
      </c>
      <c r="L92" s="186">
        <f>SUM(L93:L94)</f>
        <v>0</v>
      </c>
      <c r="M92" s="769" t="e">
        <f>L92/L$29</f>
        <v>#DIV/0!</v>
      </c>
      <c r="N92" s="415">
        <f>SUM(N93:N94)</f>
        <v>0</v>
      </c>
      <c r="O92" s="18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  <c r="AA92" s="246"/>
      <c r="AB92" s="246"/>
      <c r="AC92" s="246"/>
    </row>
    <row r="93" spans="1:29" ht="15.75" customHeight="1" x14ac:dyDescent="0.25">
      <c r="A93" s="244"/>
      <c r="B93" s="560"/>
      <c r="C93" s="560" t="s">
        <v>239</v>
      </c>
      <c r="D93" s="327"/>
      <c r="E93" s="326"/>
      <c r="F93" s="560"/>
      <c r="G93" s="773"/>
      <c r="H93" s="412"/>
      <c r="I93" s="393"/>
      <c r="J93" s="261"/>
      <c r="K93" s="332"/>
      <c r="L93" s="186"/>
      <c r="M93" s="769"/>
      <c r="N93" s="415"/>
      <c r="O93" s="186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</row>
    <row r="94" spans="1:29" ht="15.75" customHeight="1" x14ac:dyDescent="0.25">
      <c r="A94" s="244"/>
      <c r="B94" s="186"/>
      <c r="C94" s="186" t="s">
        <v>289</v>
      </c>
      <c r="D94" s="296">
        <v>1994</v>
      </c>
      <c r="E94" s="332"/>
      <c r="F94" s="186"/>
      <c r="G94" s="769"/>
      <c r="H94" s="415"/>
      <c r="I94" s="339"/>
      <c r="J94" s="265">
        <v>0</v>
      </c>
      <c r="K94" s="332"/>
      <c r="L94" s="186"/>
      <c r="M94" s="769"/>
      <c r="N94" s="415"/>
      <c r="O94" s="186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</row>
    <row r="95" spans="1:29" ht="15.75" customHeight="1" x14ac:dyDescent="0.25">
      <c r="A95" s="244"/>
      <c r="B95" s="458"/>
      <c r="C95" s="458"/>
      <c r="D95" s="317"/>
      <c r="E95" s="316"/>
      <c r="F95" s="458"/>
      <c r="G95" s="458"/>
      <c r="H95" s="458"/>
      <c r="I95" s="404"/>
      <c r="J95" s="276"/>
      <c r="K95" s="313"/>
      <c r="L95" s="186"/>
      <c r="M95" s="186"/>
      <c r="N95" s="186"/>
      <c r="O95" s="186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</row>
    <row r="96" spans="1:29" ht="15.75" customHeight="1" x14ac:dyDescent="0.25">
      <c r="A96" s="244"/>
      <c r="B96" s="279"/>
      <c r="C96" s="501" t="s">
        <v>40</v>
      </c>
      <c r="D96" s="367">
        <f>SUM(D97:D110)</f>
        <v>75836</v>
      </c>
      <c r="E96" s="490">
        <f>D96/D$29</f>
        <v>0.11918483582145849</v>
      </c>
      <c r="F96" s="278">
        <f>SUM(F97:F107)</f>
        <v>0</v>
      </c>
      <c r="G96" s="840" t="e">
        <f>F96/F$29</f>
        <v>#DIV/0!</v>
      </c>
      <c r="H96" s="843">
        <f>SUM(H97:H107)</f>
        <v>0</v>
      </c>
      <c r="I96" s="278"/>
      <c r="J96" s="367">
        <f>SUM(J97:J110)</f>
        <v>0</v>
      </c>
      <c r="K96" s="335">
        <f>J96/J$29</f>
        <v>0</v>
      </c>
      <c r="L96" s="186">
        <f>SUM(L97:L107)</f>
        <v>0</v>
      </c>
      <c r="M96" s="769" t="e">
        <f>L96/L$29</f>
        <v>#DIV/0!</v>
      </c>
      <c r="N96" s="758">
        <f>SUM(N97:N107)</f>
        <v>0</v>
      </c>
      <c r="O96" s="18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  <c r="AA96" s="246"/>
      <c r="AB96" s="246"/>
      <c r="AC96" s="246"/>
    </row>
    <row r="97" spans="1:29" ht="15.75" customHeight="1" x14ac:dyDescent="0.25">
      <c r="A97" s="244"/>
      <c r="B97" s="560"/>
      <c r="C97" s="560" t="s">
        <v>241</v>
      </c>
      <c r="D97" s="327"/>
      <c r="E97" s="326"/>
      <c r="F97" s="560"/>
      <c r="G97" s="773"/>
      <c r="H97" s="412"/>
      <c r="I97" s="393"/>
      <c r="J97" s="261"/>
      <c r="K97" s="332"/>
      <c r="L97" s="186"/>
      <c r="M97" s="769"/>
      <c r="N97" s="415"/>
      <c r="O97" s="186"/>
      <c r="P97" s="244"/>
      <c r="Q97" s="244"/>
      <c r="R97" s="244"/>
      <c r="S97" s="244"/>
      <c r="T97" s="244"/>
      <c r="U97" s="244"/>
      <c r="V97" s="244"/>
      <c r="W97" s="244"/>
      <c r="X97" s="244"/>
      <c r="Y97" s="244"/>
      <c r="Z97" s="244"/>
      <c r="AA97" s="244"/>
      <c r="AB97" s="244"/>
      <c r="AC97" s="244"/>
    </row>
    <row r="98" spans="1:29" ht="15.75" customHeight="1" x14ac:dyDescent="0.25">
      <c r="A98" s="244"/>
      <c r="B98" s="186"/>
      <c r="C98" s="186" t="s">
        <v>242</v>
      </c>
      <c r="D98" s="296"/>
      <c r="E98" s="332"/>
      <c r="F98" s="186"/>
      <c r="G98" s="769"/>
      <c r="H98" s="415"/>
      <c r="I98" s="339"/>
      <c r="J98" s="265"/>
      <c r="K98" s="332"/>
      <c r="L98" s="186"/>
      <c r="M98" s="769"/>
      <c r="N98" s="415"/>
      <c r="O98" s="186"/>
      <c r="P98" s="244"/>
      <c r="Q98" s="244"/>
      <c r="R98" s="244"/>
      <c r="S98" s="244"/>
      <c r="T98" s="244"/>
      <c r="U98" s="244"/>
      <c r="V98" s="244"/>
      <c r="W98" s="244"/>
      <c r="X98" s="244"/>
      <c r="Y98" s="244"/>
      <c r="Z98" s="244"/>
      <c r="AA98" s="244"/>
      <c r="AB98" s="244"/>
      <c r="AC98" s="244"/>
    </row>
    <row r="99" spans="1:29" ht="15.75" customHeight="1" x14ac:dyDescent="0.25">
      <c r="A99" s="244"/>
      <c r="B99" s="186"/>
      <c r="C99" s="186" t="s">
        <v>243</v>
      </c>
      <c r="D99" s="296"/>
      <c r="E99" s="332"/>
      <c r="F99" s="186"/>
      <c r="G99" s="769"/>
      <c r="H99" s="415"/>
      <c r="I99" s="339"/>
      <c r="J99" s="265"/>
      <c r="K99" s="332"/>
      <c r="L99" s="186"/>
      <c r="M99" s="769"/>
      <c r="N99" s="415"/>
      <c r="O99" s="186"/>
      <c r="P99" s="244"/>
      <c r="Q99" s="244"/>
      <c r="R99" s="244"/>
      <c r="S99" s="244"/>
      <c r="T99" s="244"/>
      <c r="U99" s="244"/>
      <c r="V99" s="244"/>
      <c r="W99" s="244"/>
      <c r="X99" s="244"/>
      <c r="Y99" s="244"/>
      <c r="Z99" s="244"/>
      <c r="AA99" s="244"/>
      <c r="AB99" s="244"/>
      <c r="AC99" s="244"/>
    </row>
    <row r="100" spans="1:29" ht="15.75" customHeight="1" x14ac:dyDescent="0.25">
      <c r="A100" s="244"/>
      <c r="B100" s="186"/>
      <c r="C100" s="186" t="s">
        <v>244</v>
      </c>
      <c r="D100" s="296"/>
      <c r="E100" s="332"/>
      <c r="F100" s="186"/>
      <c r="G100" s="769"/>
      <c r="H100" s="415"/>
      <c r="I100" s="339"/>
      <c r="J100" s="265"/>
      <c r="K100" s="332"/>
      <c r="L100" s="186"/>
      <c r="M100" s="769"/>
      <c r="N100" s="415"/>
      <c r="O100" s="186"/>
      <c r="P100" s="244"/>
      <c r="Q100" s="244"/>
      <c r="R100" s="244"/>
      <c r="S100" s="244"/>
      <c r="T100" s="244"/>
      <c r="U100" s="244"/>
      <c r="V100" s="244"/>
      <c r="W100" s="244"/>
      <c r="X100" s="244"/>
      <c r="Y100" s="244"/>
      <c r="Z100" s="244"/>
      <c r="AA100" s="244"/>
      <c r="AB100" s="244"/>
      <c r="AC100" s="244"/>
    </row>
    <row r="101" spans="1:29" ht="15.75" customHeight="1" x14ac:dyDescent="0.25">
      <c r="A101" s="244"/>
      <c r="B101" s="186"/>
      <c r="C101" s="186" t="s">
        <v>290</v>
      </c>
      <c r="D101" s="296"/>
      <c r="E101" s="332"/>
      <c r="F101" s="186"/>
      <c r="G101" s="769"/>
      <c r="H101" s="415"/>
      <c r="I101" s="339"/>
      <c r="J101" s="265"/>
      <c r="K101" s="332"/>
      <c r="L101" s="186"/>
      <c r="M101" s="769"/>
      <c r="N101" s="415"/>
      <c r="O101" s="186"/>
      <c r="P101" s="244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  <c r="AA101" s="244"/>
      <c r="AB101" s="244"/>
      <c r="AC101" s="244"/>
    </row>
    <row r="102" spans="1:29" ht="15.75" customHeight="1" x14ac:dyDescent="0.25">
      <c r="A102" s="244"/>
      <c r="B102" s="186"/>
      <c r="C102" s="186" t="s">
        <v>247</v>
      </c>
      <c r="D102" s="296"/>
      <c r="E102" s="332"/>
      <c r="F102" s="186"/>
      <c r="G102" s="769"/>
      <c r="H102" s="415"/>
      <c r="I102" s="339"/>
      <c r="J102" s="265"/>
      <c r="K102" s="332"/>
      <c r="L102" s="186"/>
      <c r="M102" s="769"/>
      <c r="N102" s="415"/>
      <c r="O102" s="186"/>
      <c r="P102" s="244"/>
      <c r="Q102" s="244"/>
      <c r="R102" s="244"/>
      <c r="S102" s="244"/>
      <c r="T102" s="244"/>
      <c r="U102" s="244"/>
      <c r="V102" s="244"/>
      <c r="W102" s="244"/>
      <c r="X102" s="244"/>
      <c r="Y102" s="244"/>
      <c r="Z102" s="244"/>
      <c r="AA102" s="244"/>
      <c r="AB102" s="244"/>
      <c r="AC102" s="244"/>
    </row>
    <row r="103" spans="1:29" ht="15.75" customHeight="1" x14ac:dyDescent="0.25">
      <c r="A103" s="244"/>
      <c r="B103" s="186"/>
      <c r="C103" s="186" t="s">
        <v>249</v>
      </c>
      <c r="D103" s="296"/>
      <c r="E103" s="332"/>
      <c r="F103" s="186"/>
      <c r="G103" s="769"/>
      <c r="H103" s="415"/>
      <c r="I103" s="339"/>
      <c r="J103" s="265"/>
      <c r="K103" s="332"/>
      <c r="L103" s="186"/>
      <c r="M103" s="769"/>
      <c r="N103" s="415"/>
      <c r="O103" s="186"/>
      <c r="P103" s="244"/>
      <c r="Q103" s="244"/>
      <c r="R103" s="244"/>
      <c r="S103" s="244"/>
      <c r="T103" s="244"/>
      <c r="U103" s="244"/>
      <c r="V103" s="244"/>
      <c r="W103" s="244"/>
      <c r="X103" s="244"/>
      <c r="Y103" s="244"/>
      <c r="Z103" s="244"/>
      <c r="AA103" s="244"/>
      <c r="AB103" s="244"/>
      <c r="AC103" s="244"/>
    </row>
    <row r="104" spans="1:29" ht="15.75" customHeight="1" x14ac:dyDescent="0.25">
      <c r="A104" s="244"/>
      <c r="B104" s="186"/>
      <c r="C104" s="186" t="s">
        <v>250</v>
      </c>
      <c r="D104" s="296"/>
      <c r="E104" s="332"/>
      <c r="F104" s="186"/>
      <c r="G104" s="769"/>
      <c r="H104" s="415"/>
      <c r="I104" s="339"/>
      <c r="J104" s="265"/>
      <c r="K104" s="332"/>
      <c r="L104" s="186"/>
      <c r="M104" s="769"/>
      <c r="N104" s="415"/>
      <c r="O104" s="186"/>
      <c r="P104" s="244"/>
      <c r="Q104" s="244"/>
      <c r="R104" s="244"/>
      <c r="S104" s="244"/>
      <c r="T104" s="244"/>
      <c r="U104" s="244"/>
      <c r="V104" s="244"/>
      <c r="W104" s="244"/>
      <c r="X104" s="244"/>
      <c r="Y104" s="244"/>
      <c r="Z104" s="244"/>
      <c r="AA104" s="244"/>
      <c r="AB104" s="244"/>
      <c r="AC104" s="244"/>
    </row>
    <row r="105" spans="1:29" ht="15.75" customHeight="1" x14ac:dyDescent="0.25">
      <c r="A105" s="244"/>
      <c r="B105" s="186"/>
      <c r="C105" s="186" t="s">
        <v>251</v>
      </c>
      <c r="D105" s="296"/>
      <c r="E105" s="332"/>
      <c r="F105" s="186"/>
      <c r="G105" s="769"/>
      <c r="H105" s="415"/>
      <c r="I105" s="339"/>
      <c r="J105" s="265"/>
      <c r="K105" s="332"/>
      <c r="L105" s="186"/>
      <c r="M105" s="769"/>
      <c r="N105" s="415"/>
      <c r="O105" s="186"/>
      <c r="P105" s="244"/>
      <c r="Q105" s="244"/>
      <c r="R105" s="244"/>
      <c r="S105" s="244"/>
      <c r="T105" s="244"/>
      <c r="U105" s="244"/>
      <c r="V105" s="244"/>
      <c r="W105" s="244"/>
      <c r="X105" s="244"/>
      <c r="Y105" s="244"/>
      <c r="Z105" s="244"/>
      <c r="AA105" s="244"/>
      <c r="AB105" s="244"/>
      <c r="AC105" s="244"/>
    </row>
    <row r="106" spans="1:29" ht="15.75" customHeight="1" x14ac:dyDescent="0.25">
      <c r="A106" s="244"/>
      <c r="B106" s="186"/>
      <c r="C106" s="186" t="s">
        <v>252</v>
      </c>
      <c r="D106" s="296"/>
      <c r="E106" s="332"/>
      <c r="F106" s="186"/>
      <c r="G106" s="769"/>
      <c r="H106" s="415"/>
      <c r="I106" s="339"/>
      <c r="J106" s="265"/>
      <c r="K106" s="332"/>
      <c r="L106" s="186"/>
      <c r="M106" s="769"/>
      <c r="N106" s="415"/>
      <c r="O106" s="186"/>
      <c r="P106" s="244"/>
      <c r="Q106" s="244"/>
      <c r="R106" s="244"/>
      <c r="S106" s="244"/>
      <c r="T106" s="244"/>
      <c r="U106" s="244"/>
      <c r="V106" s="244"/>
      <c r="W106" s="244"/>
      <c r="X106" s="244"/>
      <c r="Y106" s="244"/>
      <c r="Z106" s="244"/>
      <c r="AA106" s="244"/>
      <c r="AB106" s="244"/>
      <c r="AC106" s="244"/>
    </row>
    <row r="107" spans="1:29" ht="15.75" customHeight="1" x14ac:dyDescent="0.25">
      <c r="A107" s="244"/>
      <c r="B107" s="186"/>
      <c r="C107" s="186" t="s">
        <v>303</v>
      </c>
      <c r="D107" s="296"/>
      <c r="E107" s="332"/>
      <c r="F107" s="186"/>
      <c r="G107" s="769"/>
      <c r="H107" s="415"/>
      <c r="I107" s="339"/>
      <c r="J107" s="265"/>
      <c r="K107" s="332"/>
      <c r="L107" s="186"/>
      <c r="M107" s="769"/>
      <c r="N107" s="415"/>
      <c r="O107" s="186"/>
      <c r="P107" s="244"/>
      <c r="Q107" s="244"/>
      <c r="R107" s="244"/>
      <c r="S107" s="244"/>
      <c r="T107" s="244"/>
      <c r="U107" s="244"/>
      <c r="V107" s="244"/>
      <c r="W107" s="244"/>
      <c r="X107" s="244"/>
      <c r="Y107" s="244"/>
      <c r="Z107" s="244"/>
      <c r="AA107" s="244"/>
      <c r="AB107" s="244"/>
      <c r="AC107" s="244"/>
    </row>
    <row r="108" spans="1:29" ht="15.75" customHeight="1" x14ac:dyDescent="0.25">
      <c r="A108" s="244"/>
      <c r="B108" s="186"/>
      <c r="C108" s="186" t="s">
        <v>280</v>
      </c>
      <c r="D108" s="296"/>
      <c r="E108" s="332"/>
      <c r="F108" s="186"/>
      <c r="G108" s="769"/>
      <c r="H108" s="186"/>
      <c r="I108" s="339"/>
      <c r="J108" s="265"/>
      <c r="K108" s="332"/>
      <c r="L108" s="186"/>
      <c r="M108" s="769"/>
      <c r="N108" s="186"/>
      <c r="O108" s="186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</row>
    <row r="109" spans="1:29" ht="15.75" customHeight="1" x14ac:dyDescent="0.25">
      <c r="A109" s="244"/>
      <c r="B109" s="186"/>
      <c r="C109" s="186" t="s">
        <v>247</v>
      </c>
      <c r="D109" s="296">
        <v>75836</v>
      </c>
      <c r="E109" s="313"/>
      <c r="F109" s="186"/>
      <c r="G109" s="186"/>
      <c r="H109" s="186"/>
      <c r="I109" s="339"/>
      <c r="J109" s="265"/>
      <c r="K109" s="313"/>
      <c r="L109" s="186"/>
      <c r="M109" s="186"/>
      <c r="N109" s="186"/>
      <c r="O109" s="186"/>
      <c r="P109" s="244"/>
      <c r="Q109" s="244"/>
      <c r="R109" s="244"/>
      <c r="S109" s="244"/>
      <c r="T109" s="244"/>
      <c r="U109" s="244"/>
      <c r="V109" s="244"/>
      <c r="W109" s="244"/>
      <c r="X109" s="244"/>
      <c r="Y109" s="244"/>
      <c r="Z109" s="244"/>
      <c r="AA109" s="244"/>
      <c r="AB109" s="244"/>
      <c r="AC109" s="244"/>
    </row>
    <row r="110" spans="1:29" ht="15.75" customHeight="1" x14ac:dyDescent="0.25">
      <c r="A110" s="244"/>
      <c r="B110" s="186"/>
      <c r="C110" s="186" t="s">
        <v>280</v>
      </c>
      <c r="D110" s="296"/>
      <c r="E110" s="313"/>
      <c r="F110" s="186"/>
      <c r="G110" s="186"/>
      <c r="H110" s="186"/>
      <c r="I110" s="339"/>
      <c r="J110" s="265"/>
      <c r="K110" s="313"/>
      <c r="L110" s="186"/>
      <c r="M110" s="186"/>
      <c r="N110" s="186"/>
      <c r="O110" s="186"/>
      <c r="P110" s="244"/>
      <c r="Q110" s="244"/>
      <c r="R110" s="244"/>
      <c r="S110" s="244"/>
      <c r="T110" s="244"/>
      <c r="U110" s="244"/>
      <c r="V110" s="244"/>
      <c r="W110" s="244"/>
      <c r="X110" s="244"/>
      <c r="Y110" s="244"/>
      <c r="Z110" s="244"/>
      <c r="AA110" s="244"/>
      <c r="AB110" s="244"/>
      <c r="AC110" s="244"/>
    </row>
    <row r="111" spans="1:29" ht="15.75" customHeight="1" x14ac:dyDescent="0.25">
      <c r="A111" s="244"/>
      <c r="B111" s="458"/>
      <c r="C111" s="244"/>
      <c r="D111" s="317"/>
      <c r="E111" s="316"/>
      <c r="F111" s="458"/>
      <c r="G111" s="458"/>
      <c r="H111" s="458"/>
      <c r="I111" s="404"/>
      <c r="J111" s="276"/>
      <c r="K111" s="313"/>
      <c r="L111" s="186"/>
      <c r="M111" s="186"/>
      <c r="N111" s="186"/>
      <c r="O111" s="186"/>
      <c r="P111" s="244"/>
      <c r="Q111" s="244"/>
      <c r="R111" s="244"/>
      <c r="S111" s="244"/>
      <c r="T111" s="244"/>
      <c r="U111" s="244"/>
      <c r="V111" s="244"/>
      <c r="W111" s="244"/>
      <c r="X111" s="244"/>
      <c r="Y111" s="244"/>
      <c r="Z111" s="244"/>
      <c r="AA111" s="244"/>
      <c r="AB111" s="244"/>
      <c r="AC111" s="244"/>
    </row>
    <row r="112" spans="1:29" ht="15.75" customHeight="1" x14ac:dyDescent="0.25">
      <c r="A112" s="244"/>
      <c r="B112" s="279"/>
      <c r="C112" s="501" t="s">
        <v>41</v>
      </c>
      <c r="D112" s="536">
        <f>SUM(D113:D114)</f>
        <v>0</v>
      </c>
      <c r="E112" s="504"/>
      <c r="F112" s="502">
        <f>SUM(F113:F114)</f>
        <v>0</v>
      </c>
      <c r="G112" s="279"/>
      <c r="H112" s="502">
        <f>SUM(H113:H114)</f>
        <v>0</v>
      </c>
      <c r="I112" s="279"/>
      <c r="J112" s="536">
        <f>SUM(J113:J114)</f>
        <v>0</v>
      </c>
      <c r="K112" s="417"/>
      <c r="L112" s="415">
        <f>SUM(L113:L114)</f>
        <v>0</v>
      </c>
      <c r="M112" s="186"/>
      <c r="N112" s="415">
        <f>SUM(N113:N114)</f>
        <v>0</v>
      </c>
      <c r="O112" s="18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</row>
    <row r="113" spans="1:29" ht="15.75" customHeight="1" x14ac:dyDescent="0.25">
      <c r="A113" s="244"/>
      <c r="B113" s="560"/>
      <c r="C113" s="560" t="s">
        <v>253</v>
      </c>
      <c r="D113" s="327"/>
      <c r="E113" s="326">
        <f t="shared" ref="E113:E114" si="4">IFERROR((D113/D$29),"")</f>
        <v>0</v>
      </c>
      <c r="F113" s="560"/>
      <c r="G113" s="560"/>
      <c r="H113" s="412">
        <f t="shared" ref="H113:H114" si="5">D113-F113</f>
        <v>0</v>
      </c>
      <c r="I113" s="393"/>
      <c r="J113" s="261"/>
      <c r="K113" s="332">
        <f t="shared" ref="K113:K114" si="6">IFERROR((J113/J$29),"")</f>
        <v>0</v>
      </c>
      <c r="L113" s="186"/>
      <c r="M113" s="186"/>
      <c r="N113" s="415">
        <f t="shared" ref="N113:N114" si="7">J113-L113</f>
        <v>0</v>
      </c>
      <c r="O113" s="186"/>
      <c r="P113" s="244"/>
      <c r="Q113" s="244"/>
      <c r="R113" s="244"/>
      <c r="S113" s="244"/>
      <c r="T113" s="244"/>
      <c r="U113" s="244"/>
      <c r="V113" s="244"/>
      <c r="W113" s="244"/>
      <c r="X113" s="244"/>
      <c r="Y113" s="244"/>
      <c r="Z113" s="244"/>
      <c r="AA113" s="244"/>
      <c r="AB113" s="244"/>
      <c r="AC113" s="244"/>
    </row>
    <row r="114" spans="1:29" ht="15.75" customHeight="1" x14ac:dyDescent="0.25">
      <c r="A114" s="244"/>
      <c r="B114" s="186"/>
      <c r="C114" s="186" t="s">
        <v>292</v>
      </c>
      <c r="D114" s="296"/>
      <c r="E114" s="332">
        <f t="shared" si="4"/>
        <v>0</v>
      </c>
      <c r="F114" s="186"/>
      <c r="G114" s="186"/>
      <c r="H114" s="415">
        <f t="shared" si="5"/>
        <v>0</v>
      </c>
      <c r="I114" s="339"/>
      <c r="J114" s="265"/>
      <c r="K114" s="332">
        <f t="shared" si="6"/>
        <v>0</v>
      </c>
      <c r="L114" s="186"/>
      <c r="M114" s="186"/>
      <c r="N114" s="415">
        <f t="shared" si="7"/>
        <v>0</v>
      </c>
      <c r="O114" s="186"/>
      <c r="P114" s="244"/>
      <c r="Q114" s="244"/>
      <c r="R114" s="244"/>
      <c r="S114" s="244"/>
      <c r="T114" s="244"/>
      <c r="U114" s="244"/>
      <c r="V114" s="244"/>
      <c r="W114" s="244"/>
      <c r="X114" s="244"/>
      <c r="Y114" s="244"/>
      <c r="Z114" s="244"/>
      <c r="AA114" s="244"/>
      <c r="AB114" s="244"/>
      <c r="AC114" s="244"/>
    </row>
    <row r="115" spans="1:29" ht="15.75" customHeight="1" x14ac:dyDescent="0.25">
      <c r="A115" s="244"/>
      <c r="B115" s="186"/>
      <c r="C115" s="186" t="s">
        <v>341</v>
      </c>
      <c r="D115" s="296"/>
      <c r="E115" s="313"/>
      <c r="F115" s="186"/>
      <c r="G115" s="186"/>
      <c r="H115" s="186"/>
      <c r="I115" s="339"/>
      <c r="J115" s="265"/>
      <c r="K115" s="313"/>
      <c r="L115" s="186"/>
      <c r="M115" s="186"/>
      <c r="N115" s="186"/>
      <c r="O115" s="186"/>
      <c r="P115" s="244"/>
      <c r="Q115" s="244"/>
      <c r="R115" s="244"/>
      <c r="S115" s="244"/>
      <c r="T115" s="244"/>
      <c r="U115" s="244"/>
      <c r="V115" s="244"/>
      <c r="W115" s="244"/>
      <c r="X115" s="244"/>
      <c r="Y115" s="244"/>
      <c r="Z115" s="244"/>
      <c r="AA115" s="244"/>
      <c r="AB115" s="244"/>
      <c r="AC115" s="244"/>
    </row>
    <row r="116" spans="1:29" ht="15.75" customHeight="1" x14ac:dyDescent="0.25">
      <c r="A116" s="244"/>
      <c r="B116" s="458"/>
      <c r="C116" s="458"/>
      <c r="D116" s="317"/>
      <c r="E116" s="316"/>
      <c r="F116" s="458"/>
      <c r="G116" s="458"/>
      <c r="H116" s="458"/>
      <c r="I116" s="404"/>
      <c r="J116" s="276"/>
      <c r="K116" s="313"/>
      <c r="L116" s="186"/>
      <c r="M116" s="186"/>
      <c r="N116" s="186"/>
      <c r="O116" s="186"/>
      <c r="P116" s="244"/>
      <c r="Q116" s="244"/>
      <c r="R116" s="244"/>
      <c r="S116" s="244"/>
      <c r="T116" s="244"/>
      <c r="U116" s="244"/>
      <c r="V116" s="244"/>
      <c r="W116" s="244"/>
      <c r="X116" s="244"/>
      <c r="Y116" s="244"/>
      <c r="Z116" s="244"/>
      <c r="AA116" s="244"/>
      <c r="AB116" s="244"/>
      <c r="AC116" s="244"/>
    </row>
    <row r="117" spans="1:29" ht="15.75" customHeight="1" x14ac:dyDescent="0.25">
      <c r="A117" s="244"/>
      <c r="B117" s="279"/>
      <c r="C117" s="501" t="s">
        <v>42</v>
      </c>
      <c r="D117" s="367">
        <f>SUM(D118:D119)</f>
        <v>10300</v>
      </c>
      <c r="E117" s="504"/>
      <c r="F117" s="279">
        <f>SUM(F118)</f>
        <v>0</v>
      </c>
      <c r="G117" s="279"/>
      <c r="H117" s="842">
        <f>SUM(H118)</f>
        <v>0</v>
      </c>
      <c r="I117" s="279"/>
      <c r="J117" s="536">
        <f>SUM(J118:J119)</f>
        <v>0</v>
      </c>
      <c r="K117" s="417"/>
      <c r="L117" s="186">
        <f>SUM(L118)</f>
        <v>0</v>
      </c>
      <c r="M117" s="186"/>
      <c r="N117" s="758">
        <f>SUM(N118)</f>
        <v>0</v>
      </c>
      <c r="O117" s="18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</row>
    <row r="118" spans="1:29" ht="15.75" customHeight="1" x14ac:dyDescent="0.25">
      <c r="A118" s="244"/>
      <c r="B118" s="560"/>
      <c r="C118" s="560" t="s">
        <v>256</v>
      </c>
      <c r="D118" s="327"/>
      <c r="E118" s="326"/>
      <c r="F118" s="560"/>
      <c r="G118" s="560"/>
      <c r="H118" s="412"/>
      <c r="I118" s="393"/>
      <c r="J118" s="261"/>
      <c r="K118" s="332"/>
      <c r="L118" s="186"/>
      <c r="M118" s="186"/>
      <c r="N118" s="415"/>
      <c r="O118" s="186"/>
      <c r="P118" s="244"/>
      <c r="Q118" s="244"/>
      <c r="R118" s="297"/>
      <c r="S118" s="244"/>
      <c r="T118" s="244"/>
      <c r="U118" s="244"/>
      <c r="V118" s="244"/>
      <c r="W118" s="244"/>
      <c r="X118" s="244"/>
      <c r="Y118" s="244"/>
      <c r="Z118" s="244"/>
      <c r="AA118" s="244"/>
      <c r="AB118" s="244"/>
      <c r="AC118" s="244"/>
    </row>
    <row r="119" spans="1:29" ht="15.75" customHeight="1" x14ac:dyDescent="0.25">
      <c r="A119" s="244"/>
      <c r="B119" s="186"/>
      <c r="C119" s="186" t="s">
        <v>291</v>
      </c>
      <c r="D119" s="296">
        <v>10300</v>
      </c>
      <c r="E119" s="313"/>
      <c r="F119" s="186"/>
      <c r="G119" s="186"/>
      <c r="H119" s="186"/>
      <c r="I119" s="339"/>
      <c r="J119" s="265"/>
      <c r="K119" s="313"/>
      <c r="L119" s="186"/>
      <c r="M119" s="186"/>
      <c r="N119" s="186"/>
      <c r="O119" s="186"/>
      <c r="P119" s="244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  <c r="AA119" s="244"/>
      <c r="AB119" s="244"/>
      <c r="AC119" s="244"/>
    </row>
    <row r="120" spans="1:29" ht="15.75" customHeight="1" x14ac:dyDescent="0.25">
      <c r="A120" s="244"/>
      <c r="B120" s="458"/>
      <c r="C120" s="458"/>
      <c r="D120" s="317"/>
      <c r="E120" s="316"/>
      <c r="F120" s="458"/>
      <c r="G120" s="458"/>
      <c r="H120" s="458"/>
      <c r="I120" s="404"/>
      <c r="J120" s="276"/>
      <c r="K120" s="313"/>
      <c r="L120" s="186"/>
      <c r="M120" s="186"/>
      <c r="N120" s="186"/>
      <c r="O120" s="186"/>
      <c r="P120" s="244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  <c r="AA120" s="244"/>
      <c r="AB120" s="244"/>
      <c r="AC120" s="244"/>
    </row>
    <row r="121" spans="1:29" ht="15.75" customHeight="1" x14ac:dyDescent="0.25">
      <c r="A121" s="244"/>
      <c r="B121" s="279"/>
      <c r="C121" s="278" t="s">
        <v>257</v>
      </c>
      <c r="D121" s="367">
        <f>D51+D117+D112+D96+D92+D89+D77+D70+D63+D54</f>
        <v>675295.06</v>
      </c>
      <c r="E121" s="490">
        <f>IFERROR((D121/D$29),"")</f>
        <v>1.0613024270418003</v>
      </c>
      <c r="F121" s="489">
        <f>F117+F112+F96+F92+F89+F77+F70+F63+F54</f>
        <v>0</v>
      </c>
      <c r="G121" s="840" t="str">
        <f>IFERROR((F121/F$29),"")</f>
        <v/>
      </c>
      <c r="H121" s="489"/>
      <c r="I121" s="278"/>
      <c r="J121" s="367">
        <f>J51+J117+J112+J96+J92+J89+J77+J70+J63+J54</f>
        <v>783317</v>
      </c>
      <c r="K121" s="505">
        <f>IFERROR((J121/J$29),"")</f>
        <v>1.3040156751501593</v>
      </c>
      <c r="L121" s="448">
        <f>L117+L112+L96+L92+L89+L77+L70+L63+L54</f>
        <v>0</v>
      </c>
      <c r="M121" s="844" t="str">
        <f>IFERROR((L121/L$29),"")</f>
        <v/>
      </c>
      <c r="N121" s="448"/>
      <c r="O121" s="454"/>
      <c r="P121" s="244"/>
      <c r="Q121" s="244"/>
      <c r="R121" s="244"/>
      <c r="S121" s="244"/>
      <c r="T121" s="244"/>
      <c r="U121" s="244"/>
      <c r="V121" s="244"/>
      <c r="W121" s="244"/>
      <c r="X121" s="244"/>
      <c r="Y121" s="244"/>
      <c r="Z121" s="244"/>
      <c r="AA121" s="244"/>
      <c r="AB121" s="244"/>
      <c r="AC121" s="244"/>
    </row>
    <row r="122" spans="1:29" ht="15.75" customHeight="1" x14ac:dyDescent="0.25">
      <c r="A122" s="244"/>
      <c r="B122" s="570"/>
      <c r="C122" s="570"/>
      <c r="D122" s="357"/>
      <c r="E122" s="381"/>
      <c r="F122" s="570"/>
      <c r="G122" s="570"/>
      <c r="H122" s="570"/>
      <c r="I122" s="425"/>
      <c r="J122" s="294"/>
      <c r="K122" s="313"/>
      <c r="L122" s="186"/>
      <c r="M122" s="186"/>
      <c r="N122" s="186"/>
      <c r="O122" s="186"/>
      <c r="P122" s="244"/>
      <c r="Q122" s="244"/>
      <c r="R122" s="244"/>
      <c r="S122" s="244"/>
      <c r="T122" s="244"/>
      <c r="U122" s="244"/>
      <c r="V122" s="244"/>
      <c r="W122" s="244"/>
      <c r="X122" s="244"/>
      <c r="Y122" s="244"/>
      <c r="Z122" s="244"/>
      <c r="AA122" s="244"/>
      <c r="AB122" s="244"/>
      <c r="AC122" s="244"/>
    </row>
    <row r="123" spans="1:29" ht="15.75" customHeight="1" x14ac:dyDescent="0.25">
      <c r="A123" s="244"/>
      <c r="B123" s="279"/>
      <c r="C123" s="278" t="s">
        <v>258</v>
      </c>
      <c r="D123" s="367">
        <f>D42-D121</f>
        <v>-227704.72088220215</v>
      </c>
      <c r="E123" s="490">
        <f>IFERROR((D123/D$29),"")</f>
        <v>-0.35786367654038048</v>
      </c>
      <c r="F123" s="489">
        <f>F42-F121</f>
        <v>0</v>
      </c>
      <c r="G123" s="840" t="str">
        <f>IFERROR((F123/F$29),"")</f>
        <v/>
      </c>
      <c r="H123" s="489">
        <f>H42-H121</f>
        <v>0</v>
      </c>
      <c r="I123" s="278"/>
      <c r="J123" s="367">
        <f>J42-J121</f>
        <v>-436812.58</v>
      </c>
      <c r="K123" s="505">
        <f>IFERROR((J123/J$29),"")</f>
        <v>-0.72717744083529778</v>
      </c>
      <c r="L123" s="448">
        <f>L42-L121</f>
        <v>0</v>
      </c>
      <c r="M123" s="844" t="str">
        <f>IFERROR((L123/L$29),"")</f>
        <v/>
      </c>
      <c r="N123" s="448">
        <f>N42-N121</f>
        <v>0</v>
      </c>
      <c r="O123" s="454"/>
      <c r="P123" s="244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  <c r="AA123" s="244"/>
      <c r="AB123" s="244"/>
      <c r="AC123" s="244"/>
    </row>
    <row r="124" spans="1:29" ht="15.75" customHeight="1" x14ac:dyDescent="0.25">
      <c r="A124" s="244"/>
      <c r="B124" s="244"/>
      <c r="C124" s="244"/>
      <c r="D124" s="303"/>
      <c r="E124" s="179"/>
      <c r="F124" s="244"/>
      <c r="G124" s="244"/>
      <c r="H124" s="244"/>
      <c r="I124" s="244"/>
      <c r="J124" s="303"/>
      <c r="K124" s="179"/>
      <c r="L124" s="244"/>
      <c r="M124" s="244"/>
      <c r="N124" s="244"/>
      <c r="O124" s="244"/>
      <c r="P124" s="244"/>
      <c r="Q124" s="244"/>
      <c r="R124" s="244"/>
      <c r="S124" s="244"/>
      <c r="T124" s="244"/>
      <c r="U124" s="244"/>
      <c r="V124" s="244"/>
      <c r="W124" s="244"/>
      <c r="X124" s="244"/>
      <c r="Y124" s="244"/>
      <c r="Z124" s="244"/>
      <c r="AA124" s="244"/>
      <c r="AB124" s="244"/>
      <c r="AC124" s="244"/>
    </row>
    <row r="125" spans="1:29" ht="15.75" customHeight="1" x14ac:dyDescent="0.25">
      <c r="A125" s="244"/>
      <c r="B125" s="244"/>
      <c r="C125" s="244"/>
      <c r="D125" s="303"/>
      <c r="E125" s="179"/>
      <c r="F125" s="244"/>
      <c r="G125" s="244"/>
      <c r="H125" s="244"/>
      <c r="I125" s="244"/>
      <c r="J125" s="303"/>
      <c r="K125" s="179"/>
      <c r="L125" s="244"/>
      <c r="M125" s="244"/>
      <c r="N125" s="244"/>
      <c r="O125" s="244"/>
      <c r="P125" s="244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  <c r="AA125" s="244"/>
      <c r="AB125" s="244"/>
      <c r="AC125" s="244"/>
    </row>
    <row r="126" spans="1:29" ht="15.75" customHeight="1" x14ac:dyDescent="0.25">
      <c r="A126" s="244"/>
      <c r="B126" s="244"/>
      <c r="C126" s="244"/>
      <c r="D126" s="303"/>
      <c r="E126" s="179"/>
      <c r="F126" s="244"/>
      <c r="G126" s="244"/>
      <c r="H126" s="244"/>
      <c r="I126" s="244"/>
      <c r="J126" s="303"/>
      <c r="K126" s="179"/>
      <c r="L126" s="244"/>
      <c r="M126" s="244"/>
      <c r="N126" s="244"/>
      <c r="O126" s="244"/>
      <c r="P126" s="244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  <c r="AA126" s="244"/>
      <c r="AB126" s="244"/>
      <c r="AC126" s="244"/>
    </row>
    <row r="127" spans="1:29" ht="15.75" customHeight="1" x14ac:dyDescent="0.25">
      <c r="A127" s="244"/>
      <c r="B127" s="244"/>
      <c r="C127" s="244"/>
      <c r="D127" s="303"/>
      <c r="E127" s="179"/>
      <c r="F127" s="244"/>
      <c r="G127" s="244"/>
      <c r="H127" s="244"/>
      <c r="I127" s="244"/>
      <c r="J127" s="303"/>
      <c r="K127" s="179"/>
      <c r="L127" s="244"/>
      <c r="M127" s="244"/>
      <c r="N127" s="244"/>
      <c r="O127" s="244"/>
      <c r="P127" s="244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  <c r="AA127" s="244"/>
      <c r="AB127" s="244"/>
      <c r="AC127" s="244"/>
    </row>
    <row r="128" spans="1:29" ht="15.75" customHeight="1" x14ac:dyDescent="0.25">
      <c r="A128" s="244"/>
      <c r="B128" s="244"/>
      <c r="C128" s="244"/>
      <c r="D128" s="303"/>
      <c r="E128" s="179"/>
      <c r="F128" s="244"/>
      <c r="G128" s="244"/>
      <c r="H128" s="244"/>
      <c r="I128" s="244"/>
      <c r="J128" s="303"/>
      <c r="K128" s="179"/>
      <c r="L128" s="244"/>
      <c r="M128" s="244"/>
      <c r="N128" s="244"/>
      <c r="O128" s="244"/>
      <c r="P128" s="244"/>
      <c r="Q128" s="244"/>
      <c r="R128" s="244"/>
      <c r="S128" s="244"/>
      <c r="T128" s="244"/>
      <c r="U128" s="244"/>
      <c r="V128" s="244"/>
      <c r="W128" s="244"/>
      <c r="X128" s="244"/>
      <c r="Y128" s="244"/>
      <c r="Z128" s="244"/>
      <c r="AA128" s="244"/>
      <c r="AB128" s="244"/>
      <c r="AC128" s="244"/>
    </row>
    <row r="129" spans="1:29" ht="15.75" customHeight="1" x14ac:dyDescent="0.25">
      <c r="A129" s="244"/>
      <c r="B129" s="244"/>
      <c r="C129" s="244"/>
      <c r="D129" s="303"/>
      <c r="E129" s="179"/>
      <c r="F129" s="244"/>
      <c r="G129" s="244"/>
      <c r="H129" s="244"/>
      <c r="I129" s="244"/>
      <c r="J129" s="303"/>
      <c r="K129" s="179"/>
      <c r="L129" s="244"/>
      <c r="M129" s="244"/>
      <c r="N129" s="244"/>
      <c r="O129" s="244"/>
      <c r="P129" s="244"/>
      <c r="Q129" s="244"/>
      <c r="R129" s="244"/>
      <c r="S129" s="244"/>
      <c r="T129" s="244"/>
      <c r="U129" s="244"/>
      <c r="V129" s="244"/>
      <c r="W129" s="244"/>
      <c r="X129" s="244"/>
      <c r="Y129" s="244"/>
      <c r="Z129" s="244"/>
      <c r="AA129" s="244"/>
      <c r="AB129" s="244"/>
      <c r="AC129" s="244"/>
    </row>
    <row r="130" spans="1:29" ht="15.75" customHeight="1" x14ac:dyDescent="0.25">
      <c r="A130" s="244"/>
      <c r="B130" s="244"/>
      <c r="C130" s="244"/>
      <c r="D130" s="303"/>
      <c r="E130" s="179"/>
      <c r="F130" s="244"/>
      <c r="G130" s="244"/>
      <c r="H130" s="244"/>
      <c r="I130" s="244"/>
      <c r="J130" s="303"/>
      <c r="K130" s="179"/>
      <c r="L130" s="244"/>
      <c r="M130" s="244"/>
      <c r="N130" s="244"/>
      <c r="O130" s="244"/>
      <c r="P130" s="244"/>
      <c r="Q130" s="244"/>
      <c r="R130" s="244"/>
      <c r="S130" s="244"/>
      <c r="T130" s="244"/>
      <c r="U130" s="244"/>
      <c r="V130" s="244"/>
      <c r="W130" s="244"/>
      <c r="X130" s="244"/>
      <c r="Y130" s="244"/>
      <c r="Z130" s="244"/>
      <c r="AA130" s="244"/>
      <c r="AB130" s="244"/>
      <c r="AC130" s="244"/>
    </row>
    <row r="131" spans="1:29" ht="15.75" customHeight="1" x14ac:dyDescent="0.25">
      <c r="A131" s="244"/>
      <c r="B131" s="244"/>
      <c r="C131" s="244"/>
      <c r="D131" s="303"/>
      <c r="E131" s="179"/>
      <c r="F131" s="244"/>
      <c r="G131" s="244"/>
      <c r="H131" s="244"/>
      <c r="I131" s="244"/>
      <c r="J131" s="303"/>
      <c r="K131" s="179"/>
      <c r="L131" s="244"/>
      <c r="M131" s="244"/>
      <c r="N131" s="244"/>
      <c r="O131" s="244"/>
      <c r="P131" s="244"/>
      <c r="Q131" s="244"/>
      <c r="R131" s="244"/>
      <c r="S131" s="244"/>
      <c r="T131" s="244"/>
      <c r="U131" s="244"/>
      <c r="V131" s="244"/>
      <c r="W131" s="244"/>
      <c r="X131" s="244"/>
      <c r="Y131" s="244"/>
      <c r="Z131" s="244"/>
      <c r="AA131" s="244"/>
      <c r="AB131" s="244"/>
      <c r="AC131" s="244"/>
    </row>
    <row r="132" spans="1:29" ht="15.75" customHeight="1" x14ac:dyDescent="0.25">
      <c r="A132" s="244"/>
      <c r="B132" s="244"/>
      <c r="C132" s="244"/>
      <c r="D132" s="303"/>
      <c r="E132" s="179"/>
      <c r="F132" s="244"/>
      <c r="G132" s="244"/>
      <c r="H132" s="244"/>
      <c r="I132" s="244"/>
      <c r="J132" s="303"/>
      <c r="K132" s="179"/>
      <c r="L132" s="244"/>
      <c r="M132" s="244"/>
      <c r="N132" s="244"/>
      <c r="O132" s="244"/>
      <c r="P132" s="244"/>
      <c r="Q132" s="244"/>
      <c r="R132" s="244"/>
      <c r="S132" s="244"/>
      <c r="T132" s="244"/>
      <c r="U132" s="244"/>
      <c r="V132" s="244"/>
      <c r="W132" s="244"/>
      <c r="X132" s="244"/>
      <c r="Y132" s="244"/>
      <c r="Z132" s="244"/>
      <c r="AA132" s="244"/>
      <c r="AB132" s="244"/>
      <c r="AC132" s="244"/>
    </row>
    <row r="133" spans="1:29" ht="15.75" customHeight="1" x14ac:dyDescent="0.25">
      <c r="A133" s="244"/>
      <c r="B133" s="244"/>
      <c r="C133" s="244"/>
      <c r="D133" s="303"/>
      <c r="E133" s="179"/>
      <c r="F133" s="244"/>
      <c r="G133" s="244"/>
      <c r="H133" s="244"/>
      <c r="I133" s="244"/>
      <c r="J133" s="303"/>
      <c r="K133" s="179"/>
      <c r="L133" s="244"/>
      <c r="M133" s="244"/>
      <c r="N133" s="244"/>
      <c r="O133" s="244"/>
      <c r="P133" s="244"/>
      <c r="Q133" s="244"/>
      <c r="R133" s="244"/>
      <c r="S133" s="244"/>
      <c r="T133" s="244"/>
      <c r="U133" s="244"/>
      <c r="V133" s="244"/>
      <c r="W133" s="244"/>
      <c r="X133" s="244"/>
      <c r="Y133" s="244"/>
      <c r="Z133" s="244"/>
      <c r="AA133" s="244"/>
      <c r="AB133" s="244"/>
      <c r="AC133" s="244"/>
    </row>
    <row r="134" spans="1:29" ht="15.75" customHeight="1" x14ac:dyDescent="0.25">
      <c r="A134" s="244"/>
      <c r="B134" s="244"/>
      <c r="C134" s="244"/>
      <c r="D134" s="303"/>
      <c r="E134" s="179"/>
      <c r="F134" s="244"/>
      <c r="G134" s="244"/>
      <c r="H134" s="244"/>
      <c r="I134" s="244"/>
      <c r="J134" s="303"/>
      <c r="K134" s="179"/>
      <c r="L134" s="244"/>
      <c r="M134" s="244"/>
      <c r="N134" s="244"/>
      <c r="O134" s="244"/>
      <c r="P134" s="244"/>
      <c r="Q134" s="244"/>
      <c r="R134" s="244"/>
      <c r="S134" s="244"/>
      <c r="T134" s="244"/>
      <c r="U134" s="244"/>
      <c r="V134" s="244"/>
      <c r="W134" s="244"/>
      <c r="X134" s="244"/>
      <c r="Y134" s="244"/>
      <c r="Z134" s="244"/>
      <c r="AA134" s="244"/>
      <c r="AB134" s="244"/>
      <c r="AC134" s="244"/>
    </row>
    <row r="135" spans="1:29" ht="15.75" customHeight="1" x14ac:dyDescent="0.25">
      <c r="A135" s="244"/>
      <c r="B135" s="244"/>
      <c r="C135" s="244"/>
      <c r="D135" s="303"/>
      <c r="E135" s="179"/>
      <c r="F135" s="244"/>
      <c r="G135" s="244"/>
      <c r="H135" s="244"/>
      <c r="I135" s="244"/>
      <c r="J135" s="303"/>
      <c r="K135" s="179"/>
      <c r="L135" s="244"/>
      <c r="M135" s="244"/>
      <c r="N135" s="244"/>
      <c r="O135" s="244"/>
      <c r="P135" s="244"/>
      <c r="Q135" s="244"/>
      <c r="R135" s="244"/>
      <c r="S135" s="244"/>
      <c r="T135" s="244"/>
      <c r="U135" s="244"/>
      <c r="V135" s="244"/>
      <c r="W135" s="244"/>
      <c r="X135" s="244"/>
      <c r="Y135" s="244"/>
      <c r="Z135" s="244"/>
      <c r="AA135" s="244"/>
      <c r="AB135" s="244"/>
      <c r="AC135" s="244"/>
    </row>
    <row r="136" spans="1:29" ht="15.75" customHeight="1" x14ac:dyDescent="0.25">
      <c r="A136" s="244"/>
      <c r="B136" s="244"/>
      <c r="C136" s="244"/>
      <c r="D136" s="303"/>
      <c r="E136" s="179"/>
      <c r="F136" s="244"/>
      <c r="G136" s="244"/>
      <c r="H136" s="244"/>
      <c r="I136" s="244"/>
      <c r="J136" s="303"/>
      <c r="K136" s="179"/>
      <c r="L136" s="244"/>
      <c r="M136" s="244"/>
      <c r="N136" s="244"/>
      <c r="O136" s="244"/>
      <c r="P136" s="244"/>
      <c r="Q136" s="244"/>
      <c r="R136" s="244"/>
      <c r="S136" s="244"/>
      <c r="T136" s="244"/>
      <c r="U136" s="244"/>
      <c r="V136" s="244"/>
      <c r="W136" s="244"/>
      <c r="X136" s="244"/>
      <c r="Y136" s="244"/>
      <c r="Z136" s="244"/>
      <c r="AA136" s="244"/>
      <c r="AB136" s="244"/>
      <c r="AC136" s="244"/>
    </row>
    <row r="137" spans="1:29" ht="15.75" customHeight="1" x14ac:dyDescent="0.25">
      <c r="A137" s="244"/>
      <c r="B137" s="244"/>
      <c r="C137" s="244"/>
      <c r="D137" s="303"/>
      <c r="E137" s="179"/>
      <c r="F137" s="244"/>
      <c r="G137" s="244"/>
      <c r="H137" s="244"/>
      <c r="I137" s="244"/>
      <c r="J137" s="303"/>
      <c r="K137" s="179"/>
      <c r="L137" s="244"/>
      <c r="M137" s="244"/>
      <c r="N137" s="244"/>
      <c r="O137" s="244"/>
      <c r="P137" s="244"/>
      <c r="Q137" s="244"/>
      <c r="R137" s="244"/>
      <c r="S137" s="244"/>
      <c r="T137" s="244"/>
      <c r="U137" s="244"/>
      <c r="V137" s="244"/>
      <c r="W137" s="244"/>
      <c r="X137" s="244"/>
      <c r="Y137" s="244"/>
      <c r="Z137" s="244"/>
      <c r="AA137" s="244"/>
      <c r="AB137" s="244"/>
      <c r="AC137" s="244"/>
    </row>
    <row r="138" spans="1:29" ht="15.75" customHeight="1" x14ac:dyDescent="0.25">
      <c r="A138" s="244"/>
      <c r="B138" s="244"/>
      <c r="C138" s="244"/>
      <c r="D138" s="303"/>
      <c r="E138" s="179"/>
      <c r="F138" s="244"/>
      <c r="G138" s="244"/>
      <c r="H138" s="244"/>
      <c r="I138" s="244"/>
      <c r="J138" s="303"/>
      <c r="K138" s="179"/>
      <c r="L138" s="244"/>
      <c r="M138" s="244"/>
      <c r="N138" s="244"/>
      <c r="O138" s="244"/>
      <c r="P138" s="244"/>
      <c r="Q138" s="244"/>
      <c r="R138" s="244"/>
      <c r="S138" s="244"/>
      <c r="T138" s="244"/>
      <c r="U138" s="244"/>
      <c r="V138" s="244"/>
      <c r="W138" s="244"/>
      <c r="X138" s="244"/>
      <c r="Y138" s="244"/>
      <c r="Z138" s="244"/>
      <c r="AA138" s="244"/>
      <c r="AB138" s="244"/>
      <c r="AC138" s="244"/>
    </row>
    <row r="139" spans="1:29" ht="15.75" customHeight="1" x14ac:dyDescent="0.25">
      <c r="A139" s="244"/>
      <c r="B139" s="244"/>
      <c r="C139" s="244"/>
      <c r="D139" s="303"/>
      <c r="E139" s="179"/>
      <c r="F139" s="244"/>
      <c r="G139" s="244"/>
      <c r="H139" s="244"/>
      <c r="I139" s="244"/>
      <c r="J139" s="303"/>
      <c r="K139" s="179"/>
      <c r="L139" s="244"/>
      <c r="M139" s="244"/>
      <c r="N139" s="244"/>
      <c r="O139" s="244"/>
      <c r="P139" s="244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  <c r="AA139" s="244"/>
      <c r="AB139" s="244"/>
      <c r="AC139" s="244"/>
    </row>
    <row r="140" spans="1:29" ht="15.75" customHeight="1" x14ac:dyDescent="0.25">
      <c r="A140" s="244"/>
      <c r="B140" s="244"/>
      <c r="C140" s="244"/>
      <c r="D140" s="303"/>
      <c r="E140" s="179"/>
      <c r="F140" s="244"/>
      <c r="G140" s="244"/>
      <c r="H140" s="244"/>
      <c r="I140" s="244"/>
      <c r="J140" s="303"/>
      <c r="K140" s="179"/>
      <c r="L140" s="244"/>
      <c r="M140" s="244"/>
      <c r="N140" s="244"/>
      <c r="O140" s="244"/>
      <c r="P140" s="244"/>
      <c r="Q140" s="244"/>
      <c r="R140" s="244"/>
      <c r="S140" s="244"/>
      <c r="T140" s="244"/>
      <c r="U140" s="244"/>
      <c r="V140" s="244"/>
      <c r="W140" s="244"/>
      <c r="X140" s="244"/>
      <c r="Y140" s="244"/>
      <c r="Z140" s="244"/>
      <c r="AA140" s="244"/>
      <c r="AB140" s="244"/>
      <c r="AC140" s="244"/>
    </row>
    <row r="141" spans="1:29" ht="15.75" customHeight="1" x14ac:dyDescent="0.25">
      <c r="A141" s="244"/>
      <c r="B141" s="244"/>
      <c r="C141" s="244"/>
      <c r="D141" s="303"/>
      <c r="E141" s="179"/>
      <c r="F141" s="244"/>
      <c r="G141" s="244"/>
      <c r="H141" s="244"/>
      <c r="I141" s="244"/>
      <c r="J141" s="303"/>
      <c r="K141" s="179"/>
      <c r="L141" s="244"/>
      <c r="M141" s="244"/>
      <c r="N141" s="244"/>
      <c r="O141" s="244"/>
      <c r="P141" s="244"/>
      <c r="Q141" s="244"/>
      <c r="R141" s="244"/>
      <c r="S141" s="244"/>
      <c r="T141" s="244"/>
      <c r="U141" s="244"/>
      <c r="V141" s="244"/>
      <c r="W141" s="244"/>
      <c r="X141" s="244"/>
      <c r="Y141" s="244"/>
      <c r="Z141" s="244"/>
      <c r="AA141" s="244"/>
      <c r="AB141" s="244"/>
      <c r="AC141" s="244"/>
    </row>
    <row r="142" spans="1:29" ht="15.75" customHeight="1" x14ac:dyDescent="0.25">
      <c r="A142" s="244"/>
      <c r="B142" s="244"/>
      <c r="C142" s="244"/>
      <c r="D142" s="303"/>
      <c r="E142" s="179"/>
      <c r="F142" s="244"/>
      <c r="G142" s="244"/>
      <c r="H142" s="244"/>
      <c r="I142" s="244"/>
      <c r="J142" s="303"/>
      <c r="K142" s="179"/>
      <c r="L142" s="244"/>
      <c r="M142" s="244"/>
      <c r="N142" s="244"/>
      <c r="O142" s="244"/>
      <c r="P142" s="244"/>
      <c r="Q142" s="244"/>
      <c r="R142" s="244"/>
      <c r="S142" s="244"/>
      <c r="T142" s="244"/>
      <c r="U142" s="244"/>
      <c r="V142" s="244"/>
      <c r="W142" s="244"/>
      <c r="X142" s="244"/>
      <c r="Y142" s="244"/>
      <c r="Z142" s="244"/>
      <c r="AA142" s="244"/>
      <c r="AB142" s="244"/>
      <c r="AC142" s="244"/>
    </row>
    <row r="143" spans="1:29" ht="15.75" customHeight="1" x14ac:dyDescent="0.25">
      <c r="A143" s="244"/>
      <c r="B143" s="244"/>
      <c r="C143" s="244"/>
      <c r="D143" s="303"/>
      <c r="E143" s="179"/>
      <c r="F143" s="244"/>
      <c r="G143" s="244"/>
      <c r="H143" s="244"/>
      <c r="I143" s="244"/>
      <c r="J143" s="303"/>
      <c r="K143" s="179"/>
      <c r="L143" s="244"/>
      <c r="M143" s="244"/>
      <c r="N143" s="244"/>
      <c r="O143" s="244"/>
      <c r="P143" s="244"/>
      <c r="Q143" s="244"/>
      <c r="R143" s="244"/>
      <c r="S143" s="244"/>
      <c r="T143" s="244"/>
      <c r="U143" s="244"/>
      <c r="V143" s="244"/>
      <c r="W143" s="244"/>
      <c r="X143" s="244"/>
      <c r="Y143" s="244"/>
      <c r="Z143" s="244"/>
      <c r="AA143" s="244"/>
      <c r="AB143" s="244"/>
      <c r="AC143" s="244"/>
    </row>
    <row r="144" spans="1:29" ht="15.75" customHeight="1" x14ac:dyDescent="0.25">
      <c r="A144" s="244"/>
      <c r="B144" s="244"/>
      <c r="C144" s="244"/>
      <c r="D144" s="303"/>
      <c r="E144" s="179"/>
      <c r="F144" s="244"/>
      <c r="G144" s="244"/>
      <c r="H144" s="244"/>
      <c r="I144" s="244"/>
      <c r="J144" s="303"/>
      <c r="K144" s="179"/>
      <c r="L144" s="244"/>
      <c r="M144" s="244"/>
      <c r="N144" s="244"/>
      <c r="O144" s="244"/>
      <c r="P144" s="244"/>
      <c r="Q144" s="244"/>
      <c r="R144" s="244"/>
      <c r="S144" s="244"/>
      <c r="T144" s="244"/>
      <c r="U144" s="244"/>
      <c r="V144" s="244"/>
      <c r="W144" s="244"/>
      <c r="X144" s="244"/>
      <c r="Y144" s="244"/>
      <c r="Z144" s="244"/>
      <c r="AA144" s="244"/>
      <c r="AB144" s="244"/>
      <c r="AC144" s="244"/>
    </row>
    <row r="145" spans="1:29" ht="15.75" customHeight="1" x14ac:dyDescent="0.25">
      <c r="A145" s="244"/>
      <c r="B145" s="244"/>
      <c r="C145" s="244"/>
      <c r="D145" s="303"/>
      <c r="E145" s="179"/>
      <c r="F145" s="244"/>
      <c r="G145" s="244"/>
      <c r="H145" s="244"/>
      <c r="I145" s="244"/>
      <c r="J145" s="303"/>
      <c r="K145" s="179"/>
      <c r="L145" s="244"/>
      <c r="M145" s="244"/>
      <c r="N145" s="244"/>
      <c r="O145" s="244"/>
      <c r="P145" s="244"/>
      <c r="Q145" s="244"/>
      <c r="R145" s="244"/>
      <c r="S145" s="244"/>
      <c r="T145" s="244"/>
      <c r="U145" s="244"/>
      <c r="V145" s="244"/>
      <c r="W145" s="244"/>
      <c r="X145" s="244"/>
      <c r="Y145" s="244"/>
      <c r="Z145" s="244"/>
      <c r="AA145" s="244"/>
      <c r="AB145" s="244"/>
      <c r="AC145" s="244"/>
    </row>
    <row r="146" spans="1:29" ht="15.75" customHeight="1" x14ac:dyDescent="0.25">
      <c r="A146" s="244"/>
      <c r="B146" s="244"/>
      <c r="C146" s="244"/>
      <c r="D146" s="303"/>
      <c r="E146" s="179"/>
      <c r="F146" s="244"/>
      <c r="G146" s="244"/>
      <c r="H146" s="244"/>
      <c r="I146" s="244"/>
      <c r="J146" s="303"/>
      <c r="K146" s="179"/>
      <c r="L146" s="244"/>
      <c r="M146" s="244"/>
      <c r="N146" s="244"/>
      <c r="O146" s="244"/>
      <c r="P146" s="244"/>
      <c r="Q146" s="244"/>
      <c r="R146" s="244"/>
      <c r="S146" s="244"/>
      <c r="T146" s="244"/>
      <c r="U146" s="244"/>
      <c r="V146" s="244"/>
      <c r="W146" s="244"/>
      <c r="X146" s="244"/>
      <c r="Y146" s="244"/>
      <c r="Z146" s="244"/>
      <c r="AA146" s="244"/>
      <c r="AB146" s="244"/>
      <c r="AC146" s="244"/>
    </row>
    <row r="147" spans="1:29" ht="15.75" customHeight="1" x14ac:dyDescent="0.25">
      <c r="A147" s="244"/>
      <c r="B147" s="244"/>
      <c r="C147" s="244"/>
      <c r="D147" s="303"/>
      <c r="E147" s="179"/>
      <c r="F147" s="244"/>
      <c r="G147" s="244"/>
      <c r="H147" s="244"/>
      <c r="I147" s="244"/>
      <c r="J147" s="303"/>
      <c r="K147" s="179"/>
      <c r="L147" s="244"/>
      <c r="M147" s="244"/>
      <c r="N147" s="244"/>
      <c r="O147" s="244"/>
      <c r="P147" s="244"/>
      <c r="Q147" s="244"/>
      <c r="R147" s="244"/>
      <c r="S147" s="244"/>
      <c r="T147" s="244"/>
      <c r="U147" s="244"/>
      <c r="V147" s="244"/>
      <c r="W147" s="244"/>
      <c r="X147" s="244"/>
      <c r="Y147" s="244"/>
      <c r="Z147" s="244"/>
      <c r="AA147" s="244"/>
      <c r="AB147" s="244"/>
      <c r="AC147" s="244"/>
    </row>
    <row r="148" spans="1:29" ht="15.75" customHeight="1" x14ac:dyDescent="0.25">
      <c r="A148" s="244"/>
      <c r="B148" s="244"/>
      <c r="C148" s="244"/>
      <c r="D148" s="303"/>
      <c r="E148" s="179"/>
      <c r="F148" s="244"/>
      <c r="G148" s="244"/>
      <c r="H148" s="244"/>
      <c r="I148" s="244"/>
      <c r="J148" s="303"/>
      <c r="K148" s="179"/>
      <c r="L148" s="244"/>
      <c r="M148" s="244"/>
      <c r="N148" s="244"/>
      <c r="O148" s="244"/>
      <c r="P148" s="244"/>
      <c r="Q148" s="244"/>
      <c r="R148" s="244"/>
      <c r="S148" s="244"/>
      <c r="T148" s="244"/>
      <c r="U148" s="244"/>
      <c r="V148" s="244"/>
      <c r="W148" s="244"/>
      <c r="X148" s="244"/>
      <c r="Y148" s="244"/>
      <c r="Z148" s="244"/>
      <c r="AA148" s="244"/>
      <c r="AB148" s="244"/>
      <c r="AC148" s="244"/>
    </row>
    <row r="149" spans="1:29" ht="15.75" customHeight="1" x14ac:dyDescent="0.25">
      <c r="A149" s="244"/>
      <c r="B149" s="244"/>
      <c r="C149" s="244"/>
      <c r="D149" s="303"/>
      <c r="E149" s="179"/>
      <c r="F149" s="244"/>
      <c r="G149" s="244"/>
      <c r="H149" s="244"/>
      <c r="I149" s="244"/>
      <c r="J149" s="303"/>
      <c r="K149" s="179"/>
      <c r="L149" s="244"/>
      <c r="M149" s="244"/>
      <c r="N149" s="244"/>
      <c r="O149" s="244"/>
      <c r="P149" s="244"/>
      <c r="Q149" s="244"/>
      <c r="R149" s="244"/>
      <c r="S149" s="244"/>
      <c r="T149" s="244"/>
      <c r="U149" s="244"/>
      <c r="V149" s="244"/>
      <c r="W149" s="244"/>
      <c r="X149" s="244"/>
      <c r="Y149" s="244"/>
      <c r="Z149" s="244"/>
      <c r="AA149" s="244"/>
      <c r="AB149" s="244"/>
      <c r="AC149" s="244"/>
    </row>
    <row r="150" spans="1:29" ht="15.75" customHeight="1" x14ac:dyDescent="0.25">
      <c r="A150" s="244"/>
      <c r="B150" s="244"/>
      <c r="C150" s="244"/>
      <c r="D150" s="303"/>
      <c r="E150" s="179"/>
      <c r="F150" s="244"/>
      <c r="G150" s="244"/>
      <c r="H150" s="244"/>
      <c r="I150" s="244"/>
      <c r="J150" s="303"/>
      <c r="K150" s="179"/>
      <c r="L150" s="244"/>
      <c r="M150" s="244"/>
      <c r="N150" s="244"/>
      <c r="O150" s="244"/>
      <c r="P150" s="244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  <c r="AA150" s="244"/>
      <c r="AB150" s="244"/>
      <c r="AC150" s="244"/>
    </row>
    <row r="151" spans="1:29" ht="15.75" customHeight="1" x14ac:dyDescent="0.25">
      <c r="A151" s="244"/>
      <c r="B151" s="244"/>
      <c r="C151" s="244"/>
      <c r="D151" s="303"/>
      <c r="E151" s="179"/>
      <c r="F151" s="244"/>
      <c r="G151" s="244"/>
      <c r="H151" s="244"/>
      <c r="I151" s="244"/>
      <c r="J151" s="303"/>
      <c r="K151" s="179"/>
      <c r="L151" s="244"/>
      <c r="M151" s="244"/>
      <c r="N151" s="244"/>
      <c r="O151" s="244"/>
      <c r="P151" s="244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  <c r="AA151" s="244"/>
      <c r="AB151" s="244"/>
      <c r="AC151" s="244"/>
    </row>
    <row r="152" spans="1:29" ht="15.75" customHeight="1" x14ac:dyDescent="0.25">
      <c r="A152" s="244"/>
      <c r="B152" s="244"/>
      <c r="C152" s="244"/>
      <c r="D152" s="303"/>
      <c r="E152" s="179"/>
      <c r="F152" s="244"/>
      <c r="G152" s="244"/>
      <c r="H152" s="244"/>
      <c r="I152" s="244"/>
      <c r="J152" s="303"/>
      <c r="K152" s="179"/>
      <c r="L152" s="244"/>
      <c r="M152" s="244"/>
      <c r="N152" s="244"/>
      <c r="O152" s="244"/>
      <c r="P152" s="244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  <c r="AA152" s="244"/>
      <c r="AB152" s="244"/>
      <c r="AC152" s="244"/>
    </row>
    <row r="153" spans="1:29" ht="15.75" customHeight="1" x14ac:dyDescent="0.25">
      <c r="A153" s="244"/>
      <c r="B153" s="244"/>
      <c r="C153" s="244"/>
      <c r="D153" s="303"/>
      <c r="E153" s="179"/>
      <c r="F153" s="244"/>
      <c r="G153" s="244"/>
      <c r="H153" s="244"/>
      <c r="I153" s="244"/>
      <c r="J153" s="303"/>
      <c r="K153" s="179"/>
      <c r="L153" s="244"/>
      <c r="M153" s="244"/>
      <c r="N153" s="244"/>
      <c r="O153" s="244"/>
      <c r="P153" s="244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  <c r="AA153" s="244"/>
      <c r="AB153" s="244"/>
      <c r="AC153" s="244"/>
    </row>
    <row r="154" spans="1:29" ht="15.75" customHeight="1" x14ac:dyDescent="0.25">
      <c r="A154" s="244"/>
      <c r="B154" s="244"/>
      <c r="C154" s="244"/>
      <c r="D154" s="303"/>
      <c r="E154" s="179"/>
      <c r="F154" s="244"/>
      <c r="G154" s="244"/>
      <c r="H154" s="244"/>
      <c r="I154" s="244"/>
      <c r="J154" s="303"/>
      <c r="K154" s="179"/>
      <c r="L154" s="244"/>
      <c r="M154" s="244"/>
      <c r="N154" s="244"/>
      <c r="O154" s="244"/>
      <c r="P154" s="244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  <c r="AA154" s="244"/>
      <c r="AB154" s="244"/>
      <c r="AC154" s="244"/>
    </row>
    <row r="155" spans="1:29" ht="15.75" customHeight="1" x14ac:dyDescent="0.25">
      <c r="A155" s="244"/>
      <c r="B155" s="244"/>
      <c r="C155" s="244"/>
      <c r="D155" s="303"/>
      <c r="E155" s="179"/>
      <c r="F155" s="244"/>
      <c r="G155" s="244"/>
      <c r="H155" s="244"/>
      <c r="I155" s="244"/>
      <c r="J155" s="303"/>
      <c r="K155" s="179"/>
      <c r="L155" s="244"/>
      <c r="M155" s="244"/>
      <c r="N155" s="244"/>
      <c r="O155" s="244"/>
      <c r="P155" s="244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  <c r="AA155" s="244"/>
      <c r="AB155" s="244"/>
      <c r="AC155" s="244"/>
    </row>
    <row r="156" spans="1:29" ht="15.75" customHeight="1" x14ac:dyDescent="0.25">
      <c r="A156" s="244"/>
      <c r="B156" s="244"/>
      <c r="C156" s="244"/>
      <c r="D156" s="303"/>
      <c r="E156" s="179"/>
      <c r="F156" s="244"/>
      <c r="G156" s="244"/>
      <c r="H156" s="244"/>
      <c r="I156" s="244"/>
      <c r="J156" s="303"/>
      <c r="K156" s="179"/>
      <c r="L156" s="244"/>
      <c r="M156" s="244"/>
      <c r="N156" s="244"/>
      <c r="O156" s="244"/>
      <c r="P156" s="244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  <c r="AA156" s="244"/>
      <c r="AB156" s="244"/>
      <c r="AC156" s="244"/>
    </row>
    <row r="157" spans="1:29" ht="15.75" customHeight="1" x14ac:dyDescent="0.25">
      <c r="A157" s="244"/>
      <c r="B157" s="244"/>
      <c r="C157" s="244"/>
      <c r="D157" s="303"/>
      <c r="E157" s="179"/>
      <c r="F157" s="244"/>
      <c r="G157" s="244"/>
      <c r="H157" s="244"/>
      <c r="I157" s="244"/>
      <c r="J157" s="303"/>
      <c r="K157" s="179"/>
      <c r="L157" s="244"/>
      <c r="M157" s="244"/>
      <c r="N157" s="244"/>
      <c r="O157" s="244"/>
      <c r="P157" s="244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  <c r="AA157" s="244"/>
      <c r="AB157" s="244"/>
      <c r="AC157" s="244"/>
    </row>
    <row r="158" spans="1:29" ht="15.75" customHeight="1" x14ac:dyDescent="0.25">
      <c r="A158" s="244"/>
      <c r="B158" s="244"/>
      <c r="C158" s="244"/>
      <c r="D158" s="303"/>
      <c r="E158" s="179"/>
      <c r="F158" s="244"/>
      <c r="G158" s="244"/>
      <c r="H158" s="244"/>
      <c r="I158" s="244"/>
      <c r="J158" s="303"/>
      <c r="K158" s="179"/>
      <c r="L158" s="244"/>
      <c r="M158" s="244"/>
      <c r="N158" s="244"/>
      <c r="O158" s="244"/>
      <c r="P158" s="244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  <c r="AA158" s="244"/>
      <c r="AB158" s="244"/>
      <c r="AC158" s="244"/>
    </row>
    <row r="159" spans="1:29" ht="15.75" customHeight="1" x14ac:dyDescent="0.25">
      <c r="A159" s="244"/>
      <c r="B159" s="244"/>
      <c r="C159" s="244"/>
      <c r="D159" s="303"/>
      <c r="E159" s="179"/>
      <c r="F159" s="244"/>
      <c r="G159" s="244"/>
      <c r="H159" s="244"/>
      <c r="I159" s="244"/>
      <c r="J159" s="303"/>
      <c r="K159" s="179"/>
      <c r="L159" s="244"/>
      <c r="M159" s="244"/>
      <c r="N159" s="244"/>
      <c r="O159" s="244"/>
      <c r="P159" s="244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  <c r="AA159" s="244"/>
      <c r="AB159" s="244"/>
      <c r="AC159" s="244"/>
    </row>
    <row r="160" spans="1:29" ht="15.75" customHeight="1" x14ac:dyDescent="0.25">
      <c r="A160" s="244"/>
      <c r="B160" s="244"/>
      <c r="C160" s="244"/>
      <c r="D160" s="303"/>
      <c r="E160" s="179"/>
      <c r="F160" s="244"/>
      <c r="G160" s="244"/>
      <c r="H160" s="244"/>
      <c r="I160" s="244"/>
      <c r="J160" s="303"/>
      <c r="K160" s="179"/>
      <c r="L160" s="244"/>
      <c r="M160" s="244"/>
      <c r="N160" s="244"/>
      <c r="O160" s="244"/>
      <c r="P160" s="244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  <c r="AA160" s="244"/>
      <c r="AB160" s="244"/>
      <c r="AC160" s="244"/>
    </row>
    <row r="161" spans="1:29" ht="15.75" customHeight="1" x14ac:dyDescent="0.25">
      <c r="A161" s="244"/>
      <c r="B161" s="244"/>
      <c r="C161" s="244"/>
      <c r="D161" s="303"/>
      <c r="E161" s="179"/>
      <c r="F161" s="244"/>
      <c r="G161" s="244"/>
      <c r="H161" s="244"/>
      <c r="I161" s="244"/>
      <c r="J161" s="303"/>
      <c r="K161" s="179"/>
      <c r="L161" s="244"/>
      <c r="M161" s="244"/>
      <c r="N161" s="244"/>
      <c r="O161" s="244"/>
      <c r="P161" s="244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  <c r="AA161" s="244"/>
      <c r="AB161" s="244"/>
      <c r="AC161" s="244"/>
    </row>
    <row r="162" spans="1:29" ht="15.75" customHeight="1" x14ac:dyDescent="0.25">
      <c r="A162" s="244"/>
      <c r="B162" s="244"/>
      <c r="C162" s="244"/>
      <c r="D162" s="303"/>
      <c r="E162" s="179"/>
      <c r="F162" s="244"/>
      <c r="G162" s="244"/>
      <c r="H162" s="244"/>
      <c r="I162" s="244"/>
      <c r="J162" s="303"/>
      <c r="K162" s="179"/>
      <c r="L162" s="244"/>
      <c r="M162" s="244"/>
      <c r="N162" s="244"/>
      <c r="O162" s="244"/>
      <c r="P162" s="244"/>
      <c r="Q162" s="244"/>
      <c r="R162" s="244"/>
      <c r="S162" s="244"/>
      <c r="T162" s="244"/>
      <c r="U162" s="244"/>
      <c r="V162" s="244"/>
      <c r="W162" s="244"/>
      <c r="X162" s="244"/>
      <c r="Y162" s="244"/>
      <c r="Z162" s="244"/>
      <c r="AA162" s="244"/>
      <c r="AB162" s="244"/>
      <c r="AC162" s="244"/>
    </row>
    <row r="163" spans="1:29" ht="15.75" customHeight="1" x14ac:dyDescent="0.25">
      <c r="A163" s="244"/>
      <c r="B163" s="244"/>
      <c r="C163" s="244"/>
      <c r="D163" s="303"/>
      <c r="E163" s="179"/>
      <c r="F163" s="244"/>
      <c r="G163" s="244"/>
      <c r="H163" s="244"/>
      <c r="I163" s="244"/>
      <c r="J163" s="303"/>
      <c r="K163" s="179"/>
      <c r="L163" s="244"/>
      <c r="M163" s="244"/>
      <c r="N163" s="244"/>
      <c r="O163" s="244"/>
      <c r="P163" s="244"/>
      <c r="Q163" s="244"/>
      <c r="R163" s="244"/>
      <c r="S163" s="244"/>
      <c r="T163" s="244"/>
      <c r="U163" s="244"/>
      <c r="V163" s="244"/>
      <c r="W163" s="244"/>
      <c r="X163" s="244"/>
      <c r="Y163" s="244"/>
      <c r="Z163" s="244"/>
      <c r="AA163" s="244"/>
      <c r="AB163" s="244"/>
      <c r="AC163" s="244"/>
    </row>
    <row r="164" spans="1:29" ht="15.75" customHeight="1" x14ac:dyDescent="0.25">
      <c r="A164" s="244"/>
      <c r="B164" s="244"/>
      <c r="C164" s="244"/>
      <c r="D164" s="303"/>
      <c r="E164" s="179"/>
      <c r="F164" s="244"/>
      <c r="G164" s="244"/>
      <c r="H164" s="244"/>
      <c r="I164" s="244"/>
      <c r="J164" s="303"/>
      <c r="K164" s="179"/>
      <c r="L164" s="244"/>
      <c r="M164" s="244"/>
      <c r="N164" s="244"/>
      <c r="O164" s="244"/>
      <c r="P164" s="244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  <c r="AA164" s="244"/>
      <c r="AB164" s="244"/>
      <c r="AC164" s="244"/>
    </row>
    <row r="165" spans="1:29" ht="15.75" customHeight="1" x14ac:dyDescent="0.25">
      <c r="A165" s="244"/>
      <c r="B165" s="244"/>
      <c r="C165" s="244"/>
      <c r="D165" s="303"/>
      <c r="E165" s="179"/>
      <c r="F165" s="244"/>
      <c r="G165" s="244"/>
      <c r="H165" s="244"/>
      <c r="I165" s="244"/>
      <c r="J165" s="303"/>
      <c r="K165" s="179"/>
      <c r="L165" s="244"/>
      <c r="M165" s="244"/>
      <c r="N165" s="244"/>
      <c r="O165" s="244"/>
      <c r="P165" s="244"/>
      <c r="Q165" s="244"/>
      <c r="R165" s="244"/>
      <c r="S165" s="244"/>
      <c r="T165" s="244"/>
      <c r="U165" s="244"/>
      <c r="V165" s="244"/>
      <c r="W165" s="244"/>
      <c r="X165" s="244"/>
      <c r="Y165" s="244"/>
      <c r="Z165" s="244"/>
      <c r="AA165" s="244"/>
      <c r="AB165" s="244"/>
      <c r="AC165" s="244"/>
    </row>
    <row r="166" spans="1:29" ht="15.75" customHeight="1" x14ac:dyDescent="0.25">
      <c r="A166" s="244"/>
      <c r="B166" s="244"/>
      <c r="C166" s="244"/>
      <c r="D166" s="303"/>
      <c r="E166" s="179"/>
      <c r="F166" s="244"/>
      <c r="G166" s="244"/>
      <c r="H166" s="244"/>
      <c r="I166" s="244"/>
      <c r="J166" s="303"/>
      <c r="K166" s="179"/>
      <c r="L166" s="244"/>
      <c r="M166" s="244"/>
      <c r="N166" s="244"/>
      <c r="O166" s="244"/>
      <c r="P166" s="244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  <c r="AA166" s="244"/>
      <c r="AB166" s="244"/>
      <c r="AC166" s="244"/>
    </row>
    <row r="167" spans="1:29" ht="15.75" customHeight="1" x14ac:dyDescent="0.25">
      <c r="A167" s="244"/>
      <c r="B167" s="244"/>
      <c r="C167" s="244"/>
      <c r="D167" s="303"/>
      <c r="E167" s="179"/>
      <c r="F167" s="244"/>
      <c r="G167" s="244"/>
      <c r="H167" s="244"/>
      <c r="I167" s="244"/>
      <c r="J167" s="303"/>
      <c r="K167" s="179"/>
      <c r="L167" s="244"/>
      <c r="M167" s="244"/>
      <c r="N167" s="244"/>
      <c r="O167" s="244"/>
      <c r="P167" s="244"/>
      <c r="Q167" s="244"/>
      <c r="R167" s="244"/>
      <c r="S167" s="244"/>
      <c r="T167" s="244"/>
      <c r="U167" s="244"/>
      <c r="V167" s="244"/>
      <c r="W167" s="244"/>
      <c r="X167" s="244"/>
      <c r="Y167" s="244"/>
      <c r="Z167" s="244"/>
      <c r="AA167" s="244"/>
      <c r="AB167" s="244"/>
      <c r="AC167" s="244"/>
    </row>
    <row r="168" spans="1:29" ht="15.75" customHeight="1" x14ac:dyDescent="0.25">
      <c r="A168" s="244"/>
      <c r="B168" s="244"/>
      <c r="C168" s="244"/>
      <c r="D168" s="303"/>
      <c r="E168" s="179"/>
      <c r="F168" s="244"/>
      <c r="G168" s="244"/>
      <c r="H168" s="244"/>
      <c r="I168" s="244"/>
      <c r="J168" s="303"/>
      <c r="K168" s="179"/>
      <c r="L168" s="244"/>
      <c r="M168" s="244"/>
      <c r="N168" s="244"/>
      <c r="O168" s="244"/>
      <c r="P168" s="244"/>
      <c r="Q168" s="244"/>
      <c r="R168" s="244"/>
      <c r="S168" s="244"/>
      <c r="T168" s="244"/>
      <c r="U168" s="244"/>
      <c r="V168" s="244"/>
      <c r="W168" s="244"/>
      <c r="X168" s="244"/>
      <c r="Y168" s="244"/>
      <c r="Z168" s="244"/>
      <c r="AA168" s="244"/>
      <c r="AB168" s="244"/>
      <c r="AC168" s="244"/>
    </row>
    <row r="169" spans="1:29" ht="15.75" customHeight="1" x14ac:dyDescent="0.25">
      <c r="A169" s="244"/>
      <c r="B169" s="244"/>
      <c r="C169" s="244"/>
      <c r="D169" s="303"/>
      <c r="E169" s="179"/>
      <c r="F169" s="244"/>
      <c r="G169" s="244"/>
      <c r="H169" s="244"/>
      <c r="I169" s="244"/>
      <c r="J169" s="303"/>
      <c r="K169" s="179"/>
      <c r="L169" s="244"/>
      <c r="M169" s="244"/>
      <c r="N169" s="244"/>
      <c r="O169" s="244"/>
      <c r="P169" s="244"/>
      <c r="Q169" s="244"/>
      <c r="R169" s="244"/>
      <c r="S169" s="244"/>
      <c r="T169" s="244"/>
      <c r="U169" s="244"/>
      <c r="V169" s="244"/>
      <c r="W169" s="244"/>
      <c r="X169" s="244"/>
      <c r="Y169" s="244"/>
      <c r="Z169" s="244"/>
      <c r="AA169" s="244"/>
      <c r="AB169" s="244"/>
      <c r="AC169" s="244"/>
    </row>
    <row r="170" spans="1:29" ht="15.75" customHeight="1" x14ac:dyDescent="0.25">
      <c r="A170" s="244"/>
      <c r="B170" s="244"/>
      <c r="C170" s="244"/>
      <c r="D170" s="303"/>
      <c r="E170" s="179"/>
      <c r="F170" s="244"/>
      <c r="G170" s="244"/>
      <c r="H170" s="244"/>
      <c r="I170" s="244"/>
      <c r="J170" s="303"/>
      <c r="K170" s="179"/>
      <c r="L170" s="244"/>
      <c r="M170" s="244"/>
      <c r="N170" s="244"/>
      <c r="O170" s="244"/>
      <c r="P170" s="244"/>
      <c r="Q170" s="244"/>
      <c r="R170" s="244"/>
      <c r="S170" s="244"/>
      <c r="T170" s="244"/>
      <c r="U170" s="244"/>
      <c r="V170" s="244"/>
      <c r="W170" s="244"/>
      <c r="X170" s="244"/>
      <c r="Y170" s="244"/>
      <c r="Z170" s="244"/>
      <c r="AA170" s="244"/>
      <c r="AB170" s="244"/>
      <c r="AC170" s="244"/>
    </row>
    <row r="171" spans="1:29" ht="15.75" customHeight="1" x14ac:dyDescent="0.25">
      <c r="A171" s="244"/>
      <c r="B171" s="244"/>
      <c r="C171" s="244"/>
      <c r="D171" s="303"/>
      <c r="E171" s="179"/>
      <c r="F171" s="244"/>
      <c r="G171" s="244"/>
      <c r="H171" s="244"/>
      <c r="I171" s="244"/>
      <c r="J171" s="303"/>
      <c r="K171" s="179"/>
      <c r="L171" s="244"/>
      <c r="M171" s="244"/>
      <c r="N171" s="244"/>
      <c r="O171" s="244"/>
      <c r="P171" s="244"/>
      <c r="Q171" s="244"/>
      <c r="R171" s="244"/>
      <c r="S171" s="244"/>
      <c r="T171" s="244"/>
      <c r="U171" s="244"/>
      <c r="V171" s="244"/>
      <c r="W171" s="244"/>
      <c r="X171" s="244"/>
      <c r="Y171" s="244"/>
      <c r="Z171" s="244"/>
      <c r="AA171" s="244"/>
      <c r="AB171" s="244"/>
      <c r="AC171" s="244"/>
    </row>
    <row r="172" spans="1:29" ht="15.75" customHeight="1" x14ac:dyDescent="0.25">
      <c r="A172" s="244"/>
      <c r="B172" s="244"/>
      <c r="C172" s="244"/>
      <c r="D172" s="303"/>
      <c r="E172" s="179"/>
      <c r="F172" s="244"/>
      <c r="G172" s="244"/>
      <c r="H172" s="244"/>
      <c r="I172" s="244"/>
      <c r="J172" s="303"/>
      <c r="K172" s="179"/>
      <c r="L172" s="244"/>
      <c r="M172" s="244"/>
      <c r="N172" s="244"/>
      <c r="O172" s="244"/>
      <c r="P172" s="244"/>
      <c r="Q172" s="244"/>
      <c r="R172" s="244"/>
      <c r="S172" s="244"/>
      <c r="T172" s="244"/>
      <c r="U172" s="244"/>
      <c r="V172" s="244"/>
      <c r="W172" s="244"/>
      <c r="X172" s="244"/>
      <c r="Y172" s="244"/>
      <c r="Z172" s="244"/>
      <c r="AA172" s="244"/>
      <c r="AB172" s="244"/>
      <c r="AC172" s="244"/>
    </row>
    <row r="173" spans="1:29" ht="15.75" customHeight="1" x14ac:dyDescent="0.25">
      <c r="A173" s="244"/>
      <c r="B173" s="244"/>
      <c r="C173" s="244"/>
      <c r="D173" s="303"/>
      <c r="E173" s="179"/>
      <c r="F173" s="244"/>
      <c r="G173" s="244"/>
      <c r="H173" s="244"/>
      <c r="I173" s="244"/>
      <c r="J173" s="303"/>
      <c r="K173" s="179"/>
      <c r="L173" s="244"/>
      <c r="M173" s="244"/>
      <c r="N173" s="244"/>
      <c r="O173" s="244"/>
      <c r="P173" s="244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  <c r="AA173" s="244"/>
      <c r="AB173" s="244"/>
      <c r="AC173" s="244"/>
    </row>
    <row r="174" spans="1:29" ht="15.75" customHeight="1" x14ac:dyDescent="0.25">
      <c r="A174" s="244"/>
      <c r="B174" s="244"/>
      <c r="C174" s="244"/>
      <c r="D174" s="303"/>
      <c r="E174" s="179"/>
      <c r="F174" s="244"/>
      <c r="G174" s="244"/>
      <c r="H174" s="244"/>
      <c r="I174" s="244"/>
      <c r="J174" s="303"/>
      <c r="K174" s="179"/>
      <c r="L174" s="244"/>
      <c r="M174" s="244"/>
      <c r="N174" s="244"/>
      <c r="O174" s="244"/>
      <c r="P174" s="244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  <c r="AA174" s="244"/>
      <c r="AB174" s="244"/>
      <c r="AC174" s="244"/>
    </row>
    <row r="175" spans="1:29" ht="15.75" customHeight="1" x14ac:dyDescent="0.25">
      <c r="A175" s="244"/>
      <c r="B175" s="244"/>
      <c r="C175" s="244"/>
      <c r="D175" s="303"/>
      <c r="E175" s="179"/>
      <c r="F175" s="244"/>
      <c r="G175" s="244"/>
      <c r="H175" s="244"/>
      <c r="I175" s="244"/>
      <c r="J175" s="303"/>
      <c r="K175" s="179"/>
      <c r="L175" s="244"/>
      <c r="M175" s="244"/>
      <c r="N175" s="244"/>
      <c r="O175" s="244"/>
      <c r="P175" s="244"/>
      <c r="Q175" s="244"/>
      <c r="R175" s="244"/>
      <c r="S175" s="244"/>
      <c r="T175" s="244"/>
      <c r="U175" s="244"/>
      <c r="V175" s="244"/>
      <c r="W175" s="244"/>
      <c r="X175" s="244"/>
      <c r="Y175" s="244"/>
      <c r="Z175" s="244"/>
      <c r="AA175" s="244"/>
      <c r="AB175" s="244"/>
      <c r="AC175" s="244"/>
    </row>
    <row r="176" spans="1:29" ht="15.75" customHeight="1" x14ac:dyDescent="0.25">
      <c r="A176" s="244"/>
      <c r="B176" s="244"/>
      <c r="C176" s="244"/>
      <c r="D176" s="303"/>
      <c r="E176" s="179"/>
      <c r="F176" s="244"/>
      <c r="G176" s="244"/>
      <c r="H176" s="244"/>
      <c r="I176" s="244"/>
      <c r="J176" s="303"/>
      <c r="K176" s="179"/>
      <c r="L176" s="244"/>
      <c r="M176" s="244"/>
      <c r="N176" s="244"/>
      <c r="O176" s="244"/>
      <c r="P176" s="244"/>
      <c r="Q176" s="244"/>
      <c r="R176" s="244"/>
      <c r="S176" s="244"/>
      <c r="T176" s="244"/>
      <c r="U176" s="244"/>
      <c r="V176" s="244"/>
      <c r="W176" s="244"/>
      <c r="X176" s="244"/>
      <c r="Y176" s="244"/>
      <c r="Z176" s="244"/>
      <c r="AA176" s="244"/>
      <c r="AB176" s="244"/>
      <c r="AC176" s="244"/>
    </row>
    <row r="177" spans="1:29" ht="15.75" customHeight="1" x14ac:dyDescent="0.25">
      <c r="A177" s="244"/>
      <c r="B177" s="244"/>
      <c r="C177" s="244"/>
      <c r="D177" s="303"/>
      <c r="E177" s="179"/>
      <c r="F177" s="244"/>
      <c r="G177" s="244"/>
      <c r="H177" s="244"/>
      <c r="I177" s="244"/>
      <c r="J177" s="303"/>
      <c r="K177" s="179"/>
      <c r="L177" s="244"/>
      <c r="M177" s="244"/>
      <c r="N177" s="244"/>
      <c r="O177" s="244"/>
      <c r="P177" s="244"/>
      <c r="Q177" s="244"/>
      <c r="R177" s="244"/>
      <c r="S177" s="244"/>
      <c r="T177" s="244"/>
      <c r="U177" s="244"/>
      <c r="V177" s="244"/>
      <c r="W177" s="244"/>
      <c r="X177" s="244"/>
      <c r="Y177" s="244"/>
      <c r="Z177" s="244"/>
      <c r="AA177" s="244"/>
      <c r="AB177" s="244"/>
      <c r="AC177" s="244"/>
    </row>
    <row r="178" spans="1:29" ht="15.75" customHeight="1" x14ac:dyDescent="0.25">
      <c r="A178" s="244"/>
      <c r="B178" s="244"/>
      <c r="C178" s="244"/>
      <c r="D178" s="303"/>
      <c r="E178" s="179"/>
      <c r="F178" s="244"/>
      <c r="G178" s="244"/>
      <c r="H178" s="244"/>
      <c r="I178" s="244"/>
      <c r="J178" s="303"/>
      <c r="K178" s="179"/>
      <c r="L178" s="244"/>
      <c r="M178" s="244"/>
      <c r="N178" s="244"/>
      <c r="O178" s="244"/>
      <c r="P178" s="244"/>
      <c r="Q178" s="244"/>
      <c r="R178" s="244"/>
      <c r="S178" s="244"/>
      <c r="T178" s="244"/>
      <c r="U178" s="244"/>
      <c r="V178" s="244"/>
      <c r="W178" s="244"/>
      <c r="X178" s="244"/>
      <c r="Y178" s="244"/>
      <c r="Z178" s="244"/>
      <c r="AA178" s="244"/>
      <c r="AB178" s="244"/>
      <c r="AC178" s="244"/>
    </row>
    <row r="179" spans="1:29" ht="15.75" customHeight="1" x14ac:dyDescent="0.25">
      <c r="A179" s="244"/>
      <c r="B179" s="244"/>
      <c r="C179" s="244"/>
      <c r="D179" s="303"/>
      <c r="E179" s="179"/>
      <c r="F179" s="244"/>
      <c r="G179" s="244"/>
      <c r="H179" s="244"/>
      <c r="I179" s="244"/>
      <c r="J179" s="303"/>
      <c r="K179" s="179"/>
      <c r="L179" s="244"/>
      <c r="M179" s="244"/>
      <c r="N179" s="244"/>
      <c r="O179" s="244"/>
      <c r="P179" s="244"/>
      <c r="Q179" s="244"/>
      <c r="R179" s="244"/>
      <c r="S179" s="244"/>
      <c r="T179" s="244"/>
      <c r="U179" s="244"/>
      <c r="V179" s="244"/>
      <c r="W179" s="244"/>
      <c r="X179" s="244"/>
      <c r="Y179" s="244"/>
      <c r="Z179" s="244"/>
      <c r="AA179" s="244"/>
      <c r="AB179" s="244"/>
      <c r="AC179" s="244"/>
    </row>
    <row r="180" spans="1:29" ht="15.75" customHeight="1" x14ac:dyDescent="0.25">
      <c r="A180" s="244"/>
      <c r="B180" s="244"/>
      <c r="C180" s="244"/>
      <c r="D180" s="303"/>
      <c r="E180" s="179"/>
      <c r="F180" s="244"/>
      <c r="G180" s="244"/>
      <c r="H180" s="244"/>
      <c r="I180" s="244"/>
      <c r="J180" s="303"/>
      <c r="K180" s="179"/>
      <c r="L180" s="244"/>
      <c r="M180" s="244"/>
      <c r="N180" s="244"/>
      <c r="O180" s="244"/>
      <c r="P180" s="244"/>
      <c r="Q180" s="244"/>
      <c r="R180" s="244"/>
      <c r="S180" s="244"/>
      <c r="T180" s="244"/>
      <c r="U180" s="244"/>
      <c r="V180" s="244"/>
      <c r="W180" s="244"/>
      <c r="X180" s="244"/>
      <c r="Y180" s="244"/>
      <c r="Z180" s="244"/>
      <c r="AA180" s="244"/>
      <c r="AB180" s="244"/>
      <c r="AC180" s="244"/>
    </row>
    <row r="181" spans="1:29" ht="15.75" customHeight="1" x14ac:dyDescent="0.25">
      <c r="A181" s="244"/>
      <c r="B181" s="244"/>
      <c r="C181" s="244"/>
      <c r="D181" s="303"/>
      <c r="E181" s="179"/>
      <c r="F181" s="244"/>
      <c r="G181" s="244"/>
      <c r="H181" s="244"/>
      <c r="I181" s="244"/>
      <c r="J181" s="303"/>
      <c r="K181" s="179"/>
      <c r="L181" s="244"/>
      <c r="M181" s="244"/>
      <c r="N181" s="244"/>
      <c r="O181" s="244"/>
      <c r="P181" s="244"/>
      <c r="Q181" s="244"/>
      <c r="R181" s="244"/>
      <c r="S181" s="244"/>
      <c r="T181" s="244"/>
      <c r="U181" s="244"/>
      <c r="V181" s="244"/>
      <c r="W181" s="244"/>
      <c r="X181" s="244"/>
      <c r="Y181" s="244"/>
      <c r="Z181" s="244"/>
      <c r="AA181" s="244"/>
      <c r="AB181" s="244"/>
      <c r="AC181" s="244"/>
    </row>
    <row r="182" spans="1:29" ht="15.75" customHeight="1" x14ac:dyDescent="0.25">
      <c r="A182" s="244"/>
      <c r="B182" s="244"/>
      <c r="C182" s="244"/>
      <c r="D182" s="303"/>
      <c r="E182" s="179"/>
      <c r="F182" s="244"/>
      <c r="G182" s="244"/>
      <c r="H182" s="244"/>
      <c r="I182" s="244"/>
      <c r="J182" s="303"/>
      <c r="K182" s="179"/>
      <c r="L182" s="244"/>
      <c r="M182" s="244"/>
      <c r="N182" s="244"/>
      <c r="O182" s="244"/>
      <c r="P182" s="244"/>
      <c r="Q182" s="244"/>
      <c r="R182" s="244"/>
      <c r="S182" s="244"/>
      <c r="T182" s="244"/>
      <c r="U182" s="244"/>
      <c r="V182" s="244"/>
      <c r="W182" s="244"/>
      <c r="X182" s="244"/>
      <c r="Y182" s="244"/>
      <c r="Z182" s="244"/>
      <c r="AA182" s="244"/>
      <c r="AB182" s="244"/>
      <c r="AC182" s="244"/>
    </row>
    <row r="183" spans="1:29" ht="15.75" customHeight="1" x14ac:dyDescent="0.25">
      <c r="A183" s="244"/>
      <c r="B183" s="244"/>
      <c r="C183" s="244"/>
      <c r="D183" s="303"/>
      <c r="E183" s="179"/>
      <c r="F183" s="244"/>
      <c r="G183" s="244"/>
      <c r="H183" s="244"/>
      <c r="I183" s="244"/>
      <c r="J183" s="303"/>
      <c r="K183" s="179"/>
      <c r="L183" s="244"/>
      <c r="M183" s="244"/>
      <c r="N183" s="244"/>
      <c r="O183" s="244"/>
      <c r="P183" s="244"/>
      <c r="Q183" s="244"/>
      <c r="R183" s="244"/>
      <c r="S183" s="244"/>
      <c r="T183" s="244"/>
      <c r="U183" s="244"/>
      <c r="V183" s="244"/>
      <c r="W183" s="244"/>
      <c r="X183" s="244"/>
      <c r="Y183" s="244"/>
      <c r="Z183" s="244"/>
      <c r="AA183" s="244"/>
      <c r="AB183" s="244"/>
      <c r="AC183" s="244"/>
    </row>
    <row r="184" spans="1:29" ht="15.75" customHeight="1" x14ac:dyDescent="0.25">
      <c r="A184" s="244"/>
      <c r="B184" s="244"/>
      <c r="C184" s="244"/>
      <c r="D184" s="303"/>
      <c r="E184" s="179"/>
      <c r="F184" s="244"/>
      <c r="G184" s="244"/>
      <c r="H184" s="244"/>
      <c r="I184" s="244"/>
      <c r="J184" s="303"/>
      <c r="K184" s="179"/>
      <c r="L184" s="244"/>
      <c r="M184" s="244"/>
      <c r="N184" s="244"/>
      <c r="O184" s="244"/>
      <c r="P184" s="244"/>
      <c r="Q184" s="244"/>
      <c r="R184" s="244"/>
      <c r="S184" s="244"/>
      <c r="T184" s="244"/>
      <c r="U184" s="244"/>
      <c r="V184" s="244"/>
      <c r="W184" s="244"/>
      <c r="X184" s="244"/>
      <c r="Y184" s="244"/>
      <c r="Z184" s="244"/>
      <c r="AA184" s="244"/>
      <c r="AB184" s="244"/>
      <c r="AC184" s="244"/>
    </row>
    <row r="185" spans="1:29" ht="15.75" customHeight="1" x14ac:dyDescent="0.25">
      <c r="A185" s="244"/>
      <c r="B185" s="244"/>
      <c r="C185" s="244"/>
      <c r="D185" s="303"/>
      <c r="E185" s="179"/>
      <c r="F185" s="244"/>
      <c r="G185" s="244"/>
      <c r="H185" s="244"/>
      <c r="I185" s="244"/>
      <c r="J185" s="303"/>
      <c r="K185" s="179"/>
      <c r="L185" s="244"/>
      <c r="M185" s="244"/>
      <c r="N185" s="244"/>
      <c r="O185" s="244"/>
      <c r="P185" s="244"/>
      <c r="Q185" s="244"/>
      <c r="R185" s="244"/>
      <c r="S185" s="244"/>
      <c r="T185" s="244"/>
      <c r="U185" s="244"/>
      <c r="V185" s="244"/>
      <c r="W185" s="244"/>
      <c r="X185" s="244"/>
      <c r="Y185" s="244"/>
      <c r="Z185" s="244"/>
      <c r="AA185" s="244"/>
      <c r="AB185" s="244"/>
      <c r="AC185" s="244"/>
    </row>
    <row r="186" spans="1:29" ht="15.75" customHeight="1" x14ac:dyDescent="0.25">
      <c r="A186" s="244"/>
      <c r="B186" s="244"/>
      <c r="C186" s="244"/>
      <c r="D186" s="303"/>
      <c r="E186" s="179"/>
      <c r="F186" s="244"/>
      <c r="G186" s="244"/>
      <c r="H186" s="244"/>
      <c r="I186" s="244"/>
      <c r="J186" s="303"/>
      <c r="K186" s="179"/>
      <c r="L186" s="244"/>
      <c r="M186" s="244"/>
      <c r="N186" s="244"/>
      <c r="O186" s="244"/>
      <c r="P186" s="244"/>
      <c r="Q186" s="244"/>
      <c r="R186" s="244"/>
      <c r="S186" s="244"/>
      <c r="T186" s="244"/>
      <c r="U186" s="244"/>
      <c r="V186" s="244"/>
      <c r="W186" s="244"/>
      <c r="X186" s="244"/>
      <c r="Y186" s="244"/>
      <c r="Z186" s="244"/>
      <c r="AA186" s="244"/>
      <c r="AB186" s="244"/>
      <c r="AC186" s="244"/>
    </row>
    <row r="187" spans="1:29" ht="15.75" customHeight="1" x14ac:dyDescent="0.25">
      <c r="A187" s="244"/>
      <c r="B187" s="244"/>
      <c r="C187" s="244"/>
      <c r="D187" s="303"/>
      <c r="E187" s="179"/>
      <c r="F187" s="244"/>
      <c r="G187" s="244"/>
      <c r="H187" s="244"/>
      <c r="I187" s="244"/>
      <c r="J187" s="303"/>
      <c r="K187" s="179"/>
      <c r="L187" s="244"/>
      <c r="M187" s="244"/>
      <c r="N187" s="244"/>
      <c r="O187" s="244"/>
      <c r="P187" s="244"/>
      <c r="Q187" s="244"/>
      <c r="R187" s="244"/>
      <c r="S187" s="244"/>
      <c r="T187" s="244"/>
      <c r="U187" s="244"/>
      <c r="V187" s="244"/>
      <c r="W187" s="244"/>
      <c r="X187" s="244"/>
      <c r="Y187" s="244"/>
      <c r="Z187" s="244"/>
      <c r="AA187" s="244"/>
      <c r="AB187" s="244"/>
      <c r="AC187" s="244"/>
    </row>
    <row r="188" spans="1:29" ht="15.75" customHeight="1" x14ac:dyDescent="0.25">
      <c r="A188" s="244"/>
      <c r="B188" s="244"/>
      <c r="C188" s="244"/>
      <c r="D188" s="303"/>
      <c r="E188" s="179"/>
      <c r="F188" s="244"/>
      <c r="G188" s="244"/>
      <c r="H188" s="244"/>
      <c r="I188" s="244"/>
      <c r="J188" s="303"/>
      <c r="K188" s="179"/>
      <c r="L188" s="244"/>
      <c r="M188" s="244"/>
      <c r="N188" s="244"/>
      <c r="O188" s="244"/>
      <c r="P188" s="244"/>
      <c r="Q188" s="244"/>
      <c r="R188" s="244"/>
      <c r="S188" s="244"/>
      <c r="T188" s="244"/>
      <c r="U188" s="244"/>
      <c r="V188" s="244"/>
      <c r="W188" s="244"/>
      <c r="X188" s="244"/>
      <c r="Y188" s="244"/>
      <c r="Z188" s="244"/>
      <c r="AA188" s="244"/>
      <c r="AB188" s="244"/>
      <c r="AC188" s="244"/>
    </row>
    <row r="189" spans="1:29" ht="15.75" customHeight="1" x14ac:dyDescent="0.25">
      <c r="A189" s="244"/>
      <c r="B189" s="244"/>
      <c r="C189" s="244"/>
      <c r="D189" s="303"/>
      <c r="E189" s="179"/>
      <c r="F189" s="244"/>
      <c r="G189" s="244"/>
      <c r="H189" s="244"/>
      <c r="I189" s="244"/>
      <c r="J189" s="303"/>
      <c r="K189" s="179"/>
      <c r="L189" s="244"/>
      <c r="M189" s="244"/>
      <c r="N189" s="244"/>
      <c r="O189" s="244"/>
      <c r="P189" s="244"/>
      <c r="Q189" s="244"/>
      <c r="R189" s="244"/>
      <c r="S189" s="244"/>
      <c r="T189" s="244"/>
      <c r="U189" s="244"/>
      <c r="V189" s="244"/>
      <c r="W189" s="244"/>
      <c r="X189" s="244"/>
      <c r="Y189" s="244"/>
      <c r="Z189" s="244"/>
      <c r="AA189" s="244"/>
      <c r="AB189" s="244"/>
      <c r="AC189" s="244"/>
    </row>
    <row r="190" spans="1:29" ht="15.75" customHeight="1" x14ac:dyDescent="0.25">
      <c r="A190" s="244"/>
      <c r="B190" s="244"/>
      <c r="C190" s="244"/>
      <c r="D190" s="303"/>
      <c r="E190" s="179"/>
      <c r="F190" s="244"/>
      <c r="G190" s="244"/>
      <c r="H190" s="244"/>
      <c r="I190" s="244"/>
      <c r="J190" s="303"/>
      <c r="K190" s="179"/>
      <c r="L190" s="244"/>
      <c r="M190" s="244"/>
      <c r="N190" s="244"/>
      <c r="O190" s="244"/>
      <c r="P190" s="244"/>
      <c r="Q190" s="244"/>
      <c r="R190" s="244"/>
      <c r="S190" s="244"/>
      <c r="T190" s="244"/>
      <c r="U190" s="244"/>
      <c r="V190" s="244"/>
      <c r="W190" s="244"/>
      <c r="X190" s="244"/>
      <c r="Y190" s="244"/>
      <c r="Z190" s="244"/>
      <c r="AA190" s="244"/>
      <c r="AB190" s="244"/>
      <c r="AC190" s="244"/>
    </row>
    <row r="191" spans="1:29" ht="15.75" customHeight="1" x14ac:dyDescent="0.25">
      <c r="A191" s="244"/>
      <c r="B191" s="244"/>
      <c r="C191" s="244"/>
      <c r="D191" s="303"/>
      <c r="E191" s="179"/>
      <c r="F191" s="244"/>
      <c r="G191" s="244"/>
      <c r="H191" s="244"/>
      <c r="I191" s="244"/>
      <c r="J191" s="303"/>
      <c r="K191" s="179"/>
      <c r="L191" s="244"/>
      <c r="M191" s="244"/>
      <c r="N191" s="244"/>
      <c r="O191" s="244"/>
      <c r="P191" s="244"/>
      <c r="Q191" s="244"/>
      <c r="R191" s="244"/>
      <c r="S191" s="244"/>
      <c r="T191" s="244"/>
      <c r="U191" s="244"/>
      <c r="V191" s="244"/>
      <c r="W191" s="244"/>
      <c r="X191" s="244"/>
      <c r="Y191" s="244"/>
      <c r="Z191" s="244"/>
      <c r="AA191" s="244"/>
      <c r="AB191" s="244"/>
      <c r="AC191" s="244"/>
    </row>
    <row r="192" spans="1:29" ht="15.75" customHeight="1" x14ac:dyDescent="0.25">
      <c r="A192" s="244"/>
      <c r="B192" s="244"/>
      <c r="C192" s="244"/>
      <c r="D192" s="303"/>
      <c r="E192" s="179"/>
      <c r="F192" s="244"/>
      <c r="G192" s="244"/>
      <c r="H192" s="244"/>
      <c r="I192" s="244"/>
      <c r="J192" s="303"/>
      <c r="K192" s="179"/>
      <c r="L192" s="244"/>
      <c r="M192" s="244"/>
      <c r="N192" s="244"/>
      <c r="O192" s="244"/>
      <c r="P192" s="244"/>
      <c r="Q192" s="244"/>
      <c r="R192" s="244"/>
      <c r="S192" s="244"/>
      <c r="T192" s="244"/>
      <c r="U192" s="244"/>
      <c r="V192" s="244"/>
      <c r="W192" s="244"/>
      <c r="X192" s="244"/>
      <c r="Y192" s="244"/>
      <c r="Z192" s="244"/>
      <c r="AA192" s="244"/>
      <c r="AB192" s="244"/>
      <c r="AC192" s="244"/>
    </row>
    <row r="193" spans="1:29" ht="15.75" customHeight="1" x14ac:dyDescent="0.25">
      <c r="A193" s="244"/>
      <c r="B193" s="244"/>
      <c r="C193" s="244"/>
      <c r="D193" s="303"/>
      <c r="E193" s="179"/>
      <c r="F193" s="244"/>
      <c r="G193" s="244"/>
      <c r="H193" s="244"/>
      <c r="I193" s="244"/>
      <c r="J193" s="303"/>
      <c r="K193" s="179"/>
      <c r="L193" s="244"/>
      <c r="M193" s="244"/>
      <c r="N193" s="244"/>
      <c r="O193" s="244"/>
      <c r="P193" s="244"/>
      <c r="Q193" s="244"/>
      <c r="R193" s="244"/>
      <c r="S193" s="244"/>
      <c r="T193" s="244"/>
      <c r="U193" s="244"/>
      <c r="V193" s="244"/>
      <c r="W193" s="244"/>
      <c r="X193" s="244"/>
      <c r="Y193" s="244"/>
      <c r="Z193" s="244"/>
      <c r="AA193" s="244"/>
      <c r="AB193" s="244"/>
      <c r="AC193" s="244"/>
    </row>
    <row r="194" spans="1:29" ht="15.75" customHeight="1" x14ac:dyDescent="0.25">
      <c r="A194" s="244"/>
      <c r="B194" s="244"/>
      <c r="C194" s="244"/>
      <c r="D194" s="303"/>
      <c r="E194" s="179"/>
      <c r="F194" s="244"/>
      <c r="G194" s="244"/>
      <c r="H194" s="244"/>
      <c r="I194" s="244"/>
      <c r="J194" s="303"/>
      <c r="K194" s="179"/>
      <c r="L194" s="244"/>
      <c r="M194" s="244"/>
      <c r="N194" s="244"/>
      <c r="O194" s="244"/>
      <c r="P194" s="244"/>
      <c r="Q194" s="244"/>
      <c r="R194" s="244"/>
      <c r="S194" s="244"/>
      <c r="T194" s="244"/>
      <c r="U194" s="244"/>
      <c r="V194" s="244"/>
      <c r="W194" s="244"/>
      <c r="X194" s="244"/>
      <c r="Y194" s="244"/>
      <c r="Z194" s="244"/>
      <c r="AA194" s="244"/>
      <c r="AB194" s="244"/>
      <c r="AC194" s="244"/>
    </row>
    <row r="195" spans="1:29" ht="15.75" customHeight="1" x14ac:dyDescent="0.25">
      <c r="A195" s="244"/>
      <c r="B195" s="244"/>
      <c r="C195" s="244"/>
      <c r="D195" s="303"/>
      <c r="E195" s="179"/>
      <c r="F195" s="244"/>
      <c r="G195" s="244"/>
      <c r="H195" s="244"/>
      <c r="I195" s="244"/>
      <c r="J195" s="303"/>
      <c r="K195" s="179"/>
      <c r="L195" s="244"/>
      <c r="M195" s="244"/>
      <c r="N195" s="244"/>
      <c r="O195" s="244"/>
      <c r="P195" s="244"/>
      <c r="Q195" s="244"/>
      <c r="R195" s="244"/>
      <c r="S195" s="244"/>
      <c r="T195" s="244"/>
      <c r="U195" s="244"/>
      <c r="V195" s="244"/>
      <c r="W195" s="244"/>
      <c r="X195" s="244"/>
      <c r="Y195" s="244"/>
      <c r="Z195" s="244"/>
      <c r="AA195" s="244"/>
      <c r="AB195" s="244"/>
      <c r="AC195" s="244"/>
    </row>
    <row r="196" spans="1:29" ht="15.75" customHeight="1" x14ac:dyDescent="0.25">
      <c r="A196" s="244"/>
      <c r="B196" s="244"/>
      <c r="C196" s="244"/>
      <c r="D196" s="303"/>
      <c r="E196" s="179"/>
      <c r="F196" s="244"/>
      <c r="G196" s="244"/>
      <c r="H196" s="244"/>
      <c r="I196" s="244"/>
      <c r="J196" s="303"/>
      <c r="K196" s="179"/>
      <c r="L196" s="244"/>
      <c r="M196" s="244"/>
      <c r="N196" s="244"/>
      <c r="O196" s="244"/>
      <c r="P196" s="244"/>
      <c r="Q196" s="244"/>
      <c r="R196" s="244"/>
      <c r="S196" s="244"/>
      <c r="T196" s="244"/>
      <c r="U196" s="244"/>
      <c r="V196" s="244"/>
      <c r="W196" s="244"/>
      <c r="X196" s="244"/>
      <c r="Y196" s="244"/>
      <c r="Z196" s="244"/>
      <c r="AA196" s="244"/>
      <c r="AB196" s="244"/>
      <c r="AC196" s="244"/>
    </row>
    <row r="197" spans="1:29" ht="15.75" customHeight="1" x14ac:dyDescent="0.25">
      <c r="A197" s="244"/>
      <c r="B197" s="244"/>
      <c r="C197" s="244"/>
      <c r="D197" s="303"/>
      <c r="E197" s="179"/>
      <c r="F197" s="244"/>
      <c r="G197" s="244"/>
      <c r="H197" s="244"/>
      <c r="I197" s="244"/>
      <c r="J197" s="303"/>
      <c r="K197" s="179"/>
      <c r="L197" s="244"/>
      <c r="M197" s="244"/>
      <c r="N197" s="244"/>
      <c r="O197" s="244"/>
      <c r="P197" s="244"/>
      <c r="Q197" s="244"/>
      <c r="R197" s="244"/>
      <c r="S197" s="244"/>
      <c r="T197" s="244"/>
      <c r="U197" s="244"/>
      <c r="V197" s="244"/>
      <c r="W197" s="244"/>
      <c r="X197" s="244"/>
      <c r="Y197" s="244"/>
      <c r="Z197" s="244"/>
      <c r="AA197" s="244"/>
      <c r="AB197" s="244"/>
      <c r="AC197" s="244"/>
    </row>
    <row r="198" spans="1:29" ht="15.75" customHeight="1" x14ac:dyDescent="0.25">
      <c r="A198" s="244"/>
      <c r="B198" s="244"/>
      <c r="C198" s="244"/>
      <c r="D198" s="303"/>
      <c r="E198" s="179"/>
      <c r="F198" s="244"/>
      <c r="G198" s="244"/>
      <c r="H198" s="244"/>
      <c r="I198" s="244"/>
      <c r="J198" s="303"/>
      <c r="K198" s="179"/>
      <c r="L198" s="244"/>
      <c r="M198" s="244"/>
      <c r="N198" s="244"/>
      <c r="O198" s="244"/>
      <c r="P198" s="244"/>
      <c r="Q198" s="244"/>
      <c r="R198" s="244"/>
      <c r="S198" s="244"/>
      <c r="T198" s="244"/>
      <c r="U198" s="244"/>
      <c r="V198" s="244"/>
      <c r="W198" s="244"/>
      <c r="X198" s="244"/>
      <c r="Y198" s="244"/>
      <c r="Z198" s="244"/>
      <c r="AA198" s="244"/>
      <c r="AB198" s="244"/>
      <c r="AC198" s="244"/>
    </row>
    <row r="199" spans="1:29" ht="15.75" customHeight="1" x14ac:dyDescent="0.25">
      <c r="A199" s="244"/>
      <c r="B199" s="244"/>
      <c r="C199" s="244"/>
      <c r="D199" s="303"/>
      <c r="E199" s="179"/>
      <c r="F199" s="244"/>
      <c r="G199" s="244"/>
      <c r="H199" s="244"/>
      <c r="I199" s="244"/>
      <c r="J199" s="303"/>
      <c r="K199" s="179"/>
      <c r="L199" s="244"/>
      <c r="M199" s="244"/>
      <c r="N199" s="244"/>
      <c r="O199" s="244"/>
      <c r="P199" s="244"/>
      <c r="Q199" s="244"/>
      <c r="R199" s="244"/>
      <c r="S199" s="244"/>
      <c r="T199" s="244"/>
      <c r="U199" s="244"/>
      <c r="V199" s="244"/>
      <c r="W199" s="244"/>
      <c r="X199" s="244"/>
      <c r="Y199" s="244"/>
      <c r="Z199" s="244"/>
      <c r="AA199" s="244"/>
      <c r="AB199" s="244"/>
      <c r="AC199" s="244"/>
    </row>
    <row r="200" spans="1:29" ht="15.75" customHeight="1" x14ac:dyDescent="0.25">
      <c r="A200" s="244"/>
      <c r="B200" s="244"/>
      <c r="C200" s="244"/>
      <c r="D200" s="303"/>
      <c r="E200" s="179"/>
      <c r="F200" s="244"/>
      <c r="G200" s="244"/>
      <c r="H200" s="244"/>
      <c r="I200" s="244"/>
      <c r="J200" s="303"/>
      <c r="K200" s="179"/>
      <c r="L200" s="244"/>
      <c r="M200" s="244"/>
      <c r="N200" s="244"/>
      <c r="O200" s="244"/>
      <c r="P200" s="244"/>
      <c r="Q200" s="244"/>
      <c r="R200" s="244"/>
      <c r="S200" s="244"/>
      <c r="T200" s="244"/>
      <c r="U200" s="244"/>
      <c r="V200" s="244"/>
      <c r="W200" s="244"/>
      <c r="X200" s="244"/>
      <c r="Y200" s="244"/>
      <c r="Z200" s="244"/>
      <c r="AA200" s="244"/>
      <c r="AB200" s="244"/>
      <c r="AC200" s="244"/>
    </row>
    <row r="201" spans="1:29" ht="15.75" customHeight="1" x14ac:dyDescent="0.25">
      <c r="A201" s="244"/>
      <c r="B201" s="244"/>
      <c r="C201" s="244"/>
      <c r="D201" s="303"/>
      <c r="E201" s="179"/>
      <c r="F201" s="244"/>
      <c r="G201" s="244"/>
      <c r="H201" s="244"/>
      <c r="I201" s="244"/>
      <c r="J201" s="303"/>
      <c r="K201" s="179"/>
      <c r="L201" s="244"/>
      <c r="M201" s="244"/>
      <c r="N201" s="244"/>
      <c r="O201" s="244"/>
      <c r="P201" s="244"/>
      <c r="Q201" s="244"/>
      <c r="R201" s="244"/>
      <c r="S201" s="244"/>
      <c r="T201" s="244"/>
      <c r="U201" s="244"/>
      <c r="V201" s="244"/>
      <c r="W201" s="244"/>
      <c r="X201" s="244"/>
      <c r="Y201" s="244"/>
      <c r="Z201" s="244"/>
      <c r="AA201" s="244"/>
      <c r="AB201" s="244"/>
      <c r="AC201" s="244"/>
    </row>
    <row r="202" spans="1:29" ht="15.75" customHeight="1" x14ac:dyDescent="0.25">
      <c r="A202" s="244"/>
      <c r="B202" s="244"/>
      <c r="C202" s="244"/>
      <c r="D202" s="303"/>
      <c r="E202" s="179"/>
      <c r="F202" s="244"/>
      <c r="G202" s="244"/>
      <c r="H202" s="244"/>
      <c r="I202" s="244"/>
      <c r="J202" s="303"/>
      <c r="K202" s="179"/>
      <c r="L202" s="244"/>
      <c r="M202" s="244"/>
      <c r="N202" s="244"/>
      <c r="O202" s="244"/>
      <c r="P202" s="244"/>
      <c r="Q202" s="244"/>
      <c r="R202" s="244"/>
      <c r="S202" s="244"/>
      <c r="T202" s="244"/>
      <c r="U202" s="244"/>
      <c r="V202" s="244"/>
      <c r="W202" s="244"/>
      <c r="X202" s="244"/>
      <c r="Y202" s="244"/>
      <c r="Z202" s="244"/>
      <c r="AA202" s="244"/>
      <c r="AB202" s="244"/>
      <c r="AC202" s="244"/>
    </row>
    <row r="203" spans="1:29" ht="15.75" customHeight="1" x14ac:dyDescent="0.25">
      <c r="A203" s="244"/>
      <c r="B203" s="244"/>
      <c r="C203" s="244"/>
      <c r="D203" s="303"/>
      <c r="E203" s="179"/>
      <c r="F203" s="244"/>
      <c r="G203" s="244"/>
      <c r="H203" s="244"/>
      <c r="I203" s="244"/>
      <c r="J203" s="303"/>
      <c r="K203" s="179"/>
      <c r="L203" s="244"/>
      <c r="M203" s="244"/>
      <c r="N203" s="244"/>
      <c r="O203" s="244"/>
      <c r="P203" s="244"/>
      <c r="Q203" s="244"/>
      <c r="R203" s="244"/>
      <c r="S203" s="244"/>
      <c r="T203" s="244"/>
      <c r="U203" s="244"/>
      <c r="V203" s="244"/>
      <c r="W203" s="244"/>
      <c r="X203" s="244"/>
      <c r="Y203" s="244"/>
      <c r="Z203" s="244"/>
      <c r="AA203" s="244"/>
      <c r="AB203" s="244"/>
      <c r="AC203" s="244"/>
    </row>
    <row r="204" spans="1:29" ht="15.75" customHeight="1" x14ac:dyDescent="0.25">
      <c r="A204" s="244"/>
      <c r="B204" s="244"/>
      <c r="C204" s="244"/>
      <c r="D204" s="303"/>
      <c r="E204" s="179"/>
      <c r="F204" s="244"/>
      <c r="G204" s="244"/>
      <c r="H204" s="244"/>
      <c r="I204" s="244"/>
      <c r="J204" s="303"/>
      <c r="K204" s="179"/>
      <c r="L204" s="244"/>
      <c r="M204" s="244"/>
      <c r="N204" s="244"/>
      <c r="O204" s="244"/>
      <c r="P204" s="244"/>
      <c r="Q204" s="244"/>
      <c r="R204" s="244"/>
      <c r="S204" s="244"/>
      <c r="T204" s="244"/>
      <c r="U204" s="244"/>
      <c r="V204" s="244"/>
      <c r="W204" s="244"/>
      <c r="X204" s="244"/>
      <c r="Y204" s="244"/>
      <c r="Z204" s="244"/>
      <c r="AA204" s="244"/>
      <c r="AB204" s="244"/>
      <c r="AC204" s="244"/>
    </row>
    <row r="205" spans="1:29" ht="15.75" customHeight="1" x14ac:dyDescent="0.25">
      <c r="A205" s="244"/>
      <c r="B205" s="244"/>
      <c r="C205" s="244"/>
      <c r="D205" s="303"/>
      <c r="E205" s="179"/>
      <c r="F205" s="244"/>
      <c r="G205" s="244"/>
      <c r="H205" s="244"/>
      <c r="I205" s="244"/>
      <c r="J205" s="303"/>
      <c r="K205" s="179"/>
      <c r="L205" s="244"/>
      <c r="M205" s="244"/>
      <c r="N205" s="244"/>
      <c r="O205" s="244"/>
      <c r="P205" s="244"/>
      <c r="Q205" s="244"/>
      <c r="R205" s="244"/>
      <c r="S205" s="244"/>
      <c r="T205" s="244"/>
      <c r="U205" s="244"/>
      <c r="V205" s="244"/>
      <c r="W205" s="244"/>
      <c r="X205" s="244"/>
      <c r="Y205" s="244"/>
      <c r="Z205" s="244"/>
      <c r="AA205" s="244"/>
      <c r="AB205" s="244"/>
      <c r="AC205" s="244"/>
    </row>
    <row r="206" spans="1:29" ht="15.75" customHeight="1" x14ac:dyDescent="0.25">
      <c r="A206" s="244"/>
      <c r="B206" s="244"/>
      <c r="C206" s="244"/>
      <c r="D206" s="303"/>
      <c r="E206" s="179"/>
      <c r="F206" s="244"/>
      <c r="G206" s="244"/>
      <c r="H206" s="244"/>
      <c r="I206" s="244"/>
      <c r="J206" s="303"/>
      <c r="K206" s="179"/>
      <c r="L206" s="244"/>
      <c r="M206" s="244"/>
      <c r="N206" s="244"/>
      <c r="O206" s="244"/>
      <c r="P206" s="244"/>
      <c r="Q206" s="244"/>
      <c r="R206" s="244"/>
      <c r="S206" s="244"/>
      <c r="T206" s="244"/>
      <c r="U206" s="244"/>
      <c r="V206" s="244"/>
      <c r="W206" s="244"/>
      <c r="X206" s="244"/>
      <c r="Y206" s="244"/>
      <c r="Z206" s="244"/>
      <c r="AA206" s="244"/>
      <c r="AB206" s="244"/>
      <c r="AC206" s="244"/>
    </row>
    <row r="207" spans="1:29" ht="15.75" customHeight="1" x14ac:dyDescent="0.25">
      <c r="A207" s="244"/>
      <c r="B207" s="244"/>
      <c r="C207" s="244"/>
      <c r="D207" s="303"/>
      <c r="E207" s="179"/>
      <c r="F207" s="244"/>
      <c r="G207" s="244"/>
      <c r="H207" s="244"/>
      <c r="I207" s="244"/>
      <c r="J207" s="303"/>
      <c r="K207" s="179"/>
      <c r="L207" s="244"/>
      <c r="M207" s="244"/>
      <c r="N207" s="244"/>
      <c r="O207" s="244"/>
      <c r="P207" s="244"/>
      <c r="Q207" s="244"/>
      <c r="R207" s="244"/>
      <c r="S207" s="244"/>
      <c r="T207" s="244"/>
      <c r="U207" s="244"/>
      <c r="V207" s="244"/>
      <c r="W207" s="244"/>
      <c r="X207" s="244"/>
      <c r="Y207" s="244"/>
      <c r="Z207" s="244"/>
      <c r="AA207" s="244"/>
      <c r="AB207" s="244"/>
      <c r="AC207" s="244"/>
    </row>
    <row r="208" spans="1:29" ht="15.75" customHeight="1" x14ac:dyDescent="0.25">
      <c r="A208" s="244"/>
      <c r="B208" s="244"/>
      <c r="C208" s="244"/>
      <c r="D208" s="303"/>
      <c r="E208" s="179"/>
      <c r="F208" s="244"/>
      <c r="G208" s="244"/>
      <c r="H208" s="244"/>
      <c r="I208" s="244"/>
      <c r="J208" s="303"/>
      <c r="K208" s="179"/>
      <c r="L208" s="244"/>
      <c r="M208" s="244"/>
      <c r="N208" s="244"/>
      <c r="O208" s="244"/>
      <c r="P208" s="244"/>
      <c r="Q208" s="244"/>
      <c r="R208" s="244"/>
      <c r="S208" s="244"/>
      <c r="T208" s="244"/>
      <c r="U208" s="244"/>
      <c r="V208" s="244"/>
      <c r="W208" s="244"/>
      <c r="X208" s="244"/>
      <c r="Y208" s="244"/>
      <c r="Z208" s="244"/>
      <c r="AA208" s="244"/>
      <c r="AB208" s="244"/>
      <c r="AC208" s="244"/>
    </row>
    <row r="209" spans="1:29" ht="15.75" customHeight="1" x14ac:dyDescent="0.25">
      <c r="A209" s="244"/>
      <c r="B209" s="244"/>
      <c r="C209" s="244"/>
      <c r="D209" s="303"/>
      <c r="E209" s="179"/>
      <c r="F209" s="244"/>
      <c r="G209" s="244"/>
      <c r="H209" s="244"/>
      <c r="I209" s="244"/>
      <c r="J209" s="303"/>
      <c r="K209" s="179"/>
      <c r="L209" s="244"/>
      <c r="M209" s="244"/>
      <c r="N209" s="244"/>
      <c r="O209" s="244"/>
      <c r="P209" s="244"/>
      <c r="Q209" s="244"/>
      <c r="R209" s="244"/>
      <c r="S209" s="244"/>
      <c r="T209" s="244"/>
      <c r="U209" s="244"/>
      <c r="V209" s="244"/>
      <c r="W209" s="244"/>
      <c r="X209" s="244"/>
      <c r="Y209" s="244"/>
      <c r="Z209" s="244"/>
      <c r="AA209" s="244"/>
      <c r="AB209" s="244"/>
      <c r="AC209" s="244"/>
    </row>
    <row r="210" spans="1:29" ht="15.75" customHeight="1" x14ac:dyDescent="0.25">
      <c r="A210" s="244"/>
      <c r="B210" s="244"/>
      <c r="C210" s="244"/>
      <c r="D210" s="303"/>
      <c r="E210" s="179"/>
      <c r="F210" s="244"/>
      <c r="G210" s="244"/>
      <c r="H210" s="244"/>
      <c r="I210" s="244"/>
      <c r="J210" s="303"/>
      <c r="K210" s="179"/>
      <c r="L210" s="244"/>
      <c r="M210" s="244"/>
      <c r="N210" s="244"/>
      <c r="O210" s="244"/>
      <c r="P210" s="244"/>
      <c r="Q210" s="244"/>
      <c r="R210" s="244"/>
      <c r="S210" s="244"/>
      <c r="T210" s="244"/>
      <c r="U210" s="244"/>
      <c r="V210" s="244"/>
      <c r="W210" s="244"/>
      <c r="X210" s="244"/>
      <c r="Y210" s="244"/>
      <c r="Z210" s="244"/>
      <c r="AA210" s="244"/>
      <c r="AB210" s="244"/>
      <c r="AC210" s="244"/>
    </row>
    <row r="211" spans="1:29" ht="15.75" customHeight="1" x14ac:dyDescent="0.25">
      <c r="A211" s="244"/>
      <c r="B211" s="244"/>
      <c r="C211" s="244"/>
      <c r="D211" s="303"/>
      <c r="E211" s="179"/>
      <c r="F211" s="244"/>
      <c r="G211" s="244"/>
      <c r="H211" s="244"/>
      <c r="I211" s="244"/>
      <c r="J211" s="303"/>
      <c r="K211" s="179"/>
      <c r="L211" s="244"/>
      <c r="M211" s="244"/>
      <c r="N211" s="244"/>
      <c r="O211" s="244"/>
      <c r="P211" s="244"/>
      <c r="Q211" s="244"/>
      <c r="R211" s="244"/>
      <c r="S211" s="244"/>
      <c r="T211" s="244"/>
      <c r="U211" s="244"/>
      <c r="V211" s="244"/>
      <c r="W211" s="244"/>
      <c r="X211" s="244"/>
      <c r="Y211" s="244"/>
      <c r="Z211" s="244"/>
      <c r="AA211" s="244"/>
      <c r="AB211" s="244"/>
      <c r="AC211" s="244"/>
    </row>
    <row r="212" spans="1:29" ht="15.75" customHeight="1" x14ac:dyDescent="0.25">
      <c r="A212" s="244"/>
      <c r="B212" s="244"/>
      <c r="C212" s="244"/>
      <c r="D212" s="303"/>
      <c r="E212" s="179"/>
      <c r="F212" s="244"/>
      <c r="G212" s="244"/>
      <c r="H212" s="244"/>
      <c r="I212" s="244"/>
      <c r="J212" s="303"/>
      <c r="K212" s="179"/>
      <c r="L212" s="244"/>
      <c r="M212" s="244"/>
      <c r="N212" s="244"/>
      <c r="O212" s="244"/>
      <c r="P212" s="244"/>
      <c r="Q212" s="244"/>
      <c r="R212" s="244"/>
      <c r="S212" s="244"/>
      <c r="T212" s="244"/>
      <c r="U212" s="244"/>
      <c r="V212" s="244"/>
      <c r="W212" s="244"/>
      <c r="X212" s="244"/>
      <c r="Y212" s="244"/>
      <c r="Z212" s="244"/>
      <c r="AA212" s="244"/>
      <c r="AB212" s="244"/>
      <c r="AC212" s="244"/>
    </row>
    <row r="213" spans="1:29" ht="15.75" customHeight="1" x14ac:dyDescent="0.25">
      <c r="A213" s="244"/>
      <c r="B213" s="244"/>
      <c r="C213" s="244"/>
      <c r="D213" s="303"/>
      <c r="E213" s="179"/>
      <c r="F213" s="244"/>
      <c r="G213" s="244"/>
      <c r="H213" s="244"/>
      <c r="I213" s="244"/>
      <c r="J213" s="303"/>
      <c r="K213" s="179"/>
      <c r="L213" s="244"/>
      <c r="M213" s="244"/>
      <c r="N213" s="244"/>
      <c r="O213" s="244"/>
      <c r="P213" s="244"/>
      <c r="Q213" s="244"/>
      <c r="R213" s="244"/>
      <c r="S213" s="244"/>
      <c r="T213" s="244"/>
      <c r="U213" s="244"/>
      <c r="V213" s="244"/>
      <c r="W213" s="244"/>
      <c r="X213" s="244"/>
      <c r="Y213" s="244"/>
      <c r="Z213" s="244"/>
      <c r="AA213" s="244"/>
      <c r="AB213" s="244"/>
      <c r="AC213" s="244"/>
    </row>
    <row r="214" spans="1:29" ht="15.75" customHeight="1" x14ac:dyDescent="0.25">
      <c r="A214" s="244"/>
      <c r="B214" s="244"/>
      <c r="C214" s="244"/>
      <c r="D214" s="303"/>
      <c r="E214" s="179"/>
      <c r="F214" s="244"/>
      <c r="G214" s="244"/>
      <c r="H214" s="244"/>
      <c r="I214" s="244"/>
      <c r="J214" s="303"/>
      <c r="K214" s="179"/>
      <c r="L214" s="244"/>
      <c r="M214" s="244"/>
      <c r="N214" s="244"/>
      <c r="O214" s="244"/>
      <c r="P214" s="244"/>
      <c r="Q214" s="244"/>
      <c r="R214" s="244"/>
      <c r="S214" s="244"/>
      <c r="T214" s="244"/>
      <c r="U214" s="244"/>
      <c r="V214" s="244"/>
      <c r="W214" s="244"/>
      <c r="X214" s="244"/>
      <c r="Y214" s="244"/>
      <c r="Z214" s="244"/>
      <c r="AA214" s="244"/>
      <c r="AB214" s="244"/>
      <c r="AC214" s="244"/>
    </row>
    <row r="215" spans="1:29" ht="15.75" customHeight="1" x14ac:dyDescent="0.25">
      <c r="A215" s="244"/>
      <c r="B215" s="244"/>
      <c r="C215" s="244"/>
      <c r="D215" s="303"/>
      <c r="E215" s="179"/>
      <c r="F215" s="244"/>
      <c r="G215" s="244"/>
      <c r="H215" s="244"/>
      <c r="I215" s="244"/>
      <c r="J215" s="303"/>
      <c r="K215" s="179"/>
      <c r="L215" s="244"/>
      <c r="M215" s="244"/>
      <c r="N215" s="244"/>
      <c r="O215" s="244"/>
      <c r="P215" s="244"/>
      <c r="Q215" s="244"/>
      <c r="R215" s="244"/>
      <c r="S215" s="244"/>
      <c r="T215" s="244"/>
      <c r="U215" s="244"/>
      <c r="V215" s="244"/>
      <c r="W215" s="244"/>
      <c r="X215" s="244"/>
      <c r="Y215" s="244"/>
      <c r="Z215" s="244"/>
      <c r="AA215" s="244"/>
      <c r="AB215" s="244"/>
      <c r="AC215" s="244"/>
    </row>
    <row r="216" spans="1:29" ht="15.75" customHeight="1" x14ac:dyDescent="0.25">
      <c r="A216" s="244"/>
      <c r="B216" s="244"/>
      <c r="C216" s="244"/>
      <c r="D216" s="303"/>
      <c r="E216" s="179"/>
      <c r="F216" s="244"/>
      <c r="G216" s="244"/>
      <c r="H216" s="244"/>
      <c r="I216" s="244"/>
      <c r="J216" s="303"/>
      <c r="K216" s="179"/>
      <c r="L216" s="244"/>
      <c r="M216" s="244"/>
      <c r="N216" s="244"/>
      <c r="O216" s="244"/>
      <c r="P216" s="244"/>
      <c r="Q216" s="244"/>
      <c r="R216" s="244"/>
      <c r="S216" s="244"/>
      <c r="T216" s="244"/>
      <c r="U216" s="244"/>
      <c r="V216" s="244"/>
      <c r="W216" s="244"/>
      <c r="X216" s="244"/>
      <c r="Y216" s="244"/>
      <c r="Z216" s="244"/>
      <c r="AA216" s="244"/>
      <c r="AB216" s="244"/>
      <c r="AC216" s="244"/>
    </row>
    <row r="217" spans="1:29" ht="15.75" customHeight="1" x14ac:dyDescent="0.25">
      <c r="A217" s="244"/>
      <c r="B217" s="244"/>
      <c r="C217" s="244"/>
      <c r="D217" s="303"/>
      <c r="E217" s="179"/>
      <c r="F217" s="244"/>
      <c r="G217" s="244"/>
      <c r="H217" s="244"/>
      <c r="I217" s="244"/>
      <c r="J217" s="303"/>
      <c r="K217" s="179"/>
      <c r="L217" s="244"/>
      <c r="M217" s="244"/>
      <c r="N217" s="244"/>
      <c r="O217" s="244"/>
      <c r="P217" s="244"/>
      <c r="Q217" s="244"/>
      <c r="R217" s="244"/>
      <c r="S217" s="244"/>
      <c r="T217" s="244"/>
      <c r="U217" s="244"/>
      <c r="V217" s="244"/>
      <c r="W217" s="244"/>
      <c r="X217" s="244"/>
      <c r="Y217" s="244"/>
      <c r="Z217" s="244"/>
      <c r="AA217" s="244"/>
      <c r="AB217" s="244"/>
      <c r="AC217" s="244"/>
    </row>
    <row r="218" spans="1:29" ht="15.75" customHeight="1" x14ac:dyDescent="0.25">
      <c r="A218" s="244"/>
      <c r="B218" s="244"/>
      <c r="C218" s="244"/>
      <c r="D218" s="303"/>
      <c r="E218" s="179"/>
      <c r="F218" s="244"/>
      <c r="G218" s="244"/>
      <c r="H218" s="244"/>
      <c r="I218" s="244"/>
      <c r="J218" s="303"/>
      <c r="K218" s="179"/>
      <c r="L218" s="244"/>
      <c r="M218" s="244"/>
      <c r="N218" s="244"/>
      <c r="O218" s="244"/>
      <c r="P218" s="244"/>
      <c r="Q218" s="244"/>
      <c r="R218" s="244"/>
      <c r="S218" s="244"/>
      <c r="T218" s="244"/>
      <c r="U218" s="244"/>
      <c r="V218" s="244"/>
      <c r="W218" s="244"/>
      <c r="X218" s="244"/>
      <c r="Y218" s="244"/>
      <c r="Z218" s="244"/>
      <c r="AA218" s="244"/>
      <c r="AB218" s="244"/>
      <c r="AC218" s="244"/>
    </row>
    <row r="219" spans="1:29" ht="15.75" customHeight="1" x14ac:dyDescent="0.25">
      <c r="A219" s="244"/>
      <c r="B219" s="244"/>
      <c r="C219" s="244"/>
      <c r="D219" s="303"/>
      <c r="E219" s="179"/>
      <c r="F219" s="244"/>
      <c r="G219" s="244"/>
      <c r="H219" s="244"/>
      <c r="I219" s="244"/>
      <c r="J219" s="303"/>
      <c r="K219" s="179"/>
      <c r="L219" s="244"/>
      <c r="M219" s="244"/>
      <c r="N219" s="244"/>
      <c r="O219" s="244"/>
      <c r="P219" s="244"/>
      <c r="Q219" s="244"/>
      <c r="R219" s="244"/>
      <c r="S219" s="244"/>
      <c r="T219" s="244"/>
      <c r="U219" s="244"/>
      <c r="V219" s="244"/>
      <c r="W219" s="244"/>
      <c r="X219" s="244"/>
      <c r="Y219" s="244"/>
      <c r="Z219" s="244"/>
      <c r="AA219" s="244"/>
      <c r="AB219" s="244"/>
      <c r="AC219" s="244"/>
    </row>
    <row r="220" spans="1:29" ht="15.75" customHeight="1" x14ac:dyDescent="0.25">
      <c r="A220" s="244"/>
      <c r="B220" s="244"/>
      <c r="C220" s="244"/>
      <c r="D220" s="303"/>
      <c r="E220" s="179"/>
      <c r="F220" s="244"/>
      <c r="G220" s="244"/>
      <c r="H220" s="244"/>
      <c r="I220" s="244"/>
      <c r="J220" s="303"/>
      <c r="K220" s="179"/>
      <c r="L220" s="244"/>
      <c r="M220" s="244"/>
      <c r="N220" s="244"/>
      <c r="O220" s="244"/>
      <c r="P220" s="244"/>
      <c r="Q220" s="244"/>
      <c r="R220" s="244"/>
      <c r="S220" s="244"/>
      <c r="T220" s="244"/>
      <c r="U220" s="244"/>
      <c r="V220" s="244"/>
      <c r="W220" s="244"/>
      <c r="X220" s="244"/>
      <c r="Y220" s="244"/>
      <c r="Z220" s="244"/>
      <c r="AA220" s="244"/>
      <c r="AB220" s="244"/>
      <c r="AC220" s="244"/>
    </row>
    <row r="221" spans="1:29" ht="15.75" customHeight="1" x14ac:dyDescent="0.25">
      <c r="A221" s="244"/>
      <c r="B221" s="244"/>
      <c r="C221" s="244"/>
      <c r="D221" s="303"/>
      <c r="E221" s="179"/>
      <c r="F221" s="244"/>
      <c r="G221" s="244"/>
      <c r="H221" s="244"/>
      <c r="I221" s="244"/>
      <c r="J221" s="303"/>
      <c r="K221" s="179"/>
      <c r="L221" s="244"/>
      <c r="M221" s="244"/>
      <c r="N221" s="244"/>
      <c r="O221" s="244"/>
      <c r="P221" s="244"/>
      <c r="Q221" s="244"/>
      <c r="R221" s="244"/>
      <c r="S221" s="244"/>
      <c r="T221" s="244"/>
      <c r="U221" s="244"/>
      <c r="V221" s="244"/>
      <c r="W221" s="244"/>
      <c r="X221" s="244"/>
      <c r="Y221" s="244"/>
      <c r="Z221" s="244"/>
      <c r="AA221" s="244"/>
      <c r="AB221" s="244"/>
      <c r="AC221" s="244"/>
    </row>
    <row r="222" spans="1:29" ht="15.75" customHeight="1" x14ac:dyDescent="0.25">
      <c r="A222" s="244"/>
      <c r="B222" s="244"/>
      <c r="C222" s="244"/>
      <c r="D222" s="303"/>
      <c r="E222" s="179"/>
      <c r="F222" s="244"/>
      <c r="G222" s="244"/>
      <c r="H222" s="244"/>
      <c r="I222" s="244"/>
      <c r="J222" s="303"/>
      <c r="K222" s="179"/>
      <c r="L222" s="244"/>
      <c r="M222" s="244"/>
      <c r="N222" s="244"/>
      <c r="O222" s="244"/>
      <c r="P222" s="244"/>
      <c r="Q222" s="244"/>
      <c r="R222" s="244"/>
      <c r="S222" s="244"/>
      <c r="T222" s="244"/>
      <c r="U222" s="244"/>
      <c r="V222" s="244"/>
      <c r="W222" s="244"/>
      <c r="X222" s="244"/>
      <c r="Y222" s="244"/>
      <c r="Z222" s="244"/>
      <c r="AA222" s="244"/>
      <c r="AB222" s="244"/>
      <c r="AC222" s="244"/>
    </row>
    <row r="223" spans="1:29" ht="15.75" customHeight="1" x14ac:dyDescent="0.25">
      <c r="A223" s="244"/>
      <c r="B223" s="244"/>
      <c r="C223" s="244"/>
      <c r="D223" s="303"/>
      <c r="E223" s="179"/>
      <c r="F223" s="244"/>
      <c r="G223" s="244"/>
      <c r="H223" s="244"/>
      <c r="I223" s="244"/>
      <c r="J223" s="303"/>
      <c r="K223" s="179"/>
      <c r="L223" s="244"/>
      <c r="M223" s="244"/>
      <c r="N223" s="244"/>
      <c r="O223" s="244"/>
      <c r="P223" s="244"/>
      <c r="Q223" s="244"/>
      <c r="R223" s="244"/>
      <c r="S223" s="244"/>
      <c r="T223" s="244"/>
      <c r="U223" s="244"/>
      <c r="V223" s="244"/>
      <c r="W223" s="244"/>
      <c r="X223" s="244"/>
      <c r="Y223" s="244"/>
      <c r="Z223" s="244"/>
      <c r="AA223" s="244"/>
      <c r="AB223" s="244"/>
      <c r="AC223" s="244"/>
    </row>
    <row r="224" spans="1:29" ht="15.75" customHeight="1" x14ac:dyDescent="0.25">
      <c r="A224" s="244"/>
      <c r="B224" s="244"/>
      <c r="C224" s="244"/>
      <c r="D224" s="303"/>
      <c r="E224" s="179"/>
      <c r="F224" s="244"/>
      <c r="G224" s="244"/>
      <c r="H224" s="244"/>
      <c r="I224" s="244"/>
      <c r="J224" s="303"/>
      <c r="K224" s="179"/>
      <c r="L224" s="244"/>
      <c r="M224" s="244"/>
      <c r="N224" s="244"/>
      <c r="O224" s="244"/>
      <c r="P224" s="244"/>
      <c r="Q224" s="244"/>
      <c r="R224" s="244"/>
      <c r="S224" s="244"/>
      <c r="T224" s="244"/>
      <c r="U224" s="244"/>
      <c r="V224" s="244"/>
      <c r="W224" s="244"/>
      <c r="X224" s="244"/>
      <c r="Y224" s="244"/>
      <c r="Z224" s="244"/>
      <c r="AA224" s="244"/>
      <c r="AB224" s="244"/>
      <c r="AC224" s="244"/>
    </row>
    <row r="225" spans="1:29" ht="15.75" customHeight="1" x14ac:dyDescent="0.25">
      <c r="A225" s="244"/>
      <c r="B225" s="244"/>
      <c r="C225" s="244"/>
      <c r="D225" s="303"/>
      <c r="E225" s="179"/>
      <c r="F225" s="244"/>
      <c r="G225" s="244"/>
      <c r="H225" s="244"/>
      <c r="I225" s="244"/>
      <c r="J225" s="303"/>
      <c r="K225" s="179"/>
      <c r="L225" s="244"/>
      <c r="M225" s="244"/>
      <c r="N225" s="244"/>
      <c r="O225" s="244"/>
      <c r="P225" s="244"/>
      <c r="Q225" s="244"/>
      <c r="R225" s="244"/>
      <c r="S225" s="244"/>
      <c r="T225" s="244"/>
      <c r="U225" s="244"/>
      <c r="V225" s="244"/>
      <c r="W225" s="244"/>
      <c r="X225" s="244"/>
      <c r="Y225" s="244"/>
      <c r="Z225" s="244"/>
      <c r="AA225" s="244"/>
      <c r="AB225" s="244"/>
      <c r="AC225" s="244"/>
    </row>
    <row r="226" spans="1:29" ht="15.75" customHeight="1" x14ac:dyDescent="0.25">
      <c r="A226" s="244"/>
      <c r="B226" s="244"/>
      <c r="C226" s="244"/>
      <c r="D226" s="303"/>
      <c r="E226" s="179"/>
      <c r="F226" s="244"/>
      <c r="G226" s="244"/>
      <c r="H226" s="244"/>
      <c r="I226" s="244"/>
      <c r="J226" s="303"/>
      <c r="K226" s="179"/>
      <c r="L226" s="244"/>
      <c r="M226" s="244"/>
      <c r="N226" s="244"/>
      <c r="O226" s="244"/>
      <c r="P226" s="244"/>
      <c r="Q226" s="244"/>
      <c r="R226" s="244"/>
      <c r="S226" s="244"/>
      <c r="T226" s="244"/>
      <c r="U226" s="244"/>
      <c r="V226" s="244"/>
      <c r="W226" s="244"/>
      <c r="X226" s="244"/>
      <c r="Y226" s="244"/>
      <c r="Z226" s="244"/>
      <c r="AA226" s="244"/>
      <c r="AB226" s="244"/>
      <c r="AC226" s="244"/>
    </row>
    <row r="227" spans="1:29" ht="15.75" customHeight="1" x14ac:dyDescent="0.25">
      <c r="A227" s="244"/>
      <c r="B227" s="244"/>
      <c r="C227" s="244"/>
      <c r="D227" s="303"/>
      <c r="E227" s="179"/>
      <c r="F227" s="244"/>
      <c r="G227" s="244"/>
      <c r="H227" s="244"/>
      <c r="I227" s="244"/>
      <c r="J227" s="303"/>
      <c r="K227" s="179"/>
      <c r="L227" s="244"/>
      <c r="M227" s="244"/>
      <c r="N227" s="244"/>
      <c r="O227" s="244"/>
      <c r="P227" s="244"/>
      <c r="Q227" s="244"/>
      <c r="R227" s="244"/>
      <c r="S227" s="244"/>
      <c r="T227" s="244"/>
      <c r="U227" s="244"/>
      <c r="V227" s="244"/>
      <c r="W227" s="244"/>
      <c r="X227" s="244"/>
      <c r="Y227" s="244"/>
      <c r="Z227" s="244"/>
      <c r="AA227" s="244"/>
      <c r="AB227" s="244"/>
      <c r="AC227" s="244"/>
    </row>
    <row r="228" spans="1:29" ht="15.75" customHeight="1" x14ac:dyDescent="0.25">
      <c r="A228" s="244"/>
      <c r="B228" s="244"/>
      <c r="C228" s="244"/>
      <c r="D228" s="303"/>
      <c r="E228" s="179"/>
      <c r="F228" s="244"/>
      <c r="G228" s="244"/>
      <c r="H228" s="244"/>
      <c r="I228" s="244"/>
      <c r="J228" s="303"/>
      <c r="K228" s="179"/>
      <c r="L228" s="244"/>
      <c r="M228" s="244"/>
      <c r="N228" s="244"/>
      <c r="O228" s="244"/>
      <c r="P228" s="244"/>
      <c r="Q228" s="244"/>
      <c r="R228" s="244"/>
      <c r="S228" s="244"/>
      <c r="T228" s="244"/>
      <c r="U228" s="244"/>
      <c r="V228" s="244"/>
      <c r="W228" s="244"/>
      <c r="X228" s="244"/>
      <c r="Y228" s="244"/>
      <c r="Z228" s="244"/>
      <c r="AA228" s="244"/>
      <c r="AB228" s="244"/>
      <c r="AC228" s="244"/>
    </row>
    <row r="229" spans="1:29" ht="15.75" customHeight="1" x14ac:dyDescent="0.25">
      <c r="A229" s="244"/>
      <c r="B229" s="244"/>
      <c r="C229" s="244"/>
      <c r="D229" s="303"/>
      <c r="E229" s="179"/>
      <c r="F229" s="244"/>
      <c r="G229" s="244"/>
      <c r="H229" s="244"/>
      <c r="I229" s="244"/>
      <c r="J229" s="303"/>
      <c r="K229" s="179"/>
      <c r="L229" s="244"/>
      <c r="M229" s="244"/>
      <c r="N229" s="244"/>
      <c r="O229" s="244"/>
      <c r="P229" s="244"/>
      <c r="Q229" s="244"/>
      <c r="R229" s="244"/>
      <c r="S229" s="244"/>
      <c r="T229" s="244"/>
      <c r="U229" s="244"/>
      <c r="V229" s="244"/>
      <c r="W229" s="244"/>
      <c r="X229" s="244"/>
      <c r="Y229" s="244"/>
      <c r="Z229" s="244"/>
      <c r="AA229" s="244"/>
      <c r="AB229" s="244"/>
      <c r="AC229" s="244"/>
    </row>
    <row r="230" spans="1:29" ht="15.75" customHeight="1" x14ac:dyDescent="0.25">
      <c r="A230" s="244"/>
      <c r="B230" s="244"/>
      <c r="C230" s="244"/>
      <c r="D230" s="303"/>
      <c r="E230" s="179"/>
      <c r="F230" s="244"/>
      <c r="G230" s="244"/>
      <c r="H230" s="244"/>
      <c r="I230" s="244"/>
      <c r="J230" s="303"/>
      <c r="K230" s="179"/>
      <c r="L230" s="244"/>
      <c r="M230" s="244"/>
      <c r="N230" s="244"/>
      <c r="O230" s="244"/>
      <c r="P230" s="244"/>
      <c r="Q230" s="244"/>
      <c r="R230" s="244"/>
      <c r="S230" s="244"/>
      <c r="T230" s="244"/>
      <c r="U230" s="244"/>
      <c r="V230" s="244"/>
      <c r="W230" s="244"/>
      <c r="X230" s="244"/>
      <c r="Y230" s="244"/>
      <c r="Z230" s="244"/>
      <c r="AA230" s="244"/>
      <c r="AB230" s="244"/>
      <c r="AC230" s="244"/>
    </row>
    <row r="231" spans="1:29" ht="15.75" customHeight="1" x14ac:dyDescent="0.25">
      <c r="A231" s="244"/>
      <c r="B231" s="244"/>
      <c r="C231" s="244"/>
      <c r="D231" s="303"/>
      <c r="E231" s="179"/>
      <c r="F231" s="244"/>
      <c r="G231" s="244"/>
      <c r="H231" s="244"/>
      <c r="I231" s="244"/>
      <c r="J231" s="303"/>
      <c r="K231" s="179"/>
      <c r="L231" s="244"/>
      <c r="M231" s="244"/>
      <c r="N231" s="244"/>
      <c r="O231" s="244"/>
      <c r="P231" s="244"/>
      <c r="Q231" s="244"/>
      <c r="R231" s="244"/>
      <c r="S231" s="244"/>
      <c r="T231" s="244"/>
      <c r="U231" s="244"/>
      <c r="V231" s="244"/>
      <c r="W231" s="244"/>
      <c r="X231" s="244"/>
      <c r="Y231" s="244"/>
      <c r="Z231" s="244"/>
      <c r="AA231" s="244"/>
      <c r="AB231" s="244"/>
      <c r="AC231" s="244"/>
    </row>
    <row r="232" spans="1:29" ht="15.75" customHeight="1" x14ac:dyDescent="0.25">
      <c r="A232" s="244"/>
      <c r="B232" s="244"/>
      <c r="C232" s="244"/>
      <c r="D232" s="303"/>
      <c r="E232" s="179"/>
      <c r="F232" s="244"/>
      <c r="G232" s="244"/>
      <c r="H232" s="244"/>
      <c r="I232" s="244"/>
      <c r="J232" s="303"/>
      <c r="K232" s="179"/>
      <c r="L232" s="244"/>
      <c r="M232" s="244"/>
      <c r="N232" s="244"/>
      <c r="O232" s="244"/>
      <c r="P232" s="244"/>
      <c r="Q232" s="244"/>
      <c r="R232" s="244"/>
      <c r="S232" s="244"/>
      <c r="T232" s="244"/>
      <c r="U232" s="244"/>
      <c r="V232" s="244"/>
      <c r="W232" s="244"/>
      <c r="X232" s="244"/>
      <c r="Y232" s="244"/>
      <c r="Z232" s="244"/>
      <c r="AA232" s="244"/>
      <c r="AB232" s="244"/>
      <c r="AC232" s="244"/>
    </row>
    <row r="233" spans="1:29" ht="15.75" customHeight="1" x14ac:dyDescent="0.25">
      <c r="A233" s="244"/>
      <c r="B233" s="244"/>
      <c r="C233" s="244"/>
      <c r="D233" s="303"/>
      <c r="E233" s="179"/>
      <c r="F233" s="244"/>
      <c r="G233" s="244"/>
      <c r="H233" s="244"/>
      <c r="I233" s="244"/>
      <c r="J233" s="303"/>
      <c r="K233" s="179"/>
      <c r="L233" s="244"/>
      <c r="M233" s="244"/>
      <c r="N233" s="244"/>
      <c r="O233" s="244"/>
      <c r="P233" s="244"/>
      <c r="Q233" s="244"/>
      <c r="R233" s="244"/>
      <c r="S233" s="244"/>
      <c r="T233" s="244"/>
      <c r="U233" s="244"/>
      <c r="V233" s="244"/>
      <c r="W233" s="244"/>
      <c r="X233" s="244"/>
      <c r="Y233" s="244"/>
      <c r="Z233" s="244"/>
      <c r="AA233" s="244"/>
      <c r="AB233" s="244"/>
      <c r="AC233" s="244"/>
    </row>
    <row r="234" spans="1:29" ht="15.75" customHeight="1" x14ac:dyDescent="0.25">
      <c r="A234" s="244"/>
      <c r="B234" s="244"/>
      <c r="C234" s="244"/>
      <c r="D234" s="303"/>
      <c r="E234" s="179"/>
      <c r="F234" s="244"/>
      <c r="G234" s="244"/>
      <c r="H234" s="244"/>
      <c r="I234" s="244"/>
      <c r="J234" s="303"/>
      <c r="K234" s="179"/>
      <c r="L234" s="244"/>
      <c r="M234" s="244"/>
      <c r="N234" s="244"/>
      <c r="O234" s="244"/>
      <c r="P234" s="244"/>
      <c r="Q234" s="244"/>
      <c r="R234" s="244"/>
      <c r="S234" s="244"/>
      <c r="T234" s="244"/>
      <c r="U234" s="244"/>
      <c r="V234" s="244"/>
      <c r="W234" s="244"/>
      <c r="X234" s="244"/>
      <c r="Y234" s="244"/>
      <c r="Z234" s="244"/>
      <c r="AA234" s="244"/>
      <c r="AB234" s="244"/>
      <c r="AC234" s="244"/>
    </row>
    <row r="235" spans="1:29" ht="15.75" customHeight="1" x14ac:dyDescent="0.25">
      <c r="A235" s="244"/>
      <c r="B235" s="244"/>
      <c r="C235" s="244"/>
      <c r="D235" s="303"/>
      <c r="E235" s="179"/>
      <c r="F235" s="244"/>
      <c r="G235" s="244"/>
      <c r="H235" s="244"/>
      <c r="I235" s="244"/>
      <c r="J235" s="303"/>
      <c r="K235" s="179"/>
      <c r="L235" s="244"/>
      <c r="M235" s="244"/>
      <c r="N235" s="244"/>
      <c r="O235" s="244"/>
      <c r="P235" s="244"/>
      <c r="Q235" s="244"/>
      <c r="R235" s="244"/>
      <c r="S235" s="244"/>
      <c r="T235" s="244"/>
      <c r="U235" s="244"/>
      <c r="V235" s="244"/>
      <c r="W235" s="244"/>
      <c r="X235" s="244"/>
      <c r="Y235" s="244"/>
      <c r="Z235" s="244"/>
      <c r="AA235" s="244"/>
      <c r="AB235" s="244"/>
      <c r="AC235" s="244"/>
    </row>
    <row r="236" spans="1:29" ht="15.75" customHeight="1" x14ac:dyDescent="0.25">
      <c r="A236" s="244"/>
      <c r="B236" s="244"/>
      <c r="C236" s="244"/>
      <c r="D236" s="303"/>
      <c r="E236" s="179"/>
      <c r="F236" s="244"/>
      <c r="G236" s="244"/>
      <c r="H236" s="244"/>
      <c r="I236" s="244"/>
      <c r="J236" s="303"/>
      <c r="K236" s="179"/>
      <c r="L236" s="244"/>
      <c r="M236" s="244"/>
      <c r="N236" s="244"/>
      <c r="O236" s="244"/>
      <c r="P236" s="244"/>
      <c r="Q236" s="244"/>
      <c r="R236" s="244"/>
      <c r="S236" s="244"/>
      <c r="T236" s="244"/>
      <c r="U236" s="244"/>
      <c r="V236" s="244"/>
      <c r="W236" s="244"/>
      <c r="X236" s="244"/>
      <c r="Y236" s="244"/>
      <c r="Z236" s="244"/>
      <c r="AA236" s="244"/>
      <c r="AB236" s="244"/>
      <c r="AC236" s="244"/>
    </row>
    <row r="237" spans="1:29" ht="15.75" customHeight="1" x14ac:dyDescent="0.25">
      <c r="A237" s="244"/>
      <c r="B237" s="244"/>
      <c r="C237" s="244"/>
      <c r="D237" s="303"/>
      <c r="E237" s="179"/>
      <c r="F237" s="244"/>
      <c r="G237" s="244"/>
      <c r="H237" s="244"/>
      <c r="I237" s="244"/>
      <c r="J237" s="303"/>
      <c r="K237" s="179"/>
      <c r="L237" s="244"/>
      <c r="M237" s="244"/>
      <c r="N237" s="244"/>
      <c r="O237" s="244"/>
      <c r="P237" s="244"/>
      <c r="Q237" s="244"/>
      <c r="R237" s="244"/>
      <c r="S237" s="244"/>
      <c r="T237" s="244"/>
      <c r="U237" s="244"/>
      <c r="V237" s="244"/>
      <c r="W237" s="244"/>
      <c r="X237" s="244"/>
      <c r="Y237" s="244"/>
      <c r="Z237" s="244"/>
      <c r="AA237" s="244"/>
      <c r="AB237" s="244"/>
      <c r="AC237" s="244"/>
    </row>
    <row r="238" spans="1:29" ht="15.75" customHeight="1" x14ac:dyDescent="0.25">
      <c r="A238" s="244"/>
      <c r="B238" s="244"/>
      <c r="C238" s="244"/>
      <c r="D238" s="303"/>
      <c r="E238" s="179"/>
      <c r="F238" s="244"/>
      <c r="G238" s="244"/>
      <c r="H238" s="244"/>
      <c r="I238" s="244"/>
      <c r="J238" s="303"/>
      <c r="K238" s="179"/>
      <c r="L238" s="244"/>
      <c r="M238" s="244"/>
      <c r="N238" s="244"/>
      <c r="O238" s="244"/>
      <c r="P238" s="244"/>
      <c r="Q238" s="244"/>
      <c r="R238" s="244"/>
      <c r="S238" s="244"/>
      <c r="T238" s="244"/>
      <c r="U238" s="244"/>
      <c r="V238" s="244"/>
      <c r="W238" s="244"/>
      <c r="X238" s="244"/>
      <c r="Y238" s="244"/>
      <c r="Z238" s="244"/>
      <c r="AA238" s="244"/>
      <c r="AB238" s="244"/>
      <c r="AC238" s="244"/>
    </row>
    <row r="239" spans="1:29" ht="15.75" customHeight="1" x14ac:dyDescent="0.25">
      <c r="A239" s="244"/>
      <c r="B239" s="244"/>
      <c r="C239" s="244"/>
      <c r="D239" s="303"/>
      <c r="E239" s="179"/>
      <c r="F239" s="244"/>
      <c r="G239" s="244"/>
      <c r="H239" s="244"/>
      <c r="I239" s="244"/>
      <c r="J239" s="303"/>
      <c r="K239" s="179"/>
      <c r="L239" s="244"/>
      <c r="M239" s="244"/>
      <c r="N239" s="244"/>
      <c r="O239" s="244"/>
      <c r="P239" s="244"/>
      <c r="Q239" s="244"/>
      <c r="R239" s="244"/>
      <c r="S239" s="244"/>
      <c r="T239" s="244"/>
      <c r="U239" s="244"/>
      <c r="V239" s="244"/>
      <c r="W239" s="244"/>
      <c r="X239" s="244"/>
      <c r="Y239" s="244"/>
      <c r="Z239" s="244"/>
      <c r="AA239" s="244"/>
      <c r="AB239" s="244"/>
      <c r="AC239" s="244"/>
    </row>
    <row r="240" spans="1:29" ht="15.75" customHeight="1" x14ac:dyDescent="0.25">
      <c r="A240" s="244"/>
      <c r="B240" s="244"/>
      <c r="C240" s="244"/>
      <c r="D240" s="303"/>
      <c r="E240" s="179"/>
      <c r="F240" s="244"/>
      <c r="G240" s="244"/>
      <c r="H240" s="244"/>
      <c r="I240" s="244"/>
      <c r="J240" s="303"/>
      <c r="K240" s="179"/>
      <c r="L240" s="244"/>
      <c r="M240" s="244"/>
      <c r="N240" s="244"/>
      <c r="O240" s="244"/>
      <c r="P240" s="244"/>
      <c r="Q240" s="244"/>
      <c r="R240" s="244"/>
      <c r="S240" s="244"/>
      <c r="T240" s="244"/>
      <c r="U240" s="244"/>
      <c r="V240" s="244"/>
      <c r="W240" s="244"/>
      <c r="X240" s="244"/>
      <c r="Y240" s="244"/>
      <c r="Z240" s="244"/>
      <c r="AA240" s="244"/>
      <c r="AB240" s="244"/>
      <c r="AC240" s="244"/>
    </row>
    <row r="241" spans="1:29" ht="15.75" customHeight="1" x14ac:dyDescent="0.25">
      <c r="A241" s="244"/>
      <c r="B241" s="244"/>
      <c r="C241" s="244"/>
      <c r="D241" s="303"/>
      <c r="E241" s="179"/>
      <c r="F241" s="244"/>
      <c r="G241" s="244"/>
      <c r="H241" s="244"/>
      <c r="I241" s="244"/>
      <c r="J241" s="303"/>
      <c r="K241" s="179"/>
      <c r="L241" s="244"/>
      <c r="M241" s="244"/>
      <c r="N241" s="244"/>
      <c r="O241" s="244"/>
      <c r="P241" s="244"/>
      <c r="Q241" s="244"/>
      <c r="R241" s="244"/>
      <c r="S241" s="244"/>
      <c r="T241" s="244"/>
      <c r="U241" s="244"/>
      <c r="V241" s="244"/>
      <c r="W241" s="244"/>
      <c r="X241" s="244"/>
      <c r="Y241" s="244"/>
      <c r="Z241" s="244"/>
      <c r="AA241" s="244"/>
      <c r="AB241" s="244"/>
      <c r="AC241" s="244"/>
    </row>
    <row r="242" spans="1:29" ht="15.75" customHeight="1" x14ac:dyDescent="0.25">
      <c r="A242" s="244"/>
      <c r="B242" s="244"/>
      <c r="C242" s="244"/>
      <c r="D242" s="303"/>
      <c r="E242" s="179"/>
      <c r="F242" s="244"/>
      <c r="G242" s="244"/>
      <c r="H242" s="244"/>
      <c r="I242" s="244"/>
      <c r="J242" s="303"/>
      <c r="K242" s="179"/>
      <c r="L242" s="244"/>
      <c r="M242" s="244"/>
      <c r="N242" s="244"/>
      <c r="O242" s="244"/>
      <c r="P242" s="244"/>
      <c r="Q242" s="244"/>
      <c r="R242" s="244"/>
      <c r="S242" s="244"/>
      <c r="T242" s="244"/>
      <c r="U242" s="244"/>
      <c r="V242" s="244"/>
      <c r="W242" s="244"/>
      <c r="X242" s="244"/>
      <c r="Y242" s="244"/>
      <c r="Z242" s="244"/>
      <c r="AA242" s="244"/>
      <c r="AB242" s="244"/>
      <c r="AC242" s="244"/>
    </row>
    <row r="243" spans="1:29" ht="15.75" customHeight="1" x14ac:dyDescent="0.25">
      <c r="A243" s="244"/>
      <c r="B243" s="244"/>
      <c r="C243" s="244"/>
      <c r="D243" s="303"/>
      <c r="E243" s="179"/>
      <c r="F243" s="244"/>
      <c r="G243" s="244"/>
      <c r="H243" s="244"/>
      <c r="I243" s="244"/>
      <c r="J243" s="303"/>
      <c r="K243" s="179"/>
      <c r="L243" s="244"/>
      <c r="M243" s="244"/>
      <c r="N243" s="244"/>
      <c r="O243" s="244"/>
      <c r="P243" s="244"/>
      <c r="Q243" s="244"/>
      <c r="R243" s="244"/>
      <c r="S243" s="244"/>
      <c r="T243" s="244"/>
      <c r="U243" s="244"/>
      <c r="V243" s="244"/>
      <c r="W243" s="244"/>
      <c r="X243" s="244"/>
      <c r="Y243" s="244"/>
      <c r="Z243" s="244"/>
      <c r="AA243" s="244"/>
      <c r="AB243" s="244"/>
      <c r="AC243" s="244"/>
    </row>
    <row r="244" spans="1:29" ht="15.75" customHeight="1" x14ac:dyDescent="0.25">
      <c r="A244" s="244"/>
      <c r="B244" s="244"/>
      <c r="C244" s="244"/>
      <c r="D244" s="303"/>
      <c r="E244" s="179"/>
      <c r="F244" s="244"/>
      <c r="G244" s="244"/>
      <c r="H244" s="244"/>
      <c r="I244" s="244"/>
      <c r="J244" s="303"/>
      <c r="K244" s="179"/>
      <c r="L244" s="244"/>
      <c r="M244" s="244"/>
      <c r="N244" s="244"/>
      <c r="O244" s="244"/>
      <c r="P244" s="244"/>
      <c r="Q244" s="244"/>
      <c r="R244" s="244"/>
      <c r="S244" s="244"/>
      <c r="T244" s="244"/>
      <c r="U244" s="244"/>
      <c r="V244" s="244"/>
      <c r="W244" s="244"/>
      <c r="X244" s="244"/>
      <c r="Y244" s="244"/>
      <c r="Z244" s="244"/>
      <c r="AA244" s="244"/>
      <c r="AB244" s="244"/>
      <c r="AC244" s="244"/>
    </row>
    <row r="245" spans="1:29" ht="15.75" customHeight="1" x14ac:dyDescent="0.25">
      <c r="A245" s="244"/>
      <c r="B245" s="244"/>
      <c r="C245" s="244"/>
      <c r="D245" s="303"/>
      <c r="E245" s="179"/>
      <c r="F245" s="244"/>
      <c r="G245" s="244"/>
      <c r="H245" s="244"/>
      <c r="I245" s="244"/>
      <c r="J245" s="303"/>
      <c r="K245" s="179"/>
      <c r="L245" s="244"/>
      <c r="M245" s="244"/>
      <c r="N245" s="244"/>
      <c r="O245" s="244"/>
      <c r="P245" s="244"/>
      <c r="Q245" s="244"/>
      <c r="R245" s="244"/>
      <c r="S245" s="244"/>
      <c r="T245" s="244"/>
      <c r="U245" s="244"/>
      <c r="V245" s="244"/>
      <c r="W245" s="244"/>
      <c r="X245" s="244"/>
      <c r="Y245" s="244"/>
      <c r="Z245" s="244"/>
      <c r="AA245" s="244"/>
      <c r="AB245" s="244"/>
      <c r="AC245" s="244"/>
    </row>
    <row r="246" spans="1:29" ht="15.75" customHeight="1" x14ac:dyDescent="0.25">
      <c r="A246" s="244"/>
      <c r="B246" s="244"/>
      <c r="C246" s="244"/>
      <c r="D246" s="303"/>
      <c r="E246" s="179"/>
      <c r="F246" s="244"/>
      <c r="G246" s="244"/>
      <c r="H246" s="244"/>
      <c r="I246" s="244"/>
      <c r="J246" s="303"/>
      <c r="K246" s="179"/>
      <c r="L246" s="244"/>
      <c r="M246" s="244"/>
      <c r="N246" s="244"/>
      <c r="O246" s="244"/>
      <c r="P246" s="244"/>
      <c r="Q246" s="244"/>
      <c r="R246" s="244"/>
      <c r="S246" s="244"/>
      <c r="T246" s="244"/>
      <c r="U246" s="244"/>
      <c r="V246" s="244"/>
      <c r="W246" s="244"/>
      <c r="X246" s="244"/>
      <c r="Y246" s="244"/>
      <c r="Z246" s="244"/>
      <c r="AA246" s="244"/>
      <c r="AB246" s="244"/>
      <c r="AC246" s="244"/>
    </row>
    <row r="247" spans="1:29" ht="15.75" customHeight="1" x14ac:dyDescent="0.25">
      <c r="A247" s="244"/>
      <c r="B247" s="244"/>
      <c r="C247" s="244"/>
      <c r="D247" s="303"/>
      <c r="E247" s="179"/>
      <c r="F247" s="244"/>
      <c r="G247" s="244"/>
      <c r="H247" s="244"/>
      <c r="I247" s="244"/>
      <c r="J247" s="303"/>
      <c r="K247" s="179"/>
      <c r="L247" s="244"/>
      <c r="M247" s="244"/>
      <c r="N247" s="244"/>
      <c r="O247" s="244"/>
      <c r="P247" s="244"/>
      <c r="Q247" s="244"/>
      <c r="R247" s="244"/>
      <c r="S247" s="244"/>
      <c r="T247" s="244"/>
      <c r="U247" s="244"/>
      <c r="V247" s="244"/>
      <c r="W247" s="244"/>
      <c r="X247" s="244"/>
      <c r="Y247" s="244"/>
      <c r="Z247" s="244"/>
      <c r="AA247" s="244"/>
      <c r="AB247" s="244"/>
      <c r="AC247" s="244"/>
    </row>
    <row r="248" spans="1:29" ht="15.75" customHeight="1" x14ac:dyDescent="0.25">
      <c r="A248" s="244"/>
      <c r="B248" s="244"/>
      <c r="C248" s="244"/>
      <c r="D248" s="303"/>
      <c r="E248" s="179"/>
      <c r="F248" s="244"/>
      <c r="G248" s="244"/>
      <c r="H248" s="244"/>
      <c r="I248" s="244"/>
      <c r="J248" s="303"/>
      <c r="K248" s="179"/>
      <c r="L248" s="244"/>
      <c r="M248" s="244"/>
      <c r="N248" s="244"/>
      <c r="O248" s="244"/>
      <c r="P248" s="244"/>
      <c r="Q248" s="244"/>
      <c r="R248" s="244"/>
      <c r="S248" s="244"/>
      <c r="T248" s="244"/>
      <c r="U248" s="244"/>
      <c r="V248" s="244"/>
      <c r="W248" s="244"/>
      <c r="X248" s="244"/>
      <c r="Y248" s="244"/>
      <c r="Z248" s="244"/>
      <c r="AA248" s="244"/>
      <c r="AB248" s="244"/>
      <c r="AC248" s="244"/>
    </row>
    <row r="249" spans="1:29" ht="15.75" customHeight="1" x14ac:dyDescent="0.25">
      <c r="A249" s="244"/>
      <c r="B249" s="244"/>
      <c r="C249" s="244"/>
      <c r="D249" s="303"/>
      <c r="E249" s="179"/>
      <c r="F249" s="244"/>
      <c r="G249" s="244"/>
      <c r="H249" s="244"/>
      <c r="I249" s="244"/>
      <c r="J249" s="303"/>
      <c r="K249" s="179"/>
      <c r="L249" s="244"/>
      <c r="M249" s="244"/>
      <c r="N249" s="244"/>
      <c r="O249" s="244"/>
      <c r="P249" s="244"/>
      <c r="Q249" s="244"/>
      <c r="R249" s="244"/>
      <c r="S249" s="244"/>
      <c r="T249" s="244"/>
      <c r="U249" s="244"/>
      <c r="V249" s="244"/>
      <c r="W249" s="244"/>
      <c r="X249" s="244"/>
      <c r="Y249" s="244"/>
      <c r="Z249" s="244"/>
      <c r="AA249" s="244"/>
      <c r="AB249" s="244"/>
      <c r="AC249" s="244"/>
    </row>
    <row r="250" spans="1:29" ht="15.75" customHeight="1" x14ac:dyDescent="0.25">
      <c r="A250" s="244"/>
      <c r="B250" s="244"/>
      <c r="C250" s="244"/>
      <c r="D250" s="303"/>
      <c r="E250" s="179"/>
      <c r="F250" s="244"/>
      <c r="G250" s="244"/>
      <c r="H250" s="244"/>
      <c r="I250" s="244"/>
      <c r="J250" s="303"/>
      <c r="K250" s="179"/>
      <c r="L250" s="244"/>
      <c r="M250" s="244"/>
      <c r="N250" s="244"/>
      <c r="O250" s="244"/>
      <c r="P250" s="244"/>
      <c r="Q250" s="244"/>
      <c r="R250" s="244"/>
      <c r="S250" s="244"/>
      <c r="T250" s="244"/>
      <c r="U250" s="244"/>
      <c r="V250" s="244"/>
      <c r="W250" s="244"/>
      <c r="X250" s="244"/>
      <c r="Y250" s="244"/>
      <c r="Z250" s="244"/>
      <c r="AA250" s="244"/>
      <c r="AB250" s="244"/>
      <c r="AC250" s="244"/>
    </row>
    <row r="251" spans="1:29" ht="15.75" customHeight="1" x14ac:dyDescent="0.25">
      <c r="A251" s="244"/>
      <c r="B251" s="244"/>
      <c r="C251" s="244"/>
      <c r="D251" s="303"/>
      <c r="E251" s="179"/>
      <c r="F251" s="244"/>
      <c r="G251" s="244"/>
      <c r="H251" s="244"/>
      <c r="I251" s="244"/>
      <c r="J251" s="303"/>
      <c r="K251" s="179"/>
      <c r="L251" s="244"/>
      <c r="M251" s="244"/>
      <c r="N251" s="244"/>
      <c r="O251" s="244"/>
      <c r="P251" s="244"/>
      <c r="Q251" s="244"/>
      <c r="R251" s="244"/>
      <c r="S251" s="244"/>
      <c r="T251" s="244"/>
      <c r="U251" s="244"/>
      <c r="V251" s="244"/>
      <c r="W251" s="244"/>
      <c r="X251" s="244"/>
      <c r="Y251" s="244"/>
      <c r="Z251" s="244"/>
      <c r="AA251" s="244"/>
      <c r="AB251" s="244"/>
      <c r="AC251" s="244"/>
    </row>
    <row r="252" spans="1:29" ht="15.75" customHeight="1" x14ac:dyDescent="0.25">
      <c r="A252" s="244"/>
      <c r="B252" s="244"/>
      <c r="C252" s="244"/>
      <c r="D252" s="303"/>
      <c r="E252" s="179"/>
      <c r="F252" s="244"/>
      <c r="G252" s="244"/>
      <c r="H252" s="244"/>
      <c r="I252" s="244"/>
      <c r="J252" s="303"/>
      <c r="K252" s="179"/>
      <c r="L252" s="244"/>
      <c r="M252" s="244"/>
      <c r="N252" s="244"/>
      <c r="O252" s="244"/>
      <c r="P252" s="244"/>
      <c r="Q252" s="244"/>
      <c r="R252" s="244"/>
      <c r="S252" s="244"/>
      <c r="T252" s="244"/>
      <c r="U252" s="244"/>
      <c r="V252" s="244"/>
      <c r="W252" s="244"/>
      <c r="X252" s="244"/>
      <c r="Y252" s="244"/>
      <c r="Z252" s="244"/>
      <c r="AA252" s="244"/>
      <c r="AB252" s="244"/>
      <c r="AC252" s="244"/>
    </row>
    <row r="253" spans="1:29" ht="15.75" customHeight="1" x14ac:dyDescent="0.25">
      <c r="A253" s="244"/>
      <c r="B253" s="244"/>
      <c r="C253" s="244"/>
      <c r="D253" s="303"/>
      <c r="E253" s="179"/>
      <c r="F253" s="244"/>
      <c r="G253" s="244"/>
      <c r="H253" s="244"/>
      <c r="I253" s="244"/>
      <c r="J253" s="303"/>
      <c r="K253" s="179"/>
      <c r="L253" s="244"/>
      <c r="M253" s="244"/>
      <c r="N253" s="244"/>
      <c r="O253" s="244"/>
      <c r="P253" s="244"/>
      <c r="Q253" s="244"/>
      <c r="R253" s="244"/>
      <c r="S253" s="244"/>
      <c r="T253" s="244"/>
      <c r="U253" s="244"/>
      <c r="V253" s="244"/>
      <c r="W253" s="244"/>
      <c r="X253" s="244"/>
      <c r="Y253" s="244"/>
      <c r="Z253" s="244"/>
      <c r="AA253" s="244"/>
      <c r="AB253" s="244"/>
      <c r="AC253" s="244"/>
    </row>
    <row r="254" spans="1:29" ht="15.75" customHeight="1" x14ac:dyDescent="0.25">
      <c r="A254" s="244"/>
      <c r="B254" s="244"/>
      <c r="C254" s="244"/>
      <c r="D254" s="303"/>
      <c r="E254" s="179"/>
      <c r="F254" s="244"/>
      <c r="G254" s="244"/>
      <c r="H254" s="244"/>
      <c r="I254" s="244"/>
      <c r="J254" s="303"/>
      <c r="K254" s="179"/>
      <c r="L254" s="244"/>
      <c r="M254" s="244"/>
      <c r="N254" s="244"/>
      <c r="O254" s="244"/>
      <c r="P254" s="244"/>
      <c r="Q254" s="244"/>
      <c r="R254" s="244"/>
      <c r="S254" s="244"/>
      <c r="T254" s="244"/>
      <c r="U254" s="244"/>
      <c r="V254" s="244"/>
      <c r="W254" s="244"/>
      <c r="X254" s="244"/>
      <c r="Y254" s="244"/>
      <c r="Z254" s="244"/>
      <c r="AA254" s="244"/>
      <c r="AB254" s="244"/>
      <c r="AC254" s="244"/>
    </row>
    <row r="255" spans="1:29" ht="15.75" customHeight="1" x14ac:dyDescent="0.25">
      <c r="A255" s="244"/>
      <c r="B255" s="244"/>
      <c r="C255" s="244"/>
      <c r="D255" s="303"/>
      <c r="E255" s="179"/>
      <c r="F255" s="244"/>
      <c r="G255" s="244"/>
      <c r="H255" s="244"/>
      <c r="I255" s="244"/>
      <c r="J255" s="303"/>
      <c r="K255" s="179"/>
      <c r="L255" s="244"/>
      <c r="M255" s="244"/>
      <c r="N255" s="244"/>
      <c r="O255" s="244"/>
      <c r="P255" s="244"/>
      <c r="Q255" s="244"/>
      <c r="R255" s="244"/>
      <c r="S255" s="244"/>
      <c r="T255" s="244"/>
      <c r="U255" s="244"/>
      <c r="V255" s="244"/>
      <c r="W255" s="244"/>
      <c r="X255" s="244"/>
      <c r="Y255" s="244"/>
      <c r="Z255" s="244"/>
      <c r="AA255" s="244"/>
      <c r="AB255" s="244"/>
      <c r="AC255" s="244"/>
    </row>
    <row r="256" spans="1:29" ht="15.75" customHeight="1" x14ac:dyDescent="0.25">
      <c r="A256" s="244"/>
      <c r="B256" s="244"/>
      <c r="C256" s="244"/>
      <c r="D256" s="303"/>
      <c r="E256" s="179"/>
      <c r="F256" s="244"/>
      <c r="G256" s="244"/>
      <c r="H256" s="244"/>
      <c r="I256" s="244"/>
      <c r="J256" s="303"/>
      <c r="K256" s="179"/>
      <c r="L256" s="244"/>
      <c r="M256" s="244"/>
      <c r="N256" s="244"/>
      <c r="O256" s="244"/>
      <c r="P256" s="244"/>
      <c r="Q256" s="244"/>
      <c r="R256" s="244"/>
      <c r="S256" s="244"/>
      <c r="T256" s="244"/>
      <c r="U256" s="244"/>
      <c r="V256" s="244"/>
      <c r="W256" s="244"/>
      <c r="X256" s="244"/>
      <c r="Y256" s="244"/>
      <c r="Z256" s="244"/>
      <c r="AA256" s="244"/>
      <c r="AB256" s="244"/>
      <c r="AC256" s="244"/>
    </row>
    <row r="257" spans="1:29" ht="15.75" customHeight="1" x14ac:dyDescent="0.25">
      <c r="A257" s="244"/>
      <c r="B257" s="244"/>
      <c r="C257" s="244"/>
      <c r="D257" s="303"/>
      <c r="E257" s="179"/>
      <c r="F257" s="244"/>
      <c r="G257" s="244"/>
      <c r="H257" s="244"/>
      <c r="I257" s="244"/>
      <c r="J257" s="303"/>
      <c r="K257" s="179"/>
      <c r="L257" s="244"/>
      <c r="M257" s="244"/>
      <c r="N257" s="244"/>
      <c r="O257" s="244"/>
      <c r="P257" s="244"/>
      <c r="Q257" s="244"/>
      <c r="R257" s="244"/>
      <c r="S257" s="244"/>
      <c r="T257" s="244"/>
      <c r="U257" s="244"/>
      <c r="V257" s="244"/>
      <c r="W257" s="244"/>
      <c r="X257" s="244"/>
      <c r="Y257" s="244"/>
      <c r="Z257" s="244"/>
      <c r="AA257" s="244"/>
      <c r="AB257" s="244"/>
      <c r="AC257" s="244"/>
    </row>
    <row r="258" spans="1:29" ht="15.75" customHeight="1" x14ac:dyDescent="0.25">
      <c r="A258" s="244"/>
      <c r="B258" s="244"/>
      <c r="C258" s="244"/>
      <c r="D258" s="303"/>
      <c r="E258" s="179"/>
      <c r="F258" s="244"/>
      <c r="G258" s="244"/>
      <c r="H258" s="244"/>
      <c r="I258" s="244"/>
      <c r="J258" s="303"/>
      <c r="K258" s="179"/>
      <c r="L258" s="244"/>
      <c r="M258" s="244"/>
      <c r="N258" s="244"/>
      <c r="O258" s="244"/>
      <c r="P258" s="244"/>
      <c r="Q258" s="244"/>
      <c r="R258" s="244"/>
      <c r="S258" s="244"/>
      <c r="T258" s="244"/>
      <c r="U258" s="244"/>
      <c r="V258" s="244"/>
      <c r="W258" s="244"/>
      <c r="X258" s="244"/>
      <c r="Y258" s="244"/>
      <c r="Z258" s="244"/>
      <c r="AA258" s="244"/>
      <c r="AB258" s="244"/>
      <c r="AC258" s="244"/>
    </row>
    <row r="259" spans="1:29" ht="15.75" customHeight="1" x14ac:dyDescent="0.25">
      <c r="A259" s="244"/>
      <c r="B259" s="244"/>
      <c r="C259" s="244"/>
      <c r="D259" s="303"/>
      <c r="E259" s="179"/>
      <c r="F259" s="244"/>
      <c r="G259" s="244"/>
      <c r="H259" s="244"/>
      <c r="I259" s="244"/>
      <c r="J259" s="303"/>
      <c r="K259" s="179"/>
      <c r="L259" s="244"/>
      <c r="M259" s="244"/>
      <c r="N259" s="244"/>
      <c r="O259" s="244"/>
      <c r="P259" s="244"/>
      <c r="Q259" s="244"/>
      <c r="R259" s="244"/>
      <c r="S259" s="244"/>
      <c r="T259" s="244"/>
      <c r="U259" s="244"/>
      <c r="V259" s="244"/>
      <c r="W259" s="244"/>
      <c r="X259" s="244"/>
      <c r="Y259" s="244"/>
      <c r="Z259" s="244"/>
      <c r="AA259" s="244"/>
      <c r="AB259" s="244"/>
      <c r="AC259" s="244"/>
    </row>
    <row r="260" spans="1:29" ht="15.75" customHeight="1" x14ac:dyDescent="0.25">
      <c r="A260" s="244"/>
      <c r="B260" s="244"/>
      <c r="C260" s="244"/>
      <c r="D260" s="303"/>
      <c r="E260" s="179"/>
      <c r="F260" s="244"/>
      <c r="G260" s="244"/>
      <c r="H260" s="244"/>
      <c r="I260" s="244"/>
      <c r="J260" s="303"/>
      <c r="K260" s="179"/>
      <c r="L260" s="244"/>
      <c r="M260" s="244"/>
      <c r="N260" s="244"/>
      <c r="O260" s="244"/>
      <c r="P260" s="244"/>
      <c r="Q260" s="244"/>
      <c r="R260" s="244"/>
      <c r="S260" s="244"/>
      <c r="T260" s="244"/>
      <c r="U260" s="244"/>
      <c r="V260" s="244"/>
      <c r="W260" s="244"/>
      <c r="X260" s="244"/>
      <c r="Y260" s="244"/>
      <c r="Z260" s="244"/>
      <c r="AA260" s="244"/>
      <c r="AB260" s="244"/>
      <c r="AC260" s="244"/>
    </row>
    <row r="261" spans="1:29" ht="15.75" customHeight="1" x14ac:dyDescent="0.25">
      <c r="A261" s="244"/>
      <c r="B261" s="244"/>
      <c r="C261" s="244"/>
      <c r="D261" s="303"/>
      <c r="E261" s="179"/>
      <c r="F261" s="244"/>
      <c r="G261" s="244"/>
      <c r="H261" s="244"/>
      <c r="I261" s="244"/>
      <c r="J261" s="303"/>
      <c r="K261" s="179"/>
      <c r="L261" s="244"/>
      <c r="M261" s="244"/>
      <c r="N261" s="244"/>
      <c r="O261" s="244"/>
      <c r="P261" s="244"/>
      <c r="Q261" s="244"/>
      <c r="R261" s="244"/>
      <c r="S261" s="244"/>
      <c r="T261" s="244"/>
      <c r="U261" s="244"/>
      <c r="V261" s="244"/>
      <c r="W261" s="244"/>
      <c r="X261" s="244"/>
      <c r="Y261" s="244"/>
      <c r="Z261" s="244"/>
      <c r="AA261" s="244"/>
      <c r="AB261" s="244"/>
      <c r="AC261" s="244"/>
    </row>
    <row r="262" spans="1:29" ht="15.75" customHeight="1" x14ac:dyDescent="0.25">
      <c r="A262" s="244"/>
      <c r="B262" s="244"/>
      <c r="C262" s="244"/>
      <c r="D262" s="303"/>
      <c r="E262" s="179"/>
      <c r="F262" s="244"/>
      <c r="G262" s="244"/>
      <c r="H262" s="244"/>
      <c r="I262" s="244"/>
      <c r="J262" s="303"/>
      <c r="K262" s="179"/>
      <c r="L262" s="244"/>
      <c r="M262" s="244"/>
      <c r="N262" s="244"/>
      <c r="O262" s="244"/>
      <c r="P262" s="244"/>
      <c r="Q262" s="244"/>
      <c r="R262" s="244"/>
      <c r="S262" s="244"/>
      <c r="T262" s="244"/>
      <c r="U262" s="244"/>
      <c r="V262" s="244"/>
      <c r="W262" s="244"/>
      <c r="X262" s="244"/>
      <c r="Y262" s="244"/>
      <c r="Z262" s="244"/>
      <c r="AA262" s="244"/>
      <c r="AB262" s="244"/>
      <c r="AC262" s="244"/>
    </row>
    <row r="263" spans="1:29" ht="15.75" customHeight="1" x14ac:dyDescent="0.25">
      <c r="A263" s="244"/>
      <c r="B263" s="244"/>
      <c r="C263" s="244"/>
      <c r="D263" s="303"/>
      <c r="E263" s="179"/>
      <c r="F263" s="244"/>
      <c r="G263" s="244"/>
      <c r="H263" s="244"/>
      <c r="I263" s="244"/>
      <c r="J263" s="303"/>
      <c r="K263" s="179"/>
      <c r="L263" s="244"/>
      <c r="M263" s="244"/>
      <c r="N263" s="244"/>
      <c r="O263" s="244"/>
      <c r="P263" s="244"/>
      <c r="Q263" s="244"/>
      <c r="R263" s="244"/>
      <c r="S263" s="244"/>
      <c r="T263" s="244"/>
      <c r="U263" s="244"/>
      <c r="V263" s="244"/>
      <c r="W263" s="244"/>
      <c r="X263" s="244"/>
      <c r="Y263" s="244"/>
      <c r="Z263" s="244"/>
      <c r="AA263" s="244"/>
      <c r="AB263" s="244"/>
      <c r="AC263" s="244"/>
    </row>
    <row r="264" spans="1:29" ht="15.75" customHeight="1" x14ac:dyDescent="0.25">
      <c r="A264" s="244"/>
      <c r="B264" s="244"/>
      <c r="C264" s="244"/>
      <c r="D264" s="303"/>
      <c r="E264" s="179"/>
      <c r="F264" s="244"/>
      <c r="G264" s="244"/>
      <c r="H264" s="244"/>
      <c r="I264" s="244"/>
      <c r="J264" s="303"/>
      <c r="K264" s="179"/>
      <c r="L264" s="244"/>
      <c r="M264" s="244"/>
      <c r="N264" s="244"/>
      <c r="O264" s="244"/>
      <c r="P264" s="244"/>
      <c r="Q264" s="244"/>
      <c r="R264" s="244"/>
      <c r="S264" s="244"/>
      <c r="T264" s="244"/>
      <c r="U264" s="244"/>
      <c r="V264" s="244"/>
      <c r="W264" s="244"/>
      <c r="X264" s="244"/>
      <c r="Y264" s="244"/>
      <c r="Z264" s="244"/>
      <c r="AA264" s="244"/>
      <c r="AB264" s="244"/>
      <c r="AC264" s="244"/>
    </row>
    <row r="265" spans="1:29" ht="15.75" customHeight="1" x14ac:dyDescent="0.25">
      <c r="A265" s="244"/>
      <c r="B265" s="244"/>
      <c r="C265" s="244"/>
      <c r="D265" s="303"/>
      <c r="E265" s="179"/>
      <c r="F265" s="244"/>
      <c r="G265" s="244"/>
      <c r="H265" s="244"/>
      <c r="I265" s="244"/>
      <c r="J265" s="303"/>
      <c r="K265" s="179"/>
      <c r="L265" s="244"/>
      <c r="M265" s="244"/>
      <c r="N265" s="244"/>
      <c r="O265" s="244"/>
      <c r="P265" s="244"/>
      <c r="Q265" s="244"/>
      <c r="R265" s="244"/>
      <c r="S265" s="244"/>
      <c r="T265" s="244"/>
      <c r="U265" s="244"/>
      <c r="V265" s="244"/>
      <c r="W265" s="244"/>
      <c r="X265" s="244"/>
      <c r="Y265" s="244"/>
      <c r="Z265" s="244"/>
      <c r="AA265" s="244"/>
      <c r="AB265" s="244"/>
      <c r="AC265" s="244"/>
    </row>
    <row r="266" spans="1:29" ht="15.75" customHeight="1" x14ac:dyDescent="0.25">
      <c r="A266" s="244"/>
      <c r="B266" s="244"/>
      <c r="C266" s="244"/>
      <c r="D266" s="303"/>
      <c r="E266" s="179"/>
      <c r="F266" s="244"/>
      <c r="G266" s="244"/>
      <c r="H266" s="244"/>
      <c r="I266" s="244"/>
      <c r="J266" s="303"/>
      <c r="K266" s="179"/>
      <c r="L266" s="244"/>
      <c r="M266" s="244"/>
      <c r="N266" s="244"/>
      <c r="O266" s="244"/>
      <c r="P266" s="244"/>
      <c r="Q266" s="244"/>
      <c r="R266" s="244"/>
      <c r="S266" s="244"/>
      <c r="T266" s="244"/>
      <c r="U266" s="244"/>
      <c r="V266" s="244"/>
      <c r="W266" s="244"/>
      <c r="X266" s="244"/>
      <c r="Y266" s="244"/>
      <c r="Z266" s="244"/>
      <c r="AA266" s="244"/>
      <c r="AB266" s="244"/>
      <c r="AC266" s="244"/>
    </row>
    <row r="267" spans="1:29" ht="15.75" customHeight="1" x14ac:dyDescent="0.25">
      <c r="A267" s="244"/>
      <c r="B267" s="244"/>
      <c r="C267" s="244"/>
      <c r="D267" s="303"/>
      <c r="E267" s="179"/>
      <c r="F267" s="244"/>
      <c r="G267" s="244"/>
      <c r="H267" s="244"/>
      <c r="I267" s="244"/>
      <c r="J267" s="303"/>
      <c r="K267" s="179"/>
      <c r="L267" s="244"/>
      <c r="M267" s="244"/>
      <c r="N267" s="244"/>
      <c r="O267" s="244"/>
      <c r="P267" s="244"/>
      <c r="Q267" s="244"/>
      <c r="R267" s="244"/>
      <c r="S267" s="244"/>
      <c r="T267" s="244"/>
      <c r="U267" s="244"/>
      <c r="V267" s="244"/>
      <c r="W267" s="244"/>
      <c r="X267" s="244"/>
      <c r="Y267" s="244"/>
      <c r="Z267" s="244"/>
      <c r="AA267" s="244"/>
      <c r="AB267" s="244"/>
      <c r="AC267" s="244"/>
    </row>
    <row r="268" spans="1:29" ht="15.75" customHeight="1" x14ac:dyDescent="0.25">
      <c r="A268" s="244"/>
      <c r="B268" s="244"/>
      <c r="C268" s="244"/>
      <c r="D268" s="303"/>
      <c r="E268" s="179"/>
      <c r="F268" s="244"/>
      <c r="G268" s="244"/>
      <c r="H268" s="244"/>
      <c r="I268" s="244"/>
      <c r="J268" s="303"/>
      <c r="K268" s="179"/>
      <c r="L268" s="244"/>
      <c r="M268" s="244"/>
      <c r="N268" s="244"/>
      <c r="O268" s="244"/>
      <c r="P268" s="244"/>
      <c r="Q268" s="244"/>
      <c r="R268" s="244"/>
      <c r="S268" s="244"/>
      <c r="T268" s="244"/>
      <c r="U268" s="244"/>
      <c r="V268" s="244"/>
      <c r="W268" s="244"/>
      <c r="X268" s="244"/>
      <c r="Y268" s="244"/>
      <c r="Z268" s="244"/>
      <c r="AA268" s="244"/>
      <c r="AB268" s="244"/>
      <c r="AC268" s="244"/>
    </row>
    <row r="269" spans="1:29" ht="15.75" customHeight="1" x14ac:dyDescent="0.25">
      <c r="A269" s="244"/>
      <c r="B269" s="244"/>
      <c r="C269" s="244"/>
      <c r="D269" s="303"/>
      <c r="E269" s="179"/>
      <c r="F269" s="244"/>
      <c r="G269" s="244"/>
      <c r="H269" s="244"/>
      <c r="I269" s="244"/>
      <c r="J269" s="303"/>
      <c r="K269" s="179"/>
      <c r="L269" s="244"/>
      <c r="M269" s="244"/>
      <c r="N269" s="244"/>
      <c r="O269" s="244"/>
      <c r="P269" s="244"/>
      <c r="Q269" s="244"/>
      <c r="R269" s="244"/>
      <c r="S269" s="244"/>
      <c r="T269" s="244"/>
      <c r="U269" s="244"/>
      <c r="V269" s="244"/>
      <c r="W269" s="244"/>
      <c r="X269" s="244"/>
      <c r="Y269" s="244"/>
      <c r="Z269" s="244"/>
      <c r="AA269" s="244"/>
      <c r="AB269" s="244"/>
      <c r="AC269" s="244"/>
    </row>
    <row r="270" spans="1:29" ht="15.75" customHeight="1" x14ac:dyDescent="0.25">
      <c r="A270" s="244"/>
      <c r="B270" s="244"/>
      <c r="C270" s="244"/>
      <c r="D270" s="303"/>
      <c r="E270" s="179"/>
      <c r="F270" s="244"/>
      <c r="G270" s="244"/>
      <c r="H270" s="244"/>
      <c r="I270" s="244"/>
      <c r="J270" s="303"/>
      <c r="K270" s="179"/>
      <c r="L270" s="244"/>
      <c r="M270" s="244"/>
      <c r="N270" s="244"/>
      <c r="O270" s="244"/>
      <c r="P270" s="244"/>
      <c r="Q270" s="244"/>
      <c r="R270" s="244"/>
      <c r="S270" s="244"/>
      <c r="T270" s="244"/>
      <c r="U270" s="244"/>
      <c r="V270" s="244"/>
      <c r="W270" s="244"/>
      <c r="X270" s="244"/>
      <c r="Y270" s="244"/>
      <c r="Z270" s="244"/>
      <c r="AA270" s="244"/>
      <c r="AB270" s="244"/>
      <c r="AC270" s="244"/>
    </row>
    <row r="271" spans="1:29" ht="15.75" customHeight="1" x14ac:dyDescent="0.25">
      <c r="A271" s="244"/>
      <c r="B271" s="244"/>
      <c r="C271" s="244"/>
      <c r="D271" s="303"/>
      <c r="E271" s="179"/>
      <c r="F271" s="244"/>
      <c r="G271" s="244"/>
      <c r="H271" s="244"/>
      <c r="I271" s="244"/>
      <c r="J271" s="303"/>
      <c r="K271" s="179"/>
      <c r="L271" s="244"/>
      <c r="M271" s="244"/>
      <c r="N271" s="244"/>
      <c r="O271" s="244"/>
      <c r="P271" s="244"/>
      <c r="Q271" s="244"/>
      <c r="R271" s="244"/>
      <c r="S271" s="244"/>
      <c r="T271" s="244"/>
      <c r="U271" s="244"/>
      <c r="V271" s="244"/>
      <c r="W271" s="244"/>
      <c r="X271" s="244"/>
      <c r="Y271" s="244"/>
      <c r="Z271" s="244"/>
      <c r="AA271" s="244"/>
      <c r="AB271" s="244"/>
      <c r="AC271" s="244"/>
    </row>
    <row r="272" spans="1:29" ht="15.75" customHeight="1" x14ac:dyDescent="0.25">
      <c r="A272" s="244"/>
      <c r="B272" s="244"/>
      <c r="C272" s="244"/>
      <c r="D272" s="303"/>
      <c r="E272" s="179"/>
      <c r="F272" s="244"/>
      <c r="G272" s="244"/>
      <c r="H272" s="244"/>
      <c r="I272" s="244"/>
      <c r="J272" s="303"/>
      <c r="K272" s="179"/>
      <c r="L272" s="244"/>
      <c r="M272" s="244"/>
      <c r="N272" s="244"/>
      <c r="O272" s="244"/>
      <c r="P272" s="244"/>
      <c r="Q272" s="244"/>
      <c r="R272" s="244"/>
      <c r="S272" s="244"/>
      <c r="T272" s="244"/>
      <c r="U272" s="244"/>
      <c r="V272" s="244"/>
      <c r="W272" s="244"/>
      <c r="X272" s="244"/>
      <c r="Y272" s="244"/>
      <c r="Z272" s="244"/>
      <c r="AA272" s="244"/>
      <c r="AB272" s="244"/>
      <c r="AC272" s="244"/>
    </row>
    <row r="273" spans="1:29" ht="15.75" customHeight="1" x14ac:dyDescent="0.25">
      <c r="A273" s="244"/>
      <c r="B273" s="244"/>
      <c r="C273" s="244"/>
      <c r="D273" s="303"/>
      <c r="E273" s="179"/>
      <c r="F273" s="244"/>
      <c r="G273" s="244"/>
      <c r="H273" s="244"/>
      <c r="I273" s="244"/>
      <c r="J273" s="303"/>
      <c r="K273" s="179"/>
      <c r="L273" s="244"/>
      <c r="M273" s="244"/>
      <c r="N273" s="244"/>
      <c r="O273" s="244"/>
      <c r="P273" s="244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</row>
    <row r="274" spans="1:29" ht="15.75" customHeight="1" x14ac:dyDescent="0.25">
      <c r="A274" s="244"/>
      <c r="B274" s="244"/>
      <c r="C274" s="244"/>
      <c r="D274" s="303"/>
      <c r="E274" s="179"/>
      <c r="F274" s="244"/>
      <c r="G274" s="244"/>
      <c r="H274" s="244"/>
      <c r="I274" s="244"/>
      <c r="J274" s="303"/>
      <c r="K274" s="179"/>
      <c r="L274" s="244"/>
      <c r="M274" s="244"/>
      <c r="N274" s="244"/>
      <c r="O274" s="244"/>
      <c r="P274" s="244"/>
      <c r="Q274" s="244"/>
      <c r="R274" s="244"/>
      <c r="S274" s="244"/>
      <c r="T274" s="244"/>
      <c r="U274" s="244"/>
      <c r="V274" s="244"/>
      <c r="W274" s="244"/>
      <c r="X274" s="244"/>
      <c r="Y274" s="244"/>
      <c r="Z274" s="244"/>
      <c r="AA274" s="244"/>
      <c r="AB274" s="244"/>
      <c r="AC274" s="244"/>
    </row>
    <row r="275" spans="1:29" ht="15.75" customHeight="1" x14ac:dyDescent="0.25">
      <c r="A275" s="244"/>
      <c r="B275" s="244"/>
      <c r="C275" s="244"/>
      <c r="D275" s="303"/>
      <c r="E275" s="179"/>
      <c r="F275" s="244"/>
      <c r="G275" s="244"/>
      <c r="H275" s="244"/>
      <c r="I275" s="244"/>
      <c r="J275" s="303"/>
      <c r="K275" s="179"/>
      <c r="L275" s="244"/>
      <c r="M275" s="244"/>
      <c r="N275" s="244"/>
      <c r="O275" s="244"/>
      <c r="P275" s="244"/>
      <c r="Q275" s="244"/>
      <c r="R275" s="244"/>
      <c r="S275" s="244"/>
      <c r="T275" s="244"/>
      <c r="U275" s="244"/>
      <c r="V275" s="244"/>
      <c r="W275" s="244"/>
      <c r="X275" s="244"/>
      <c r="Y275" s="244"/>
      <c r="Z275" s="244"/>
      <c r="AA275" s="244"/>
      <c r="AB275" s="244"/>
      <c r="AC275" s="244"/>
    </row>
    <row r="276" spans="1:29" ht="15.75" customHeight="1" x14ac:dyDescent="0.25">
      <c r="A276" s="244"/>
      <c r="B276" s="244"/>
      <c r="C276" s="244"/>
      <c r="D276" s="303"/>
      <c r="E276" s="179"/>
      <c r="F276" s="244"/>
      <c r="G276" s="244"/>
      <c r="H276" s="244"/>
      <c r="I276" s="244"/>
      <c r="J276" s="303"/>
      <c r="K276" s="179"/>
      <c r="L276" s="244"/>
      <c r="M276" s="244"/>
      <c r="N276" s="244"/>
      <c r="O276" s="244"/>
      <c r="P276" s="244"/>
      <c r="Q276" s="244"/>
      <c r="R276" s="244"/>
      <c r="S276" s="244"/>
      <c r="T276" s="244"/>
      <c r="U276" s="244"/>
      <c r="V276" s="244"/>
      <c r="W276" s="244"/>
      <c r="X276" s="244"/>
      <c r="Y276" s="244"/>
      <c r="Z276" s="244"/>
      <c r="AA276" s="244"/>
      <c r="AB276" s="244"/>
      <c r="AC276" s="244"/>
    </row>
    <row r="277" spans="1:29" ht="15.75" customHeight="1" x14ac:dyDescent="0.25">
      <c r="A277" s="244"/>
      <c r="B277" s="244"/>
      <c r="C277" s="244"/>
      <c r="D277" s="303"/>
      <c r="E277" s="179"/>
      <c r="F277" s="244"/>
      <c r="G277" s="244"/>
      <c r="H277" s="244"/>
      <c r="I277" s="244"/>
      <c r="J277" s="303"/>
      <c r="K277" s="179"/>
      <c r="L277" s="244"/>
      <c r="M277" s="244"/>
      <c r="N277" s="244"/>
      <c r="O277" s="244"/>
      <c r="P277" s="244"/>
      <c r="Q277" s="244"/>
      <c r="R277" s="244"/>
      <c r="S277" s="244"/>
      <c r="T277" s="244"/>
      <c r="U277" s="244"/>
      <c r="V277" s="244"/>
      <c r="W277" s="244"/>
      <c r="X277" s="244"/>
      <c r="Y277" s="244"/>
      <c r="Z277" s="244"/>
      <c r="AA277" s="244"/>
      <c r="AB277" s="244"/>
      <c r="AC277" s="244"/>
    </row>
    <row r="278" spans="1:29" ht="15.75" customHeight="1" x14ac:dyDescent="0.25">
      <c r="A278" s="244"/>
      <c r="B278" s="244"/>
      <c r="C278" s="244"/>
      <c r="D278" s="303"/>
      <c r="E278" s="179"/>
      <c r="F278" s="244"/>
      <c r="G278" s="244"/>
      <c r="H278" s="244"/>
      <c r="I278" s="244"/>
      <c r="J278" s="303"/>
      <c r="K278" s="179"/>
      <c r="L278" s="244"/>
      <c r="M278" s="244"/>
      <c r="N278" s="244"/>
      <c r="O278" s="244"/>
      <c r="P278" s="244"/>
      <c r="Q278" s="244"/>
      <c r="R278" s="244"/>
      <c r="S278" s="244"/>
      <c r="T278" s="244"/>
      <c r="U278" s="244"/>
      <c r="V278" s="244"/>
      <c r="W278" s="244"/>
      <c r="X278" s="244"/>
      <c r="Y278" s="244"/>
      <c r="Z278" s="244"/>
      <c r="AA278" s="244"/>
      <c r="AB278" s="244"/>
      <c r="AC278" s="244"/>
    </row>
    <row r="279" spans="1:29" ht="15.75" customHeight="1" x14ac:dyDescent="0.25">
      <c r="A279" s="244"/>
      <c r="B279" s="244"/>
      <c r="C279" s="244"/>
      <c r="D279" s="303"/>
      <c r="E279" s="179"/>
      <c r="F279" s="244"/>
      <c r="G279" s="244"/>
      <c r="H279" s="244"/>
      <c r="I279" s="244"/>
      <c r="J279" s="303"/>
      <c r="K279" s="179"/>
      <c r="L279" s="244"/>
      <c r="M279" s="244"/>
      <c r="N279" s="244"/>
      <c r="O279" s="244"/>
      <c r="P279" s="244"/>
      <c r="Q279" s="244"/>
      <c r="R279" s="244"/>
      <c r="S279" s="244"/>
      <c r="T279" s="244"/>
      <c r="U279" s="244"/>
      <c r="V279" s="244"/>
      <c r="W279" s="244"/>
      <c r="X279" s="244"/>
      <c r="Y279" s="244"/>
      <c r="Z279" s="244"/>
      <c r="AA279" s="244"/>
      <c r="AB279" s="244"/>
      <c r="AC279" s="244"/>
    </row>
    <row r="280" spans="1:29" ht="15.75" customHeight="1" x14ac:dyDescent="0.25">
      <c r="A280" s="244"/>
      <c r="B280" s="244"/>
      <c r="C280" s="244"/>
      <c r="D280" s="303"/>
      <c r="E280" s="179"/>
      <c r="F280" s="244"/>
      <c r="G280" s="244"/>
      <c r="H280" s="244"/>
      <c r="I280" s="244"/>
      <c r="J280" s="303"/>
      <c r="K280" s="179"/>
      <c r="L280" s="244"/>
      <c r="M280" s="244"/>
      <c r="N280" s="244"/>
      <c r="O280" s="244"/>
      <c r="P280" s="244"/>
      <c r="Q280" s="244"/>
      <c r="R280" s="244"/>
      <c r="S280" s="244"/>
      <c r="T280" s="244"/>
      <c r="U280" s="244"/>
      <c r="V280" s="244"/>
      <c r="W280" s="244"/>
      <c r="X280" s="244"/>
      <c r="Y280" s="244"/>
      <c r="Z280" s="244"/>
      <c r="AA280" s="244"/>
      <c r="AB280" s="244"/>
      <c r="AC280" s="244"/>
    </row>
    <row r="281" spans="1:29" ht="15.75" customHeight="1" x14ac:dyDescent="0.25">
      <c r="A281" s="244"/>
      <c r="B281" s="244"/>
      <c r="C281" s="244"/>
      <c r="D281" s="303"/>
      <c r="E281" s="179"/>
      <c r="F281" s="244"/>
      <c r="G281" s="244"/>
      <c r="H281" s="244"/>
      <c r="I281" s="244"/>
      <c r="J281" s="303"/>
      <c r="K281" s="179"/>
      <c r="L281" s="244"/>
      <c r="M281" s="244"/>
      <c r="N281" s="244"/>
      <c r="O281" s="244"/>
      <c r="P281" s="244"/>
      <c r="Q281" s="244"/>
      <c r="R281" s="244"/>
      <c r="S281" s="244"/>
      <c r="T281" s="244"/>
      <c r="U281" s="244"/>
      <c r="V281" s="244"/>
      <c r="W281" s="244"/>
      <c r="X281" s="244"/>
      <c r="Y281" s="244"/>
      <c r="Z281" s="244"/>
      <c r="AA281" s="244"/>
      <c r="AB281" s="244"/>
      <c r="AC281" s="244"/>
    </row>
    <row r="282" spans="1:29" ht="15.75" customHeight="1" x14ac:dyDescent="0.25">
      <c r="A282" s="244"/>
      <c r="B282" s="244"/>
      <c r="C282" s="244"/>
      <c r="D282" s="303"/>
      <c r="E282" s="179"/>
      <c r="F282" s="244"/>
      <c r="G282" s="244"/>
      <c r="H282" s="244"/>
      <c r="I282" s="244"/>
      <c r="J282" s="303"/>
      <c r="K282" s="179"/>
      <c r="L282" s="244"/>
      <c r="M282" s="244"/>
      <c r="N282" s="244"/>
      <c r="O282" s="244"/>
      <c r="P282" s="244"/>
      <c r="Q282" s="244"/>
      <c r="R282" s="244"/>
      <c r="S282" s="244"/>
      <c r="T282" s="244"/>
      <c r="U282" s="244"/>
      <c r="V282" s="244"/>
      <c r="W282" s="244"/>
      <c r="X282" s="244"/>
      <c r="Y282" s="244"/>
      <c r="Z282" s="244"/>
      <c r="AA282" s="244"/>
      <c r="AB282" s="244"/>
      <c r="AC282" s="244"/>
    </row>
    <row r="283" spans="1:29" ht="15.75" customHeight="1" x14ac:dyDescent="0.25">
      <c r="A283" s="244"/>
      <c r="B283" s="244"/>
      <c r="C283" s="244"/>
      <c r="D283" s="303"/>
      <c r="E283" s="179"/>
      <c r="F283" s="244"/>
      <c r="G283" s="244"/>
      <c r="H283" s="244"/>
      <c r="I283" s="244"/>
      <c r="J283" s="303"/>
      <c r="K283" s="179"/>
      <c r="L283" s="244"/>
      <c r="M283" s="244"/>
      <c r="N283" s="244"/>
      <c r="O283" s="244"/>
      <c r="P283" s="244"/>
      <c r="Q283" s="244"/>
      <c r="R283" s="244"/>
      <c r="S283" s="244"/>
      <c r="T283" s="244"/>
      <c r="U283" s="244"/>
      <c r="V283" s="244"/>
      <c r="W283" s="244"/>
      <c r="X283" s="244"/>
      <c r="Y283" s="244"/>
      <c r="Z283" s="244"/>
      <c r="AA283" s="244"/>
      <c r="AB283" s="244"/>
      <c r="AC283" s="244"/>
    </row>
    <row r="284" spans="1:29" ht="15.75" customHeight="1" x14ac:dyDescent="0.25">
      <c r="A284" s="244"/>
      <c r="B284" s="244"/>
      <c r="C284" s="244"/>
      <c r="D284" s="303"/>
      <c r="E284" s="179"/>
      <c r="F284" s="244"/>
      <c r="G284" s="244"/>
      <c r="H284" s="244"/>
      <c r="I284" s="244"/>
      <c r="J284" s="303"/>
      <c r="K284" s="179"/>
      <c r="L284" s="244"/>
      <c r="M284" s="244"/>
      <c r="N284" s="244"/>
      <c r="O284" s="244"/>
      <c r="P284" s="244"/>
      <c r="Q284" s="244"/>
      <c r="R284" s="244"/>
      <c r="S284" s="244"/>
      <c r="T284" s="244"/>
      <c r="U284" s="244"/>
      <c r="V284" s="244"/>
      <c r="W284" s="244"/>
      <c r="X284" s="244"/>
      <c r="Y284" s="244"/>
      <c r="Z284" s="244"/>
      <c r="AA284" s="244"/>
      <c r="AB284" s="244"/>
      <c r="AC284" s="244"/>
    </row>
    <row r="285" spans="1:29" ht="15.75" customHeight="1" x14ac:dyDescent="0.25">
      <c r="A285" s="244"/>
      <c r="B285" s="244"/>
      <c r="C285" s="244"/>
      <c r="D285" s="303"/>
      <c r="E285" s="179"/>
      <c r="F285" s="244"/>
      <c r="G285" s="244"/>
      <c r="H285" s="244"/>
      <c r="I285" s="244"/>
      <c r="J285" s="303"/>
      <c r="K285" s="179"/>
      <c r="L285" s="244"/>
      <c r="M285" s="244"/>
      <c r="N285" s="244"/>
      <c r="O285" s="244"/>
      <c r="P285" s="244"/>
      <c r="Q285" s="244"/>
      <c r="R285" s="244"/>
      <c r="S285" s="244"/>
      <c r="T285" s="244"/>
      <c r="U285" s="244"/>
      <c r="V285" s="244"/>
      <c r="W285" s="244"/>
      <c r="X285" s="244"/>
      <c r="Y285" s="244"/>
      <c r="Z285" s="244"/>
      <c r="AA285" s="244"/>
      <c r="AB285" s="244"/>
      <c r="AC285" s="244"/>
    </row>
    <row r="286" spans="1:29" ht="15.75" customHeight="1" x14ac:dyDescent="0.25">
      <c r="A286" s="244"/>
      <c r="B286" s="244"/>
      <c r="C286" s="244"/>
      <c r="D286" s="303"/>
      <c r="E286" s="179"/>
      <c r="F286" s="244"/>
      <c r="G286" s="244"/>
      <c r="H286" s="244"/>
      <c r="I286" s="244"/>
      <c r="J286" s="303"/>
      <c r="K286" s="179"/>
      <c r="L286" s="244"/>
      <c r="M286" s="244"/>
      <c r="N286" s="244"/>
      <c r="O286" s="244"/>
      <c r="P286" s="244"/>
      <c r="Q286" s="244"/>
      <c r="R286" s="244"/>
      <c r="S286" s="244"/>
      <c r="T286" s="244"/>
      <c r="U286" s="244"/>
      <c r="V286" s="244"/>
      <c r="W286" s="244"/>
      <c r="X286" s="244"/>
      <c r="Y286" s="244"/>
      <c r="Z286" s="244"/>
      <c r="AA286" s="244"/>
      <c r="AB286" s="244"/>
      <c r="AC286" s="244"/>
    </row>
    <row r="287" spans="1:29" ht="15.75" customHeight="1" x14ac:dyDescent="0.25">
      <c r="A287" s="244"/>
      <c r="B287" s="244"/>
      <c r="C287" s="244"/>
      <c r="D287" s="303"/>
      <c r="E287" s="179"/>
      <c r="F287" s="244"/>
      <c r="G287" s="244"/>
      <c r="H287" s="244"/>
      <c r="I287" s="244"/>
      <c r="J287" s="303"/>
      <c r="K287" s="179"/>
      <c r="L287" s="244"/>
      <c r="M287" s="244"/>
      <c r="N287" s="244"/>
      <c r="O287" s="244"/>
      <c r="P287" s="244"/>
      <c r="Q287" s="244"/>
      <c r="R287" s="244"/>
      <c r="S287" s="244"/>
      <c r="T287" s="244"/>
      <c r="U287" s="244"/>
      <c r="V287" s="244"/>
      <c r="W287" s="244"/>
      <c r="X287" s="244"/>
      <c r="Y287" s="244"/>
      <c r="Z287" s="244"/>
      <c r="AA287" s="244"/>
      <c r="AB287" s="244"/>
      <c r="AC287" s="244"/>
    </row>
    <row r="288" spans="1:29" ht="15.75" customHeight="1" x14ac:dyDescent="0.25">
      <c r="A288" s="244"/>
      <c r="B288" s="244"/>
      <c r="C288" s="244"/>
      <c r="D288" s="303"/>
      <c r="E288" s="179"/>
      <c r="F288" s="244"/>
      <c r="G288" s="244"/>
      <c r="H288" s="244"/>
      <c r="I288" s="244"/>
      <c r="J288" s="303"/>
      <c r="K288" s="179"/>
      <c r="L288" s="244"/>
      <c r="M288" s="244"/>
      <c r="N288" s="244"/>
      <c r="O288" s="244"/>
      <c r="P288" s="244"/>
      <c r="Q288" s="244"/>
      <c r="R288" s="244"/>
      <c r="S288" s="244"/>
      <c r="T288" s="244"/>
      <c r="U288" s="244"/>
      <c r="V288" s="244"/>
      <c r="W288" s="244"/>
      <c r="X288" s="244"/>
      <c r="Y288" s="244"/>
      <c r="Z288" s="244"/>
      <c r="AA288" s="244"/>
      <c r="AB288" s="244"/>
      <c r="AC288" s="244"/>
    </row>
    <row r="289" spans="1:29" ht="15.75" customHeight="1" x14ac:dyDescent="0.25">
      <c r="A289" s="244"/>
      <c r="B289" s="244"/>
      <c r="C289" s="244"/>
      <c r="D289" s="303"/>
      <c r="E289" s="179"/>
      <c r="F289" s="244"/>
      <c r="G289" s="244"/>
      <c r="H289" s="244"/>
      <c r="I289" s="244"/>
      <c r="J289" s="303"/>
      <c r="K289" s="179"/>
      <c r="L289" s="244"/>
      <c r="M289" s="244"/>
      <c r="N289" s="244"/>
      <c r="O289" s="244"/>
      <c r="P289" s="244"/>
      <c r="Q289" s="244"/>
      <c r="R289" s="244"/>
      <c r="S289" s="244"/>
      <c r="T289" s="244"/>
      <c r="U289" s="244"/>
      <c r="V289" s="244"/>
      <c r="W289" s="244"/>
      <c r="X289" s="244"/>
      <c r="Y289" s="244"/>
      <c r="Z289" s="244"/>
      <c r="AA289" s="244"/>
      <c r="AB289" s="244"/>
      <c r="AC289" s="244"/>
    </row>
    <row r="290" spans="1:29" ht="15.75" customHeight="1" x14ac:dyDescent="0.25">
      <c r="A290" s="244"/>
      <c r="B290" s="244"/>
      <c r="C290" s="244"/>
      <c r="D290" s="303"/>
      <c r="E290" s="179"/>
      <c r="F290" s="244"/>
      <c r="G290" s="244"/>
      <c r="H290" s="244"/>
      <c r="I290" s="244"/>
      <c r="J290" s="303"/>
      <c r="K290" s="179"/>
      <c r="L290" s="244"/>
      <c r="M290" s="244"/>
      <c r="N290" s="244"/>
      <c r="O290" s="244"/>
      <c r="P290" s="244"/>
      <c r="Q290" s="244"/>
      <c r="R290" s="244"/>
      <c r="S290" s="244"/>
      <c r="T290" s="244"/>
      <c r="U290" s="244"/>
      <c r="V290" s="244"/>
      <c r="W290" s="244"/>
      <c r="X290" s="244"/>
      <c r="Y290" s="244"/>
      <c r="Z290" s="244"/>
      <c r="AA290" s="244"/>
      <c r="AB290" s="244"/>
      <c r="AC290" s="244"/>
    </row>
    <row r="291" spans="1:29" ht="15.75" customHeight="1" x14ac:dyDescent="0.25">
      <c r="A291" s="244"/>
      <c r="B291" s="244"/>
      <c r="C291" s="244"/>
      <c r="D291" s="303"/>
      <c r="E291" s="179"/>
      <c r="F291" s="244"/>
      <c r="G291" s="244"/>
      <c r="H291" s="244"/>
      <c r="I291" s="244"/>
      <c r="J291" s="303"/>
      <c r="K291" s="179"/>
      <c r="L291" s="244"/>
      <c r="M291" s="244"/>
      <c r="N291" s="244"/>
      <c r="O291" s="244"/>
      <c r="P291" s="244"/>
      <c r="Q291" s="244"/>
      <c r="R291" s="244"/>
      <c r="S291" s="244"/>
      <c r="T291" s="244"/>
      <c r="U291" s="244"/>
      <c r="V291" s="244"/>
      <c r="W291" s="244"/>
      <c r="X291" s="244"/>
      <c r="Y291" s="244"/>
      <c r="Z291" s="244"/>
      <c r="AA291" s="244"/>
      <c r="AB291" s="244"/>
      <c r="AC291" s="244"/>
    </row>
    <row r="292" spans="1:29" ht="15.75" customHeight="1" x14ac:dyDescent="0.25">
      <c r="A292" s="244"/>
      <c r="B292" s="244"/>
      <c r="C292" s="244"/>
      <c r="D292" s="303"/>
      <c r="E292" s="179"/>
      <c r="F292" s="244"/>
      <c r="G292" s="244"/>
      <c r="H292" s="244"/>
      <c r="I292" s="244"/>
      <c r="J292" s="303"/>
      <c r="K292" s="179"/>
      <c r="L292" s="244"/>
      <c r="M292" s="244"/>
      <c r="N292" s="244"/>
      <c r="O292" s="244"/>
      <c r="P292" s="244"/>
      <c r="Q292" s="244"/>
      <c r="R292" s="244"/>
      <c r="S292" s="244"/>
      <c r="T292" s="244"/>
      <c r="U292" s="244"/>
      <c r="V292" s="244"/>
      <c r="W292" s="244"/>
      <c r="X292" s="244"/>
      <c r="Y292" s="244"/>
      <c r="Z292" s="244"/>
      <c r="AA292" s="244"/>
      <c r="AB292" s="244"/>
      <c r="AC292" s="244"/>
    </row>
    <row r="293" spans="1:29" ht="15.75" customHeight="1" x14ac:dyDescent="0.25">
      <c r="A293" s="244"/>
      <c r="B293" s="244"/>
      <c r="C293" s="244"/>
      <c r="D293" s="303"/>
      <c r="E293" s="179"/>
      <c r="F293" s="244"/>
      <c r="G293" s="244"/>
      <c r="H293" s="244"/>
      <c r="I293" s="244"/>
      <c r="J293" s="303"/>
      <c r="K293" s="179"/>
      <c r="L293" s="244"/>
      <c r="M293" s="244"/>
      <c r="N293" s="244"/>
      <c r="O293" s="244"/>
      <c r="P293" s="244"/>
      <c r="Q293" s="244"/>
      <c r="R293" s="244"/>
      <c r="S293" s="244"/>
      <c r="T293" s="244"/>
      <c r="U293" s="244"/>
      <c r="V293" s="244"/>
      <c r="W293" s="244"/>
      <c r="X293" s="244"/>
      <c r="Y293" s="244"/>
      <c r="Z293" s="244"/>
      <c r="AA293" s="244"/>
      <c r="AB293" s="244"/>
      <c r="AC293" s="244"/>
    </row>
    <row r="294" spans="1:29" ht="15.75" customHeight="1" x14ac:dyDescent="0.25">
      <c r="A294" s="244"/>
      <c r="B294" s="244"/>
      <c r="C294" s="244"/>
      <c r="D294" s="303"/>
      <c r="E294" s="179"/>
      <c r="F294" s="244"/>
      <c r="G294" s="244"/>
      <c r="H294" s="244"/>
      <c r="I294" s="244"/>
      <c r="J294" s="303"/>
      <c r="K294" s="179"/>
      <c r="L294" s="244"/>
      <c r="M294" s="244"/>
      <c r="N294" s="244"/>
      <c r="O294" s="244"/>
      <c r="P294" s="244"/>
      <c r="Q294" s="244"/>
      <c r="R294" s="244"/>
      <c r="S294" s="244"/>
      <c r="T294" s="244"/>
      <c r="U294" s="244"/>
      <c r="V294" s="244"/>
      <c r="W294" s="244"/>
      <c r="X294" s="244"/>
      <c r="Y294" s="244"/>
      <c r="Z294" s="244"/>
      <c r="AA294" s="244"/>
      <c r="AB294" s="244"/>
      <c r="AC294" s="244"/>
    </row>
    <row r="295" spans="1:29" ht="15.75" customHeight="1" x14ac:dyDescent="0.25">
      <c r="A295" s="244"/>
      <c r="B295" s="244"/>
      <c r="C295" s="244"/>
      <c r="D295" s="303"/>
      <c r="E295" s="179"/>
      <c r="F295" s="244"/>
      <c r="G295" s="244"/>
      <c r="H295" s="244"/>
      <c r="I295" s="244"/>
      <c r="J295" s="303"/>
      <c r="K295" s="179"/>
      <c r="L295" s="244"/>
      <c r="M295" s="244"/>
      <c r="N295" s="244"/>
      <c r="O295" s="244"/>
      <c r="P295" s="244"/>
      <c r="Q295" s="244"/>
      <c r="R295" s="244"/>
      <c r="S295" s="244"/>
      <c r="T295" s="244"/>
      <c r="U295" s="244"/>
      <c r="V295" s="244"/>
      <c r="W295" s="244"/>
      <c r="X295" s="244"/>
      <c r="Y295" s="244"/>
      <c r="Z295" s="244"/>
      <c r="AA295" s="244"/>
      <c r="AB295" s="244"/>
      <c r="AC295" s="244"/>
    </row>
    <row r="296" spans="1:29" ht="15.75" customHeight="1" x14ac:dyDescent="0.25">
      <c r="A296" s="244"/>
      <c r="B296" s="244"/>
      <c r="C296" s="244"/>
      <c r="D296" s="303"/>
      <c r="E296" s="179"/>
      <c r="F296" s="244"/>
      <c r="G296" s="244"/>
      <c r="H296" s="244"/>
      <c r="I296" s="244"/>
      <c r="J296" s="303"/>
      <c r="K296" s="179"/>
      <c r="L296" s="244"/>
      <c r="M296" s="244"/>
      <c r="N296" s="244"/>
      <c r="O296" s="244"/>
      <c r="P296" s="244"/>
      <c r="Q296" s="244"/>
      <c r="R296" s="244"/>
      <c r="S296" s="244"/>
      <c r="T296" s="244"/>
      <c r="U296" s="244"/>
      <c r="V296" s="244"/>
      <c r="W296" s="244"/>
      <c r="X296" s="244"/>
      <c r="Y296" s="244"/>
      <c r="Z296" s="244"/>
      <c r="AA296" s="244"/>
      <c r="AB296" s="244"/>
      <c r="AC296" s="244"/>
    </row>
    <row r="297" spans="1:29" ht="15.75" customHeight="1" x14ac:dyDescent="0.25">
      <c r="A297" s="244"/>
      <c r="B297" s="244"/>
      <c r="C297" s="244"/>
      <c r="D297" s="303"/>
      <c r="E297" s="179"/>
      <c r="F297" s="244"/>
      <c r="G297" s="244"/>
      <c r="H297" s="244"/>
      <c r="I297" s="244"/>
      <c r="J297" s="303"/>
      <c r="K297" s="179"/>
      <c r="L297" s="244"/>
      <c r="M297" s="244"/>
      <c r="N297" s="244"/>
      <c r="O297" s="244"/>
      <c r="P297" s="244"/>
      <c r="Q297" s="244"/>
      <c r="R297" s="244"/>
      <c r="S297" s="244"/>
      <c r="T297" s="244"/>
      <c r="U297" s="244"/>
      <c r="V297" s="244"/>
      <c r="W297" s="244"/>
      <c r="X297" s="244"/>
      <c r="Y297" s="244"/>
      <c r="Z297" s="244"/>
      <c r="AA297" s="244"/>
      <c r="AB297" s="244"/>
      <c r="AC297" s="244"/>
    </row>
    <row r="298" spans="1:29" ht="15.75" customHeight="1" x14ac:dyDescent="0.25">
      <c r="A298" s="244"/>
      <c r="B298" s="244"/>
      <c r="C298" s="244"/>
      <c r="D298" s="303"/>
      <c r="E298" s="179"/>
      <c r="F298" s="244"/>
      <c r="G298" s="244"/>
      <c r="H298" s="244"/>
      <c r="I298" s="244"/>
      <c r="J298" s="303"/>
      <c r="K298" s="179"/>
      <c r="L298" s="244"/>
      <c r="M298" s="244"/>
      <c r="N298" s="244"/>
      <c r="O298" s="244"/>
      <c r="P298" s="244"/>
      <c r="Q298" s="244"/>
      <c r="R298" s="244"/>
      <c r="S298" s="244"/>
      <c r="T298" s="244"/>
      <c r="U298" s="244"/>
      <c r="V298" s="244"/>
      <c r="W298" s="244"/>
      <c r="X298" s="244"/>
      <c r="Y298" s="244"/>
      <c r="Z298" s="244"/>
      <c r="AA298" s="244"/>
      <c r="AB298" s="244"/>
      <c r="AC298" s="244"/>
    </row>
    <row r="299" spans="1:29" ht="15.75" customHeight="1" x14ac:dyDescent="0.25">
      <c r="A299" s="244"/>
      <c r="B299" s="244"/>
      <c r="C299" s="244"/>
      <c r="D299" s="303"/>
      <c r="E299" s="179"/>
      <c r="F299" s="244"/>
      <c r="G299" s="244"/>
      <c r="H299" s="244"/>
      <c r="I299" s="244"/>
      <c r="J299" s="303"/>
      <c r="K299" s="179"/>
      <c r="L299" s="244"/>
      <c r="M299" s="244"/>
      <c r="N299" s="244"/>
      <c r="O299" s="244"/>
      <c r="P299" s="244"/>
      <c r="Q299" s="244"/>
      <c r="R299" s="244"/>
      <c r="S299" s="244"/>
      <c r="T299" s="244"/>
      <c r="U299" s="244"/>
      <c r="V299" s="244"/>
      <c r="W299" s="244"/>
      <c r="X299" s="244"/>
      <c r="Y299" s="244"/>
      <c r="Z299" s="244"/>
      <c r="AA299" s="244"/>
      <c r="AB299" s="244"/>
      <c r="AC299" s="244"/>
    </row>
    <row r="300" spans="1:29" ht="15.75" customHeight="1" x14ac:dyDescent="0.25">
      <c r="A300" s="244"/>
      <c r="B300" s="244"/>
      <c r="C300" s="244"/>
      <c r="D300" s="303"/>
      <c r="E300" s="179"/>
      <c r="F300" s="244"/>
      <c r="G300" s="244"/>
      <c r="H300" s="244"/>
      <c r="I300" s="244"/>
      <c r="J300" s="303"/>
      <c r="K300" s="179"/>
      <c r="L300" s="244"/>
      <c r="M300" s="244"/>
      <c r="N300" s="244"/>
      <c r="O300" s="244"/>
      <c r="P300" s="244"/>
      <c r="Q300" s="244"/>
      <c r="R300" s="244"/>
      <c r="S300" s="244"/>
      <c r="T300" s="244"/>
      <c r="U300" s="244"/>
      <c r="V300" s="244"/>
      <c r="W300" s="244"/>
      <c r="X300" s="244"/>
      <c r="Y300" s="244"/>
      <c r="Z300" s="244"/>
      <c r="AA300" s="244"/>
      <c r="AB300" s="244"/>
      <c r="AC300" s="244"/>
    </row>
    <row r="301" spans="1:29" ht="15.75" customHeight="1" x14ac:dyDescent="0.25">
      <c r="A301" s="244"/>
      <c r="B301" s="244"/>
      <c r="C301" s="244"/>
      <c r="D301" s="303"/>
      <c r="E301" s="179"/>
      <c r="F301" s="244"/>
      <c r="G301" s="244"/>
      <c r="H301" s="244"/>
      <c r="I301" s="244"/>
      <c r="J301" s="303"/>
      <c r="K301" s="179"/>
      <c r="L301" s="244"/>
      <c r="M301" s="244"/>
      <c r="N301" s="244"/>
      <c r="O301" s="244"/>
      <c r="P301" s="244"/>
      <c r="Q301" s="244"/>
      <c r="R301" s="244"/>
      <c r="S301" s="244"/>
      <c r="T301" s="244"/>
      <c r="U301" s="244"/>
      <c r="V301" s="244"/>
      <c r="W301" s="244"/>
      <c r="X301" s="244"/>
      <c r="Y301" s="244"/>
      <c r="Z301" s="244"/>
      <c r="AA301" s="244"/>
      <c r="AB301" s="244"/>
      <c r="AC301" s="244"/>
    </row>
    <row r="302" spans="1:29" ht="15.75" customHeight="1" x14ac:dyDescent="0.25">
      <c r="A302" s="244"/>
      <c r="B302" s="244"/>
      <c r="C302" s="244"/>
      <c r="D302" s="303"/>
      <c r="E302" s="179"/>
      <c r="F302" s="244"/>
      <c r="G302" s="244"/>
      <c r="H302" s="244"/>
      <c r="I302" s="244"/>
      <c r="J302" s="303"/>
      <c r="K302" s="179"/>
      <c r="L302" s="244"/>
      <c r="M302" s="244"/>
      <c r="N302" s="244"/>
      <c r="O302" s="244"/>
      <c r="P302" s="244"/>
      <c r="Q302" s="244"/>
      <c r="R302" s="244"/>
      <c r="S302" s="244"/>
      <c r="T302" s="244"/>
      <c r="U302" s="244"/>
      <c r="V302" s="244"/>
      <c r="W302" s="244"/>
      <c r="X302" s="244"/>
      <c r="Y302" s="244"/>
      <c r="Z302" s="244"/>
      <c r="AA302" s="244"/>
      <c r="AB302" s="244"/>
      <c r="AC302" s="244"/>
    </row>
    <row r="303" spans="1:29" ht="15.75" customHeight="1" x14ac:dyDescent="0.25">
      <c r="A303" s="244"/>
      <c r="B303" s="244"/>
      <c r="C303" s="244"/>
      <c r="D303" s="303"/>
      <c r="E303" s="179"/>
      <c r="F303" s="244"/>
      <c r="G303" s="244"/>
      <c r="H303" s="244"/>
      <c r="I303" s="244"/>
      <c r="J303" s="303"/>
      <c r="K303" s="179"/>
      <c r="L303" s="244"/>
      <c r="M303" s="244"/>
      <c r="N303" s="244"/>
      <c r="O303" s="244"/>
      <c r="P303" s="244"/>
      <c r="Q303" s="244"/>
      <c r="R303" s="244"/>
      <c r="S303" s="244"/>
      <c r="T303" s="244"/>
      <c r="U303" s="244"/>
      <c r="V303" s="244"/>
      <c r="W303" s="244"/>
      <c r="X303" s="244"/>
      <c r="Y303" s="244"/>
      <c r="Z303" s="244"/>
      <c r="AA303" s="244"/>
      <c r="AB303" s="244"/>
      <c r="AC303" s="244"/>
    </row>
    <row r="304" spans="1:29" ht="15.75" customHeight="1" x14ac:dyDescent="0.25">
      <c r="A304" s="244"/>
      <c r="B304" s="244"/>
      <c r="C304" s="244"/>
      <c r="D304" s="303"/>
      <c r="E304" s="179"/>
      <c r="F304" s="244"/>
      <c r="G304" s="244"/>
      <c r="H304" s="244"/>
      <c r="I304" s="244"/>
      <c r="J304" s="303"/>
      <c r="K304" s="179"/>
      <c r="L304" s="244"/>
      <c r="M304" s="244"/>
      <c r="N304" s="244"/>
      <c r="O304" s="244"/>
      <c r="P304" s="244"/>
      <c r="Q304" s="244"/>
      <c r="R304" s="244"/>
      <c r="S304" s="244"/>
      <c r="T304" s="244"/>
      <c r="U304" s="244"/>
      <c r="V304" s="244"/>
      <c r="W304" s="244"/>
      <c r="X304" s="244"/>
      <c r="Y304" s="244"/>
      <c r="Z304" s="244"/>
      <c r="AA304" s="244"/>
      <c r="AB304" s="244"/>
      <c r="AC304" s="244"/>
    </row>
    <row r="305" spans="1:29" ht="15.75" customHeight="1" x14ac:dyDescent="0.25">
      <c r="A305" s="244"/>
      <c r="B305" s="244"/>
      <c r="C305" s="244"/>
      <c r="D305" s="303"/>
      <c r="E305" s="179"/>
      <c r="F305" s="244"/>
      <c r="G305" s="244"/>
      <c r="H305" s="244"/>
      <c r="I305" s="244"/>
      <c r="J305" s="303"/>
      <c r="K305" s="179"/>
      <c r="L305" s="244"/>
      <c r="M305" s="244"/>
      <c r="N305" s="244"/>
      <c r="O305" s="244"/>
      <c r="P305" s="244"/>
      <c r="Q305" s="244"/>
      <c r="R305" s="244"/>
      <c r="S305" s="244"/>
      <c r="T305" s="244"/>
      <c r="U305" s="244"/>
      <c r="V305" s="244"/>
      <c r="W305" s="244"/>
      <c r="X305" s="244"/>
      <c r="Y305" s="244"/>
      <c r="Z305" s="244"/>
      <c r="AA305" s="244"/>
      <c r="AB305" s="244"/>
      <c r="AC305" s="244"/>
    </row>
    <row r="306" spans="1:29" ht="15.75" customHeight="1" x14ac:dyDescent="0.25">
      <c r="A306" s="244"/>
      <c r="B306" s="244"/>
      <c r="C306" s="244"/>
      <c r="D306" s="303"/>
      <c r="E306" s="179"/>
      <c r="F306" s="244"/>
      <c r="G306" s="244"/>
      <c r="H306" s="244"/>
      <c r="I306" s="244"/>
      <c r="J306" s="303"/>
      <c r="K306" s="179"/>
      <c r="L306" s="244"/>
      <c r="M306" s="244"/>
      <c r="N306" s="244"/>
      <c r="O306" s="244"/>
      <c r="P306" s="244"/>
      <c r="Q306" s="244"/>
      <c r="R306" s="244"/>
      <c r="S306" s="244"/>
      <c r="T306" s="244"/>
      <c r="U306" s="244"/>
      <c r="V306" s="244"/>
      <c r="W306" s="244"/>
      <c r="X306" s="244"/>
      <c r="Y306" s="244"/>
      <c r="Z306" s="244"/>
      <c r="AA306" s="244"/>
      <c r="AB306" s="244"/>
      <c r="AC306" s="244"/>
    </row>
    <row r="307" spans="1:29" ht="15.75" customHeight="1" x14ac:dyDescent="0.25">
      <c r="A307" s="244"/>
      <c r="B307" s="244"/>
      <c r="C307" s="244"/>
      <c r="D307" s="303"/>
      <c r="E307" s="179"/>
      <c r="F307" s="244"/>
      <c r="G307" s="244"/>
      <c r="H307" s="244"/>
      <c r="I307" s="244"/>
      <c r="J307" s="303"/>
      <c r="K307" s="179"/>
      <c r="L307" s="244"/>
      <c r="M307" s="244"/>
      <c r="N307" s="244"/>
      <c r="O307" s="244"/>
      <c r="P307" s="244"/>
      <c r="Q307" s="244"/>
      <c r="R307" s="244"/>
      <c r="S307" s="244"/>
      <c r="T307" s="244"/>
      <c r="U307" s="244"/>
      <c r="V307" s="244"/>
      <c r="W307" s="244"/>
      <c r="X307" s="244"/>
      <c r="Y307" s="244"/>
      <c r="Z307" s="244"/>
      <c r="AA307" s="244"/>
      <c r="AB307" s="244"/>
      <c r="AC307" s="244"/>
    </row>
    <row r="308" spans="1:29" ht="15.75" customHeight="1" x14ac:dyDescent="0.25">
      <c r="A308" s="244"/>
      <c r="B308" s="244"/>
      <c r="C308" s="244"/>
      <c r="D308" s="303"/>
      <c r="E308" s="179"/>
      <c r="F308" s="244"/>
      <c r="G308" s="244"/>
      <c r="H308" s="244"/>
      <c r="I308" s="244"/>
      <c r="J308" s="303"/>
      <c r="K308" s="179"/>
      <c r="L308" s="244"/>
      <c r="M308" s="244"/>
      <c r="N308" s="244"/>
      <c r="O308" s="244"/>
      <c r="P308" s="244"/>
      <c r="Q308" s="244"/>
      <c r="R308" s="244"/>
      <c r="S308" s="244"/>
      <c r="T308" s="244"/>
      <c r="U308" s="244"/>
      <c r="V308" s="244"/>
      <c r="W308" s="244"/>
      <c r="X308" s="244"/>
      <c r="Y308" s="244"/>
      <c r="Z308" s="244"/>
      <c r="AA308" s="244"/>
      <c r="AB308" s="244"/>
      <c r="AC308" s="244"/>
    </row>
    <row r="309" spans="1:29" ht="15.75" customHeight="1" x14ac:dyDescent="0.25">
      <c r="A309" s="244"/>
      <c r="B309" s="244"/>
      <c r="C309" s="244"/>
      <c r="D309" s="303"/>
      <c r="E309" s="179"/>
      <c r="F309" s="244"/>
      <c r="G309" s="244"/>
      <c r="H309" s="244"/>
      <c r="I309" s="244"/>
      <c r="J309" s="303"/>
      <c r="K309" s="179"/>
      <c r="L309" s="244"/>
      <c r="M309" s="244"/>
      <c r="N309" s="244"/>
      <c r="O309" s="244"/>
      <c r="P309" s="244"/>
      <c r="Q309" s="244"/>
      <c r="R309" s="244"/>
      <c r="S309" s="244"/>
      <c r="T309" s="244"/>
      <c r="U309" s="244"/>
      <c r="V309" s="244"/>
      <c r="W309" s="244"/>
      <c r="X309" s="244"/>
      <c r="Y309" s="244"/>
      <c r="Z309" s="244"/>
      <c r="AA309" s="244"/>
      <c r="AB309" s="244"/>
      <c r="AC309" s="244"/>
    </row>
    <row r="310" spans="1:29" ht="15.75" customHeight="1" x14ac:dyDescent="0.25">
      <c r="A310" s="244"/>
      <c r="B310" s="244"/>
      <c r="C310" s="244"/>
      <c r="D310" s="303"/>
      <c r="E310" s="179"/>
      <c r="F310" s="244"/>
      <c r="G310" s="244"/>
      <c r="H310" s="244"/>
      <c r="I310" s="244"/>
      <c r="J310" s="303"/>
      <c r="K310" s="179"/>
      <c r="L310" s="244"/>
      <c r="M310" s="244"/>
      <c r="N310" s="244"/>
      <c r="O310" s="244"/>
      <c r="P310" s="244"/>
      <c r="Q310" s="244"/>
      <c r="R310" s="244"/>
      <c r="S310" s="244"/>
      <c r="T310" s="244"/>
      <c r="U310" s="244"/>
      <c r="V310" s="244"/>
      <c r="W310" s="244"/>
      <c r="X310" s="244"/>
      <c r="Y310" s="244"/>
      <c r="Z310" s="244"/>
      <c r="AA310" s="244"/>
      <c r="AB310" s="244"/>
      <c r="AC310" s="244"/>
    </row>
    <row r="311" spans="1:29" ht="15.75" customHeight="1" x14ac:dyDescent="0.25">
      <c r="A311" s="244"/>
      <c r="B311" s="244"/>
      <c r="C311" s="244"/>
      <c r="D311" s="303"/>
      <c r="E311" s="179"/>
      <c r="F311" s="244"/>
      <c r="G311" s="244"/>
      <c r="H311" s="244"/>
      <c r="I311" s="244"/>
      <c r="J311" s="303"/>
      <c r="K311" s="179"/>
      <c r="L311" s="244"/>
      <c r="M311" s="244"/>
      <c r="N311" s="244"/>
      <c r="O311" s="244"/>
      <c r="P311" s="244"/>
      <c r="Q311" s="244"/>
      <c r="R311" s="244"/>
      <c r="S311" s="244"/>
      <c r="T311" s="244"/>
      <c r="U311" s="244"/>
      <c r="V311" s="244"/>
      <c r="W311" s="244"/>
      <c r="X311" s="244"/>
      <c r="Y311" s="244"/>
      <c r="Z311" s="244"/>
      <c r="AA311" s="244"/>
      <c r="AB311" s="244"/>
      <c r="AC311" s="244"/>
    </row>
    <row r="312" spans="1:29" ht="15.75" customHeight="1" x14ac:dyDescent="0.25">
      <c r="A312" s="244"/>
      <c r="B312" s="244"/>
      <c r="C312" s="244"/>
      <c r="D312" s="303"/>
      <c r="E312" s="179"/>
      <c r="F312" s="244"/>
      <c r="G312" s="244"/>
      <c r="H312" s="244"/>
      <c r="I312" s="244"/>
      <c r="J312" s="303"/>
      <c r="K312" s="179"/>
      <c r="L312" s="244"/>
      <c r="M312" s="244"/>
      <c r="N312" s="244"/>
      <c r="O312" s="244"/>
      <c r="P312" s="244"/>
      <c r="Q312" s="244"/>
      <c r="R312" s="244"/>
      <c r="S312" s="244"/>
      <c r="T312" s="244"/>
      <c r="U312" s="244"/>
      <c r="V312" s="244"/>
      <c r="W312" s="244"/>
      <c r="X312" s="244"/>
      <c r="Y312" s="244"/>
      <c r="Z312" s="244"/>
      <c r="AA312" s="244"/>
      <c r="AB312" s="244"/>
      <c r="AC312" s="244"/>
    </row>
    <row r="313" spans="1:29" ht="15.75" customHeight="1" x14ac:dyDescent="0.25">
      <c r="A313" s="244"/>
      <c r="B313" s="244"/>
      <c r="C313" s="244"/>
      <c r="D313" s="303"/>
      <c r="E313" s="179"/>
      <c r="F313" s="244"/>
      <c r="G313" s="244"/>
      <c r="H313" s="244"/>
      <c r="I313" s="244"/>
      <c r="J313" s="303"/>
      <c r="K313" s="179"/>
      <c r="L313" s="244"/>
      <c r="M313" s="244"/>
      <c r="N313" s="244"/>
      <c r="O313" s="244"/>
      <c r="P313" s="244"/>
      <c r="Q313" s="244"/>
      <c r="R313" s="244"/>
      <c r="S313" s="244"/>
      <c r="T313" s="244"/>
      <c r="U313" s="244"/>
      <c r="V313" s="244"/>
      <c r="W313" s="244"/>
      <c r="X313" s="244"/>
      <c r="Y313" s="244"/>
      <c r="Z313" s="244"/>
      <c r="AA313" s="244"/>
      <c r="AB313" s="244"/>
      <c r="AC313" s="244"/>
    </row>
    <row r="314" spans="1:29" ht="15.75" customHeight="1" x14ac:dyDescent="0.2">
      <c r="D314" s="114"/>
      <c r="J314" s="114"/>
    </row>
    <row r="315" spans="1:29" ht="15.75" customHeight="1" x14ac:dyDescent="0.2">
      <c r="D315" s="114"/>
      <c r="J315" s="114"/>
    </row>
    <row r="316" spans="1:29" ht="15.75" customHeight="1" x14ac:dyDescent="0.2">
      <c r="D316" s="114"/>
      <c r="J316" s="114"/>
    </row>
    <row r="317" spans="1:29" ht="15.75" customHeight="1" x14ac:dyDescent="0.2">
      <c r="D317" s="114"/>
      <c r="J317" s="114"/>
    </row>
    <row r="318" spans="1:29" ht="15.75" customHeight="1" x14ac:dyDescent="0.2">
      <c r="D318" s="114"/>
      <c r="J318" s="114"/>
    </row>
    <row r="319" spans="1:29" ht="15.75" customHeight="1" x14ac:dyDescent="0.2">
      <c r="D319" s="114"/>
      <c r="J319" s="114"/>
    </row>
    <row r="320" spans="1:29" ht="15.75" customHeight="1" x14ac:dyDescent="0.2">
      <c r="D320" s="114"/>
      <c r="J320" s="114"/>
    </row>
    <row r="321" spans="4:10" ht="15.75" customHeight="1" x14ac:dyDescent="0.2">
      <c r="D321" s="114"/>
      <c r="J321" s="114"/>
    </row>
    <row r="322" spans="4:10" ht="15.75" customHeight="1" x14ac:dyDescent="0.2">
      <c r="D322" s="114"/>
      <c r="J322" s="114"/>
    </row>
    <row r="323" spans="4:10" ht="15.75" customHeight="1" x14ac:dyDescent="0.2">
      <c r="D323" s="114"/>
      <c r="J323" s="114"/>
    </row>
    <row r="324" spans="4:10" ht="15.75" customHeight="1" x14ac:dyDescent="0.2">
      <c r="D324" s="114"/>
      <c r="J324" s="114"/>
    </row>
    <row r="325" spans="4:10" ht="15.75" customHeight="1" x14ac:dyDescent="0.2">
      <c r="D325" s="114"/>
      <c r="J325" s="114"/>
    </row>
    <row r="326" spans="4:10" ht="15.75" customHeight="1" x14ac:dyDescent="0.2">
      <c r="D326" s="114"/>
      <c r="J326" s="114"/>
    </row>
    <row r="327" spans="4:10" ht="15.75" customHeight="1" x14ac:dyDescent="0.2">
      <c r="D327" s="114"/>
      <c r="J327" s="114"/>
    </row>
    <row r="328" spans="4:10" ht="15.75" customHeight="1" x14ac:dyDescent="0.2">
      <c r="D328" s="114"/>
      <c r="J328" s="114"/>
    </row>
    <row r="329" spans="4:10" ht="15.75" customHeight="1" x14ac:dyDescent="0.2">
      <c r="D329" s="114"/>
      <c r="J329" s="114"/>
    </row>
    <row r="330" spans="4:10" ht="15.75" customHeight="1" x14ac:dyDescent="0.2">
      <c r="D330" s="114"/>
      <c r="J330" s="114"/>
    </row>
    <row r="331" spans="4:10" ht="15.75" customHeight="1" x14ac:dyDescent="0.2">
      <c r="D331" s="114"/>
      <c r="J331" s="114"/>
    </row>
    <row r="332" spans="4:10" ht="15.75" customHeight="1" x14ac:dyDescent="0.2">
      <c r="D332" s="114"/>
      <c r="J332" s="114"/>
    </row>
    <row r="333" spans="4:10" ht="15.75" customHeight="1" x14ac:dyDescent="0.2">
      <c r="D333" s="114"/>
      <c r="J333" s="114"/>
    </row>
    <row r="334" spans="4:10" ht="15.75" customHeight="1" x14ac:dyDescent="0.2">
      <c r="D334" s="114"/>
      <c r="J334" s="114"/>
    </row>
    <row r="335" spans="4:10" ht="15.75" customHeight="1" x14ac:dyDescent="0.2">
      <c r="D335" s="114"/>
      <c r="J335" s="114"/>
    </row>
    <row r="336" spans="4:10" ht="15.75" customHeight="1" x14ac:dyDescent="0.2">
      <c r="D336" s="114"/>
      <c r="J336" s="114"/>
    </row>
    <row r="337" spans="4:10" ht="15.75" customHeight="1" x14ac:dyDescent="0.2">
      <c r="D337" s="114"/>
      <c r="J337" s="114"/>
    </row>
    <row r="338" spans="4:10" ht="15.75" customHeight="1" x14ac:dyDescent="0.2">
      <c r="D338" s="114"/>
      <c r="J338" s="114"/>
    </row>
    <row r="339" spans="4:10" ht="15.75" customHeight="1" x14ac:dyDescent="0.2">
      <c r="D339" s="114"/>
      <c r="J339" s="114"/>
    </row>
    <row r="340" spans="4:10" ht="15.75" customHeight="1" x14ac:dyDescent="0.2">
      <c r="D340" s="114"/>
      <c r="J340" s="114"/>
    </row>
    <row r="341" spans="4:10" ht="15.75" customHeight="1" x14ac:dyDescent="0.2">
      <c r="D341" s="114"/>
      <c r="J341" s="114"/>
    </row>
    <row r="342" spans="4:10" ht="15.75" customHeight="1" x14ac:dyDescent="0.2">
      <c r="D342" s="114"/>
      <c r="J342" s="114"/>
    </row>
    <row r="343" spans="4:10" ht="15.75" customHeight="1" x14ac:dyDescent="0.2">
      <c r="D343" s="114"/>
      <c r="J343" s="114"/>
    </row>
    <row r="344" spans="4:10" ht="15.75" customHeight="1" x14ac:dyDescent="0.2">
      <c r="D344" s="114"/>
      <c r="J344" s="114"/>
    </row>
    <row r="345" spans="4:10" ht="15.75" customHeight="1" x14ac:dyDescent="0.2">
      <c r="D345" s="114"/>
      <c r="J345" s="114"/>
    </row>
    <row r="346" spans="4:10" ht="15.75" customHeight="1" x14ac:dyDescent="0.2">
      <c r="D346" s="114"/>
      <c r="J346" s="114"/>
    </row>
    <row r="347" spans="4:10" ht="15.75" customHeight="1" x14ac:dyDescent="0.2">
      <c r="D347" s="114"/>
      <c r="J347" s="114"/>
    </row>
    <row r="348" spans="4:10" ht="15.75" customHeight="1" x14ac:dyDescent="0.2">
      <c r="D348" s="114"/>
      <c r="J348" s="114"/>
    </row>
    <row r="349" spans="4:10" ht="15.75" customHeight="1" x14ac:dyDescent="0.2">
      <c r="D349" s="114"/>
      <c r="J349" s="114"/>
    </row>
    <row r="350" spans="4:10" ht="15.75" customHeight="1" x14ac:dyDescent="0.2">
      <c r="D350" s="114"/>
      <c r="J350" s="114"/>
    </row>
    <row r="351" spans="4:10" ht="15.75" customHeight="1" x14ac:dyDescent="0.2">
      <c r="D351" s="114"/>
      <c r="J351" s="114"/>
    </row>
    <row r="352" spans="4:10" ht="15.75" customHeight="1" x14ac:dyDescent="0.2">
      <c r="D352" s="114"/>
      <c r="J352" s="114"/>
    </row>
    <row r="353" spans="4:10" ht="15.75" customHeight="1" x14ac:dyDescent="0.2">
      <c r="D353" s="114"/>
      <c r="J353" s="114"/>
    </row>
    <row r="354" spans="4:10" ht="15.75" customHeight="1" x14ac:dyDescent="0.2">
      <c r="D354" s="114"/>
      <c r="J354" s="114"/>
    </row>
    <row r="355" spans="4:10" ht="15.75" customHeight="1" x14ac:dyDescent="0.2">
      <c r="D355" s="114"/>
      <c r="J355" s="114"/>
    </row>
    <row r="356" spans="4:10" ht="15.75" customHeight="1" x14ac:dyDescent="0.2">
      <c r="D356" s="114"/>
      <c r="J356" s="114"/>
    </row>
    <row r="357" spans="4:10" ht="15.75" customHeight="1" x14ac:dyDescent="0.2">
      <c r="D357" s="114"/>
      <c r="J357" s="114"/>
    </row>
    <row r="358" spans="4:10" ht="15.75" customHeight="1" x14ac:dyDescent="0.2">
      <c r="D358" s="114"/>
      <c r="J358" s="114"/>
    </row>
    <row r="359" spans="4:10" ht="15.75" customHeight="1" x14ac:dyDescent="0.2">
      <c r="D359" s="114"/>
      <c r="J359" s="114"/>
    </row>
    <row r="360" spans="4:10" ht="15.75" customHeight="1" x14ac:dyDescent="0.2">
      <c r="D360" s="114"/>
      <c r="J360" s="114"/>
    </row>
    <row r="361" spans="4:10" ht="15.75" customHeight="1" x14ac:dyDescent="0.2">
      <c r="D361" s="114"/>
      <c r="J361" s="114"/>
    </row>
    <row r="362" spans="4:10" ht="15.75" customHeight="1" x14ac:dyDescent="0.2">
      <c r="D362" s="114"/>
      <c r="J362" s="114"/>
    </row>
    <row r="363" spans="4:10" ht="15.75" customHeight="1" x14ac:dyDescent="0.2">
      <c r="D363" s="114"/>
      <c r="J363" s="114"/>
    </row>
    <row r="364" spans="4:10" ht="15.75" customHeight="1" x14ac:dyDescent="0.2">
      <c r="D364" s="114"/>
      <c r="J364" s="114"/>
    </row>
    <row r="365" spans="4:10" ht="15.75" customHeight="1" x14ac:dyDescent="0.2">
      <c r="D365" s="114"/>
      <c r="J365" s="114"/>
    </row>
    <row r="366" spans="4:10" ht="15.75" customHeight="1" x14ac:dyDescent="0.2">
      <c r="D366" s="114"/>
      <c r="J366" s="114"/>
    </row>
    <row r="367" spans="4:10" ht="15.75" customHeight="1" x14ac:dyDescent="0.2">
      <c r="D367" s="114"/>
      <c r="J367" s="114"/>
    </row>
    <row r="368" spans="4:10" ht="15.75" customHeight="1" x14ac:dyDescent="0.2">
      <c r="D368" s="114"/>
      <c r="J368" s="114"/>
    </row>
    <row r="369" spans="4:10" ht="15.75" customHeight="1" x14ac:dyDescent="0.2">
      <c r="D369" s="114"/>
      <c r="J369" s="114"/>
    </row>
    <row r="370" spans="4:10" ht="15.75" customHeight="1" x14ac:dyDescent="0.2">
      <c r="D370" s="114"/>
      <c r="J370" s="114"/>
    </row>
    <row r="371" spans="4:10" ht="15.75" customHeight="1" x14ac:dyDescent="0.2">
      <c r="D371" s="114"/>
      <c r="J371" s="114"/>
    </row>
    <row r="372" spans="4:10" ht="15.75" customHeight="1" x14ac:dyDescent="0.2">
      <c r="D372" s="114"/>
      <c r="J372" s="114"/>
    </row>
    <row r="373" spans="4:10" ht="15.75" customHeight="1" x14ac:dyDescent="0.2">
      <c r="D373" s="114"/>
      <c r="J373" s="114"/>
    </row>
    <row r="374" spans="4:10" ht="15.75" customHeight="1" x14ac:dyDescent="0.2">
      <c r="D374" s="114"/>
      <c r="J374" s="114"/>
    </row>
    <row r="375" spans="4:10" ht="15.75" customHeight="1" x14ac:dyDescent="0.2">
      <c r="D375" s="114"/>
      <c r="J375" s="114"/>
    </row>
    <row r="376" spans="4:10" ht="15.75" customHeight="1" x14ac:dyDescent="0.2">
      <c r="D376" s="114"/>
      <c r="J376" s="114"/>
    </row>
    <row r="377" spans="4:10" ht="15.75" customHeight="1" x14ac:dyDescent="0.2">
      <c r="D377" s="114"/>
      <c r="J377" s="114"/>
    </row>
    <row r="378" spans="4:10" ht="15.75" customHeight="1" x14ac:dyDescent="0.2">
      <c r="D378" s="114"/>
      <c r="J378" s="114"/>
    </row>
    <row r="379" spans="4:10" ht="15.75" customHeight="1" x14ac:dyDescent="0.2">
      <c r="D379" s="114"/>
      <c r="J379" s="114"/>
    </row>
    <row r="380" spans="4:10" ht="15.75" customHeight="1" x14ac:dyDescent="0.2">
      <c r="D380" s="114"/>
      <c r="J380" s="114"/>
    </row>
    <row r="381" spans="4:10" ht="15.75" customHeight="1" x14ac:dyDescent="0.2">
      <c r="D381" s="114"/>
      <c r="J381" s="114"/>
    </row>
    <row r="382" spans="4:10" ht="15.75" customHeight="1" x14ac:dyDescent="0.2">
      <c r="D382" s="114"/>
      <c r="J382" s="114"/>
    </row>
    <row r="383" spans="4:10" ht="15.75" customHeight="1" x14ac:dyDescent="0.2">
      <c r="D383" s="114"/>
      <c r="J383" s="114"/>
    </row>
    <row r="384" spans="4:10" ht="15.75" customHeight="1" x14ac:dyDescent="0.2">
      <c r="D384" s="114"/>
      <c r="J384" s="114"/>
    </row>
    <row r="385" spans="4:10" ht="15.75" customHeight="1" x14ac:dyDescent="0.2">
      <c r="D385" s="114"/>
      <c r="J385" s="114"/>
    </row>
    <row r="386" spans="4:10" ht="15.75" customHeight="1" x14ac:dyDescent="0.2">
      <c r="D386" s="114"/>
      <c r="J386" s="114"/>
    </row>
    <row r="387" spans="4:10" ht="15.75" customHeight="1" x14ac:dyDescent="0.2">
      <c r="D387" s="114"/>
      <c r="J387" s="114"/>
    </row>
    <row r="388" spans="4:10" ht="15.75" customHeight="1" x14ac:dyDescent="0.2">
      <c r="D388" s="114"/>
      <c r="J388" s="114"/>
    </row>
    <row r="389" spans="4:10" ht="15.75" customHeight="1" x14ac:dyDescent="0.2">
      <c r="D389" s="114"/>
      <c r="J389" s="114"/>
    </row>
    <row r="390" spans="4:10" ht="15.75" customHeight="1" x14ac:dyDescent="0.2">
      <c r="D390" s="114"/>
      <c r="J390" s="114"/>
    </row>
    <row r="391" spans="4:10" ht="15.75" customHeight="1" x14ac:dyDescent="0.2">
      <c r="D391" s="114"/>
      <c r="J391" s="114"/>
    </row>
    <row r="392" spans="4:10" ht="15.75" customHeight="1" x14ac:dyDescent="0.2">
      <c r="D392" s="114"/>
      <c r="J392" s="114"/>
    </row>
    <row r="393" spans="4:10" ht="15.75" customHeight="1" x14ac:dyDescent="0.2">
      <c r="D393" s="114"/>
      <c r="J393" s="114"/>
    </row>
    <row r="394" spans="4:10" ht="15.75" customHeight="1" x14ac:dyDescent="0.2">
      <c r="D394" s="114"/>
      <c r="J394" s="114"/>
    </row>
    <row r="395" spans="4:10" ht="15.75" customHeight="1" x14ac:dyDescent="0.2">
      <c r="D395" s="114"/>
      <c r="J395" s="114"/>
    </row>
    <row r="396" spans="4:10" ht="15.75" customHeight="1" x14ac:dyDescent="0.2">
      <c r="D396" s="114"/>
      <c r="J396" s="114"/>
    </row>
    <row r="397" spans="4:10" ht="15.75" customHeight="1" x14ac:dyDescent="0.2">
      <c r="D397" s="114"/>
      <c r="J397" s="114"/>
    </row>
    <row r="398" spans="4:10" ht="15.75" customHeight="1" x14ac:dyDescent="0.2">
      <c r="D398" s="114"/>
      <c r="J398" s="114"/>
    </row>
    <row r="399" spans="4:10" ht="15.75" customHeight="1" x14ac:dyDescent="0.2">
      <c r="D399" s="114"/>
      <c r="J399" s="114"/>
    </row>
    <row r="400" spans="4:10" ht="15.75" customHeight="1" x14ac:dyDescent="0.2">
      <c r="D400" s="114"/>
      <c r="J400" s="114"/>
    </row>
    <row r="401" spans="4:10" ht="15.75" customHeight="1" x14ac:dyDescent="0.2">
      <c r="D401" s="114"/>
      <c r="J401" s="114"/>
    </row>
    <row r="402" spans="4:10" ht="15.75" customHeight="1" x14ac:dyDescent="0.2">
      <c r="D402" s="114"/>
      <c r="J402" s="114"/>
    </row>
    <row r="403" spans="4:10" ht="15.75" customHeight="1" x14ac:dyDescent="0.2">
      <c r="D403" s="114"/>
      <c r="J403" s="114"/>
    </row>
    <row r="404" spans="4:10" ht="15.75" customHeight="1" x14ac:dyDescent="0.2">
      <c r="D404" s="114"/>
      <c r="J404" s="114"/>
    </row>
    <row r="405" spans="4:10" ht="15.75" customHeight="1" x14ac:dyDescent="0.2">
      <c r="D405" s="114"/>
      <c r="J405" s="114"/>
    </row>
    <row r="406" spans="4:10" ht="15.75" customHeight="1" x14ac:dyDescent="0.2">
      <c r="D406" s="114"/>
      <c r="J406" s="114"/>
    </row>
    <row r="407" spans="4:10" ht="15.75" customHeight="1" x14ac:dyDescent="0.2">
      <c r="D407" s="114"/>
      <c r="J407" s="114"/>
    </row>
    <row r="408" spans="4:10" ht="15.75" customHeight="1" x14ac:dyDescent="0.2">
      <c r="D408" s="114"/>
      <c r="J408" s="114"/>
    </row>
    <row r="409" spans="4:10" ht="15.75" customHeight="1" x14ac:dyDescent="0.2">
      <c r="D409" s="114"/>
      <c r="J409" s="114"/>
    </row>
    <row r="410" spans="4:10" ht="15.75" customHeight="1" x14ac:dyDescent="0.2">
      <c r="D410" s="114"/>
      <c r="J410" s="114"/>
    </row>
    <row r="411" spans="4:10" ht="15.75" customHeight="1" x14ac:dyDescent="0.2">
      <c r="D411" s="114"/>
      <c r="J411" s="114"/>
    </row>
    <row r="412" spans="4:10" ht="15.75" customHeight="1" x14ac:dyDescent="0.2">
      <c r="D412" s="114"/>
      <c r="J412" s="114"/>
    </row>
    <row r="413" spans="4:10" ht="15.75" customHeight="1" x14ac:dyDescent="0.2">
      <c r="D413" s="114"/>
      <c r="J413" s="114"/>
    </row>
    <row r="414" spans="4:10" ht="15.75" customHeight="1" x14ac:dyDescent="0.2">
      <c r="D414" s="114"/>
      <c r="J414" s="114"/>
    </row>
    <row r="415" spans="4:10" ht="15.75" customHeight="1" x14ac:dyDescent="0.2">
      <c r="D415" s="114"/>
      <c r="J415" s="114"/>
    </row>
    <row r="416" spans="4:10" ht="15.75" customHeight="1" x14ac:dyDescent="0.2">
      <c r="D416" s="114"/>
      <c r="J416" s="114"/>
    </row>
    <row r="417" spans="4:10" ht="15.75" customHeight="1" x14ac:dyDescent="0.2">
      <c r="D417" s="114"/>
      <c r="J417" s="114"/>
    </row>
    <row r="418" spans="4:10" ht="15.75" customHeight="1" x14ac:dyDescent="0.2">
      <c r="D418" s="114"/>
      <c r="J418" s="114"/>
    </row>
    <row r="419" spans="4:10" ht="15.75" customHeight="1" x14ac:dyDescent="0.2">
      <c r="D419" s="114"/>
      <c r="J419" s="114"/>
    </row>
    <row r="420" spans="4:10" ht="15.75" customHeight="1" x14ac:dyDescent="0.2">
      <c r="D420" s="114"/>
      <c r="J420" s="114"/>
    </row>
    <row r="421" spans="4:10" ht="15.75" customHeight="1" x14ac:dyDescent="0.2">
      <c r="D421" s="114"/>
      <c r="J421" s="114"/>
    </row>
    <row r="422" spans="4:10" ht="15.75" customHeight="1" x14ac:dyDescent="0.2">
      <c r="D422" s="114"/>
      <c r="J422" s="114"/>
    </row>
    <row r="423" spans="4:10" ht="15.75" customHeight="1" x14ac:dyDescent="0.2">
      <c r="D423" s="114"/>
      <c r="J423" s="114"/>
    </row>
    <row r="424" spans="4:10" ht="15.75" customHeight="1" x14ac:dyDescent="0.2">
      <c r="D424" s="114"/>
      <c r="J424" s="114"/>
    </row>
    <row r="425" spans="4:10" ht="15.75" customHeight="1" x14ac:dyDescent="0.2">
      <c r="D425" s="114"/>
      <c r="J425" s="114"/>
    </row>
    <row r="426" spans="4:10" ht="15.75" customHeight="1" x14ac:dyDescent="0.2">
      <c r="D426" s="114"/>
      <c r="J426" s="114"/>
    </row>
    <row r="427" spans="4:10" ht="15.75" customHeight="1" x14ac:dyDescent="0.2">
      <c r="D427" s="114"/>
      <c r="J427" s="114"/>
    </row>
    <row r="428" spans="4:10" ht="15.75" customHeight="1" x14ac:dyDescent="0.2">
      <c r="D428" s="114"/>
      <c r="J428" s="114"/>
    </row>
    <row r="429" spans="4:10" ht="15.75" customHeight="1" x14ac:dyDescent="0.2">
      <c r="D429" s="114"/>
      <c r="J429" s="114"/>
    </row>
    <row r="430" spans="4:10" ht="15.75" customHeight="1" x14ac:dyDescent="0.2">
      <c r="D430" s="114"/>
      <c r="J430" s="114"/>
    </row>
    <row r="431" spans="4:10" ht="15.75" customHeight="1" x14ac:dyDescent="0.2">
      <c r="D431" s="114"/>
      <c r="J431" s="114"/>
    </row>
    <row r="432" spans="4:10" ht="15.75" customHeight="1" x14ac:dyDescent="0.2">
      <c r="D432" s="114"/>
      <c r="J432" s="114"/>
    </row>
    <row r="433" spans="4:10" ht="15.75" customHeight="1" x14ac:dyDescent="0.2">
      <c r="D433" s="114"/>
      <c r="J433" s="114"/>
    </row>
    <row r="434" spans="4:10" ht="15.75" customHeight="1" x14ac:dyDescent="0.2">
      <c r="D434" s="114"/>
      <c r="J434" s="114"/>
    </row>
    <row r="435" spans="4:10" ht="15.75" customHeight="1" x14ac:dyDescent="0.2">
      <c r="D435" s="114"/>
      <c r="J435" s="114"/>
    </row>
    <row r="436" spans="4:10" ht="15.75" customHeight="1" x14ac:dyDescent="0.2">
      <c r="D436" s="114"/>
      <c r="J436" s="114"/>
    </row>
    <row r="437" spans="4:10" ht="15.75" customHeight="1" x14ac:dyDescent="0.2">
      <c r="D437" s="114"/>
      <c r="J437" s="114"/>
    </row>
    <row r="438" spans="4:10" ht="15.75" customHeight="1" x14ac:dyDescent="0.2">
      <c r="D438" s="114"/>
      <c r="J438" s="114"/>
    </row>
    <row r="439" spans="4:10" ht="15.75" customHeight="1" x14ac:dyDescent="0.2">
      <c r="D439" s="114"/>
      <c r="J439" s="114"/>
    </row>
    <row r="440" spans="4:10" ht="15.75" customHeight="1" x14ac:dyDescent="0.2">
      <c r="D440" s="114"/>
      <c r="J440" s="114"/>
    </row>
    <row r="441" spans="4:10" ht="15.75" customHeight="1" x14ac:dyDescent="0.2">
      <c r="D441" s="114"/>
      <c r="J441" s="114"/>
    </row>
    <row r="442" spans="4:10" ht="15.75" customHeight="1" x14ac:dyDescent="0.2">
      <c r="D442" s="114"/>
      <c r="J442" s="114"/>
    </row>
    <row r="443" spans="4:10" ht="15.75" customHeight="1" x14ac:dyDescent="0.2">
      <c r="D443" s="114"/>
      <c r="J443" s="114"/>
    </row>
    <row r="444" spans="4:10" ht="15.75" customHeight="1" x14ac:dyDescent="0.2">
      <c r="D444" s="114"/>
      <c r="J444" s="114"/>
    </row>
    <row r="445" spans="4:10" ht="15.75" customHeight="1" x14ac:dyDescent="0.2">
      <c r="D445" s="114"/>
      <c r="J445" s="114"/>
    </row>
    <row r="446" spans="4:10" ht="15.75" customHeight="1" x14ac:dyDescent="0.2">
      <c r="D446" s="114"/>
      <c r="J446" s="114"/>
    </row>
    <row r="447" spans="4:10" ht="15.75" customHeight="1" x14ac:dyDescent="0.2">
      <c r="D447" s="114"/>
      <c r="J447" s="114"/>
    </row>
    <row r="448" spans="4:10" ht="15.75" customHeight="1" x14ac:dyDescent="0.2">
      <c r="D448" s="114"/>
      <c r="J448" s="114"/>
    </row>
    <row r="449" spans="4:10" ht="15.75" customHeight="1" x14ac:dyDescent="0.2">
      <c r="D449" s="114"/>
      <c r="J449" s="114"/>
    </row>
    <row r="450" spans="4:10" ht="15.75" customHeight="1" x14ac:dyDescent="0.2">
      <c r="D450" s="114"/>
      <c r="J450" s="114"/>
    </row>
    <row r="451" spans="4:10" ht="15.75" customHeight="1" x14ac:dyDescent="0.2">
      <c r="D451" s="114"/>
      <c r="J451" s="114"/>
    </row>
    <row r="452" spans="4:10" ht="15.75" customHeight="1" x14ac:dyDescent="0.2">
      <c r="D452" s="114"/>
      <c r="J452" s="114"/>
    </row>
    <row r="453" spans="4:10" ht="15.75" customHeight="1" x14ac:dyDescent="0.2">
      <c r="D453" s="114"/>
      <c r="J453" s="114"/>
    </row>
    <row r="454" spans="4:10" ht="15.75" customHeight="1" x14ac:dyDescent="0.2">
      <c r="D454" s="114"/>
      <c r="J454" s="114"/>
    </row>
    <row r="455" spans="4:10" ht="15.75" customHeight="1" x14ac:dyDescent="0.2">
      <c r="D455" s="114"/>
      <c r="J455" s="114"/>
    </row>
    <row r="456" spans="4:10" ht="15.75" customHeight="1" x14ac:dyDescent="0.2">
      <c r="D456" s="114"/>
      <c r="J456" s="114"/>
    </row>
    <row r="457" spans="4:10" ht="15.75" customHeight="1" x14ac:dyDescent="0.2">
      <c r="D457" s="114"/>
      <c r="J457" s="114"/>
    </row>
    <row r="458" spans="4:10" ht="15.75" customHeight="1" x14ac:dyDescent="0.2">
      <c r="D458" s="114"/>
      <c r="J458" s="114"/>
    </row>
    <row r="459" spans="4:10" ht="15.75" customHeight="1" x14ac:dyDescent="0.2">
      <c r="D459" s="114"/>
      <c r="J459" s="114"/>
    </row>
    <row r="460" spans="4:10" ht="15.75" customHeight="1" x14ac:dyDescent="0.2">
      <c r="D460" s="114"/>
      <c r="J460" s="114"/>
    </row>
    <row r="461" spans="4:10" ht="15.75" customHeight="1" x14ac:dyDescent="0.2">
      <c r="D461" s="114"/>
      <c r="J461" s="114"/>
    </row>
    <row r="462" spans="4:10" ht="15.75" customHeight="1" x14ac:dyDescent="0.2">
      <c r="D462" s="114"/>
      <c r="J462" s="114"/>
    </row>
    <row r="463" spans="4:10" ht="15.75" customHeight="1" x14ac:dyDescent="0.2">
      <c r="D463" s="114"/>
      <c r="J463" s="114"/>
    </row>
    <row r="464" spans="4:10" ht="15.75" customHeight="1" x14ac:dyDescent="0.2">
      <c r="D464" s="114"/>
      <c r="J464" s="114"/>
    </row>
    <row r="465" spans="4:10" ht="15.75" customHeight="1" x14ac:dyDescent="0.2">
      <c r="D465" s="114"/>
      <c r="J465" s="114"/>
    </row>
    <row r="466" spans="4:10" ht="15.75" customHeight="1" x14ac:dyDescent="0.2">
      <c r="D466" s="114"/>
      <c r="J466" s="114"/>
    </row>
    <row r="467" spans="4:10" ht="15.75" customHeight="1" x14ac:dyDescent="0.2">
      <c r="D467" s="114"/>
      <c r="J467" s="114"/>
    </row>
    <row r="468" spans="4:10" ht="15.75" customHeight="1" x14ac:dyDescent="0.2">
      <c r="D468" s="114"/>
      <c r="J468" s="114"/>
    </row>
    <row r="469" spans="4:10" ht="15.75" customHeight="1" x14ac:dyDescent="0.2">
      <c r="D469" s="114"/>
      <c r="J469" s="114"/>
    </row>
    <row r="470" spans="4:10" ht="15.75" customHeight="1" x14ac:dyDescent="0.2">
      <c r="D470" s="114"/>
      <c r="J470" s="114"/>
    </row>
    <row r="471" spans="4:10" ht="15.75" customHeight="1" x14ac:dyDescent="0.2">
      <c r="D471" s="114"/>
      <c r="J471" s="114"/>
    </row>
    <row r="472" spans="4:10" ht="15.75" customHeight="1" x14ac:dyDescent="0.2">
      <c r="D472" s="114"/>
      <c r="J472" s="114"/>
    </row>
    <row r="473" spans="4:10" ht="15.75" customHeight="1" x14ac:dyDescent="0.2">
      <c r="D473" s="114"/>
      <c r="J473" s="114"/>
    </row>
    <row r="474" spans="4:10" ht="15.75" customHeight="1" x14ac:dyDescent="0.2">
      <c r="D474" s="114"/>
      <c r="J474" s="114"/>
    </row>
    <row r="475" spans="4:10" ht="15.75" customHeight="1" x14ac:dyDescent="0.2">
      <c r="D475" s="114"/>
      <c r="J475" s="114"/>
    </row>
    <row r="476" spans="4:10" ht="15.75" customHeight="1" x14ac:dyDescent="0.2">
      <c r="D476" s="114"/>
      <c r="J476" s="114"/>
    </row>
    <row r="477" spans="4:10" ht="15.75" customHeight="1" x14ac:dyDescent="0.2">
      <c r="D477" s="114"/>
      <c r="J477" s="114"/>
    </row>
    <row r="478" spans="4:10" ht="15.75" customHeight="1" x14ac:dyDescent="0.2">
      <c r="D478" s="114"/>
      <c r="J478" s="114"/>
    </row>
    <row r="479" spans="4:10" ht="15.75" customHeight="1" x14ac:dyDescent="0.2">
      <c r="D479" s="114"/>
      <c r="J479" s="114"/>
    </row>
    <row r="480" spans="4:10" ht="15.75" customHeight="1" x14ac:dyDescent="0.2">
      <c r="D480" s="114"/>
      <c r="J480" s="114"/>
    </row>
    <row r="481" spans="4:10" ht="15.75" customHeight="1" x14ac:dyDescent="0.2">
      <c r="D481" s="114"/>
      <c r="J481" s="114"/>
    </row>
    <row r="482" spans="4:10" ht="15.75" customHeight="1" x14ac:dyDescent="0.2">
      <c r="D482" s="114"/>
      <c r="J482" s="114"/>
    </row>
    <row r="483" spans="4:10" ht="15.75" customHeight="1" x14ac:dyDescent="0.2">
      <c r="D483" s="114"/>
      <c r="J483" s="114"/>
    </row>
    <row r="484" spans="4:10" ht="15.75" customHeight="1" x14ac:dyDescent="0.2">
      <c r="D484" s="114"/>
      <c r="J484" s="114"/>
    </row>
    <row r="485" spans="4:10" ht="15.75" customHeight="1" x14ac:dyDescent="0.2">
      <c r="D485" s="114"/>
      <c r="J485" s="114"/>
    </row>
    <row r="486" spans="4:10" ht="15.75" customHeight="1" x14ac:dyDescent="0.2">
      <c r="D486" s="114"/>
      <c r="J486" s="114"/>
    </row>
    <row r="487" spans="4:10" ht="15.75" customHeight="1" x14ac:dyDescent="0.2">
      <c r="D487" s="114"/>
      <c r="J487" s="114"/>
    </row>
    <row r="488" spans="4:10" ht="15.75" customHeight="1" x14ac:dyDescent="0.2">
      <c r="D488" s="114"/>
      <c r="J488" s="114"/>
    </row>
    <row r="489" spans="4:10" ht="15.75" customHeight="1" x14ac:dyDescent="0.2">
      <c r="D489" s="114"/>
      <c r="J489" s="114"/>
    </row>
    <row r="490" spans="4:10" ht="15.75" customHeight="1" x14ac:dyDescent="0.2">
      <c r="D490" s="114"/>
      <c r="J490" s="114"/>
    </row>
    <row r="491" spans="4:10" ht="15.75" customHeight="1" x14ac:dyDescent="0.2">
      <c r="D491" s="114"/>
      <c r="J491" s="114"/>
    </row>
    <row r="492" spans="4:10" ht="15.75" customHeight="1" x14ac:dyDescent="0.2">
      <c r="D492" s="114"/>
      <c r="J492" s="114"/>
    </row>
    <row r="493" spans="4:10" ht="15.75" customHeight="1" x14ac:dyDescent="0.2">
      <c r="D493" s="114"/>
      <c r="J493" s="114"/>
    </row>
    <row r="494" spans="4:10" ht="15.75" customHeight="1" x14ac:dyDescent="0.2">
      <c r="D494" s="114"/>
      <c r="J494" s="114"/>
    </row>
    <row r="495" spans="4:10" ht="15.75" customHeight="1" x14ac:dyDescent="0.2">
      <c r="D495" s="114"/>
      <c r="J495" s="114"/>
    </row>
    <row r="496" spans="4:10" ht="15.75" customHeight="1" x14ac:dyDescent="0.2">
      <c r="D496" s="114"/>
      <c r="J496" s="114"/>
    </row>
    <row r="497" spans="4:10" ht="15.75" customHeight="1" x14ac:dyDescent="0.2">
      <c r="D497" s="114"/>
      <c r="J497" s="114"/>
    </row>
    <row r="498" spans="4:10" ht="15.75" customHeight="1" x14ac:dyDescent="0.2">
      <c r="D498" s="114"/>
      <c r="J498" s="114"/>
    </row>
    <row r="499" spans="4:10" ht="15.75" customHeight="1" x14ac:dyDescent="0.2">
      <c r="D499" s="114"/>
      <c r="J499" s="114"/>
    </row>
    <row r="500" spans="4:10" ht="15.75" customHeight="1" x14ac:dyDescent="0.2">
      <c r="D500" s="114"/>
      <c r="J500" s="114"/>
    </row>
    <row r="501" spans="4:10" ht="15.75" customHeight="1" x14ac:dyDescent="0.2">
      <c r="D501" s="114"/>
      <c r="J501" s="114"/>
    </row>
    <row r="502" spans="4:10" ht="15.75" customHeight="1" x14ac:dyDescent="0.2">
      <c r="D502" s="114"/>
      <c r="J502" s="114"/>
    </row>
    <row r="503" spans="4:10" ht="15.75" customHeight="1" x14ac:dyDescent="0.2">
      <c r="D503" s="114"/>
      <c r="J503" s="114"/>
    </row>
    <row r="504" spans="4:10" ht="15.75" customHeight="1" x14ac:dyDescent="0.2">
      <c r="D504" s="114"/>
      <c r="J504" s="114"/>
    </row>
    <row r="505" spans="4:10" ht="15.75" customHeight="1" x14ac:dyDescent="0.2">
      <c r="D505" s="114"/>
      <c r="J505" s="114"/>
    </row>
    <row r="506" spans="4:10" ht="15.75" customHeight="1" x14ac:dyDescent="0.2">
      <c r="D506" s="114"/>
      <c r="J506" s="114"/>
    </row>
    <row r="507" spans="4:10" ht="15.75" customHeight="1" x14ac:dyDescent="0.2">
      <c r="D507" s="114"/>
      <c r="J507" s="114"/>
    </row>
    <row r="508" spans="4:10" ht="15.75" customHeight="1" x14ac:dyDescent="0.2">
      <c r="D508" s="114"/>
      <c r="J508" s="114"/>
    </row>
    <row r="509" spans="4:10" ht="15.75" customHeight="1" x14ac:dyDescent="0.2">
      <c r="D509" s="114"/>
      <c r="J509" s="114"/>
    </row>
    <row r="510" spans="4:10" ht="15.75" customHeight="1" x14ac:dyDescent="0.2">
      <c r="D510" s="114"/>
      <c r="J510" s="114"/>
    </row>
    <row r="511" spans="4:10" ht="15.75" customHeight="1" x14ac:dyDescent="0.2">
      <c r="D511" s="114"/>
      <c r="J511" s="114"/>
    </row>
    <row r="512" spans="4:10" ht="15.75" customHeight="1" x14ac:dyDescent="0.2">
      <c r="D512" s="114"/>
      <c r="J512" s="114"/>
    </row>
    <row r="513" spans="4:10" ht="15.75" customHeight="1" x14ac:dyDescent="0.2">
      <c r="D513" s="114"/>
      <c r="J513" s="114"/>
    </row>
    <row r="514" spans="4:10" ht="15.75" customHeight="1" x14ac:dyDescent="0.2">
      <c r="D514" s="114"/>
      <c r="J514" s="114"/>
    </row>
    <row r="515" spans="4:10" ht="15.75" customHeight="1" x14ac:dyDescent="0.2">
      <c r="D515" s="114"/>
      <c r="J515" s="114"/>
    </row>
    <row r="516" spans="4:10" ht="15.75" customHeight="1" x14ac:dyDescent="0.2">
      <c r="D516" s="114"/>
      <c r="J516" s="114"/>
    </row>
    <row r="517" spans="4:10" ht="15.75" customHeight="1" x14ac:dyDescent="0.2">
      <c r="D517" s="114"/>
      <c r="J517" s="114"/>
    </row>
    <row r="518" spans="4:10" ht="15.75" customHeight="1" x14ac:dyDescent="0.2">
      <c r="D518" s="114"/>
      <c r="J518" s="114"/>
    </row>
    <row r="519" spans="4:10" ht="15.75" customHeight="1" x14ac:dyDescent="0.2">
      <c r="D519" s="114"/>
      <c r="J519" s="114"/>
    </row>
    <row r="520" spans="4:10" ht="15.75" customHeight="1" x14ac:dyDescent="0.2">
      <c r="D520" s="114"/>
      <c r="J520" s="114"/>
    </row>
    <row r="521" spans="4:10" ht="15.75" customHeight="1" x14ac:dyDescent="0.2">
      <c r="D521" s="114"/>
      <c r="J521" s="114"/>
    </row>
    <row r="522" spans="4:10" ht="15.75" customHeight="1" x14ac:dyDescent="0.2">
      <c r="D522" s="114"/>
      <c r="J522" s="114"/>
    </row>
    <row r="523" spans="4:10" ht="15.75" customHeight="1" x14ac:dyDescent="0.2">
      <c r="D523" s="114"/>
      <c r="J523" s="114"/>
    </row>
    <row r="524" spans="4:10" ht="15.75" customHeight="1" x14ac:dyDescent="0.2">
      <c r="D524" s="114"/>
      <c r="J524" s="114"/>
    </row>
    <row r="525" spans="4:10" ht="15.75" customHeight="1" x14ac:dyDescent="0.2">
      <c r="D525" s="114"/>
      <c r="J525" s="114"/>
    </row>
    <row r="526" spans="4:10" ht="15.75" customHeight="1" x14ac:dyDescent="0.2">
      <c r="D526" s="114"/>
      <c r="J526" s="114"/>
    </row>
    <row r="527" spans="4:10" ht="15.75" customHeight="1" x14ac:dyDescent="0.2">
      <c r="D527" s="114"/>
      <c r="J527" s="114"/>
    </row>
    <row r="528" spans="4:10" ht="15.75" customHeight="1" x14ac:dyDescent="0.2">
      <c r="D528" s="114"/>
      <c r="J528" s="114"/>
    </row>
    <row r="529" spans="4:10" ht="15.75" customHeight="1" x14ac:dyDescent="0.2">
      <c r="D529" s="114"/>
      <c r="J529" s="114"/>
    </row>
    <row r="530" spans="4:10" ht="15.75" customHeight="1" x14ac:dyDescent="0.2">
      <c r="D530" s="114"/>
      <c r="J530" s="114"/>
    </row>
    <row r="531" spans="4:10" ht="15.75" customHeight="1" x14ac:dyDescent="0.2">
      <c r="D531" s="114"/>
      <c r="J531" s="114"/>
    </row>
    <row r="532" spans="4:10" ht="15.75" customHeight="1" x14ac:dyDescent="0.2">
      <c r="D532" s="114"/>
      <c r="J532" s="114"/>
    </row>
    <row r="533" spans="4:10" ht="15.75" customHeight="1" x14ac:dyDescent="0.2">
      <c r="D533" s="114"/>
      <c r="J533" s="114"/>
    </row>
    <row r="534" spans="4:10" ht="15.75" customHeight="1" x14ac:dyDescent="0.2">
      <c r="D534" s="114"/>
      <c r="J534" s="114"/>
    </row>
    <row r="535" spans="4:10" ht="15.75" customHeight="1" x14ac:dyDescent="0.2">
      <c r="D535" s="114"/>
      <c r="J535" s="114"/>
    </row>
    <row r="536" spans="4:10" ht="15.75" customHeight="1" x14ac:dyDescent="0.2">
      <c r="D536" s="114"/>
      <c r="J536" s="114"/>
    </row>
    <row r="537" spans="4:10" ht="15.75" customHeight="1" x14ac:dyDescent="0.2">
      <c r="D537" s="114"/>
      <c r="J537" s="114"/>
    </row>
    <row r="538" spans="4:10" ht="15.75" customHeight="1" x14ac:dyDescent="0.2">
      <c r="D538" s="114"/>
      <c r="J538" s="114"/>
    </row>
    <row r="539" spans="4:10" ht="15.75" customHeight="1" x14ac:dyDescent="0.2">
      <c r="D539" s="114"/>
      <c r="J539" s="114"/>
    </row>
    <row r="540" spans="4:10" ht="15.75" customHeight="1" x14ac:dyDescent="0.2">
      <c r="D540" s="114"/>
      <c r="J540" s="114"/>
    </row>
    <row r="541" spans="4:10" ht="15.75" customHeight="1" x14ac:dyDescent="0.2">
      <c r="D541" s="114"/>
      <c r="J541" s="114"/>
    </row>
    <row r="542" spans="4:10" ht="15.75" customHeight="1" x14ac:dyDescent="0.2">
      <c r="D542" s="114"/>
      <c r="J542" s="114"/>
    </row>
    <row r="543" spans="4:10" ht="15.75" customHeight="1" x14ac:dyDescent="0.2">
      <c r="D543" s="114"/>
      <c r="J543" s="114"/>
    </row>
    <row r="544" spans="4:10" ht="15.75" customHeight="1" x14ac:dyDescent="0.2">
      <c r="D544" s="114"/>
      <c r="J544" s="114"/>
    </row>
    <row r="545" spans="4:10" ht="15.75" customHeight="1" x14ac:dyDescent="0.2">
      <c r="D545" s="114"/>
      <c r="J545" s="114"/>
    </row>
    <row r="546" spans="4:10" ht="15.75" customHeight="1" x14ac:dyDescent="0.2">
      <c r="D546" s="114"/>
      <c r="J546" s="114"/>
    </row>
    <row r="547" spans="4:10" ht="15.75" customHeight="1" x14ac:dyDescent="0.2">
      <c r="D547" s="114"/>
      <c r="J547" s="114"/>
    </row>
    <row r="548" spans="4:10" ht="15.75" customHeight="1" x14ac:dyDescent="0.2">
      <c r="D548" s="114"/>
      <c r="J548" s="114"/>
    </row>
    <row r="549" spans="4:10" ht="15.75" customHeight="1" x14ac:dyDescent="0.2">
      <c r="D549" s="114"/>
      <c r="J549" s="114"/>
    </row>
    <row r="550" spans="4:10" ht="15.75" customHeight="1" x14ac:dyDescent="0.2">
      <c r="D550" s="114"/>
      <c r="J550" s="114"/>
    </row>
    <row r="551" spans="4:10" ht="15.75" customHeight="1" x14ac:dyDescent="0.2">
      <c r="D551" s="114"/>
      <c r="J551" s="114"/>
    </row>
    <row r="552" spans="4:10" ht="15.75" customHeight="1" x14ac:dyDescent="0.2">
      <c r="D552" s="114"/>
      <c r="J552" s="114"/>
    </row>
    <row r="553" spans="4:10" ht="15.75" customHeight="1" x14ac:dyDescent="0.2">
      <c r="D553" s="114"/>
      <c r="J553" s="114"/>
    </row>
    <row r="554" spans="4:10" ht="15.75" customHeight="1" x14ac:dyDescent="0.2">
      <c r="D554" s="114"/>
      <c r="J554" s="114"/>
    </row>
    <row r="555" spans="4:10" ht="15.75" customHeight="1" x14ac:dyDescent="0.2">
      <c r="D555" s="114"/>
      <c r="J555" s="114"/>
    </row>
    <row r="556" spans="4:10" ht="15.75" customHeight="1" x14ac:dyDescent="0.2">
      <c r="D556" s="114"/>
      <c r="J556" s="114"/>
    </row>
    <row r="557" spans="4:10" ht="15.75" customHeight="1" x14ac:dyDescent="0.2">
      <c r="D557" s="114"/>
      <c r="J557" s="114"/>
    </row>
    <row r="558" spans="4:10" ht="15.75" customHeight="1" x14ac:dyDescent="0.2">
      <c r="D558" s="114"/>
      <c r="J558" s="114"/>
    </row>
    <row r="559" spans="4:10" ht="15.75" customHeight="1" x14ac:dyDescent="0.2">
      <c r="D559" s="114"/>
      <c r="J559" s="114"/>
    </row>
    <row r="560" spans="4:10" ht="15.75" customHeight="1" x14ac:dyDescent="0.2">
      <c r="D560" s="114"/>
      <c r="J560" s="114"/>
    </row>
    <row r="561" spans="4:10" ht="15.75" customHeight="1" x14ac:dyDescent="0.2">
      <c r="D561" s="114"/>
      <c r="J561" s="114"/>
    </row>
    <row r="562" spans="4:10" ht="15.75" customHeight="1" x14ac:dyDescent="0.2">
      <c r="D562" s="114"/>
      <c r="J562" s="114"/>
    </row>
    <row r="563" spans="4:10" ht="15.75" customHeight="1" x14ac:dyDescent="0.2">
      <c r="D563" s="114"/>
      <c r="J563" s="114"/>
    </row>
    <row r="564" spans="4:10" ht="15.75" customHeight="1" x14ac:dyDescent="0.2">
      <c r="D564" s="114"/>
      <c r="J564" s="114"/>
    </row>
    <row r="565" spans="4:10" ht="15.75" customHeight="1" x14ac:dyDescent="0.2">
      <c r="D565" s="114"/>
      <c r="J565" s="114"/>
    </row>
    <row r="566" spans="4:10" ht="15.75" customHeight="1" x14ac:dyDescent="0.2">
      <c r="D566" s="114"/>
      <c r="J566" s="114"/>
    </row>
    <row r="567" spans="4:10" ht="15.75" customHeight="1" x14ac:dyDescent="0.2">
      <c r="D567" s="114"/>
      <c r="J567" s="114"/>
    </row>
    <row r="568" spans="4:10" ht="15.75" customHeight="1" x14ac:dyDescent="0.2">
      <c r="D568" s="114"/>
      <c r="J568" s="114"/>
    </row>
    <row r="569" spans="4:10" ht="15.75" customHeight="1" x14ac:dyDescent="0.2">
      <c r="D569" s="114"/>
      <c r="J569" s="114"/>
    </row>
    <row r="570" spans="4:10" ht="15.75" customHeight="1" x14ac:dyDescent="0.2">
      <c r="D570" s="114"/>
      <c r="J570" s="114"/>
    </row>
    <row r="571" spans="4:10" ht="15.75" customHeight="1" x14ac:dyDescent="0.2">
      <c r="D571" s="114"/>
      <c r="J571" s="114"/>
    </row>
    <row r="572" spans="4:10" ht="15.75" customHeight="1" x14ac:dyDescent="0.2">
      <c r="D572" s="114"/>
      <c r="J572" s="114"/>
    </row>
    <row r="573" spans="4:10" ht="15.75" customHeight="1" x14ac:dyDescent="0.2">
      <c r="D573" s="114"/>
      <c r="J573" s="114"/>
    </row>
    <row r="574" spans="4:10" ht="15.75" customHeight="1" x14ac:dyDescent="0.2">
      <c r="D574" s="114"/>
      <c r="J574" s="114"/>
    </row>
    <row r="575" spans="4:10" ht="15.75" customHeight="1" x14ac:dyDescent="0.2">
      <c r="D575" s="114"/>
      <c r="J575" s="114"/>
    </row>
    <row r="576" spans="4:10" ht="15.75" customHeight="1" x14ac:dyDescent="0.2">
      <c r="D576" s="114"/>
      <c r="J576" s="114"/>
    </row>
    <row r="577" spans="4:10" ht="15.75" customHeight="1" x14ac:dyDescent="0.2">
      <c r="D577" s="114"/>
      <c r="J577" s="114"/>
    </row>
    <row r="578" spans="4:10" ht="15.75" customHeight="1" x14ac:dyDescent="0.2">
      <c r="D578" s="114"/>
      <c r="J578" s="114"/>
    </row>
    <row r="579" spans="4:10" ht="15.75" customHeight="1" x14ac:dyDescent="0.2">
      <c r="D579" s="114"/>
      <c r="J579" s="114"/>
    </row>
    <row r="580" spans="4:10" ht="15.75" customHeight="1" x14ac:dyDescent="0.2">
      <c r="D580" s="114"/>
      <c r="J580" s="114"/>
    </row>
    <row r="581" spans="4:10" ht="15.75" customHeight="1" x14ac:dyDescent="0.2">
      <c r="D581" s="114"/>
      <c r="J581" s="114"/>
    </row>
    <row r="582" spans="4:10" ht="15.75" customHeight="1" x14ac:dyDescent="0.2">
      <c r="D582" s="114"/>
      <c r="J582" s="114"/>
    </row>
    <row r="583" spans="4:10" ht="15.75" customHeight="1" x14ac:dyDescent="0.2">
      <c r="D583" s="114"/>
      <c r="J583" s="114"/>
    </row>
    <row r="584" spans="4:10" ht="15.75" customHeight="1" x14ac:dyDescent="0.2">
      <c r="D584" s="114"/>
      <c r="J584" s="114"/>
    </row>
    <row r="585" spans="4:10" ht="15.75" customHeight="1" x14ac:dyDescent="0.2">
      <c r="D585" s="114"/>
      <c r="J585" s="114"/>
    </row>
    <row r="586" spans="4:10" ht="15.75" customHeight="1" x14ac:dyDescent="0.2">
      <c r="D586" s="114"/>
      <c r="J586" s="114"/>
    </row>
    <row r="587" spans="4:10" ht="15.75" customHeight="1" x14ac:dyDescent="0.2">
      <c r="D587" s="114"/>
      <c r="J587" s="114"/>
    </row>
    <row r="588" spans="4:10" ht="15.75" customHeight="1" x14ac:dyDescent="0.2">
      <c r="D588" s="114"/>
      <c r="J588" s="114"/>
    </row>
    <row r="589" spans="4:10" ht="15.75" customHeight="1" x14ac:dyDescent="0.2">
      <c r="D589" s="114"/>
      <c r="J589" s="114"/>
    </row>
    <row r="590" spans="4:10" ht="15.75" customHeight="1" x14ac:dyDescent="0.2">
      <c r="D590" s="114"/>
      <c r="J590" s="114"/>
    </row>
    <row r="591" spans="4:10" ht="15.75" customHeight="1" x14ac:dyDescent="0.2">
      <c r="D591" s="114"/>
      <c r="J591" s="114"/>
    </row>
    <row r="592" spans="4:10" ht="15.75" customHeight="1" x14ac:dyDescent="0.2">
      <c r="D592" s="114"/>
      <c r="J592" s="114"/>
    </row>
    <row r="593" spans="4:10" ht="15.75" customHeight="1" x14ac:dyDescent="0.2">
      <c r="D593" s="114"/>
      <c r="J593" s="114"/>
    </row>
    <row r="594" spans="4:10" ht="15.75" customHeight="1" x14ac:dyDescent="0.2">
      <c r="D594" s="114"/>
      <c r="J594" s="114"/>
    </row>
    <row r="595" spans="4:10" ht="15.75" customHeight="1" x14ac:dyDescent="0.2">
      <c r="D595" s="114"/>
      <c r="J595" s="114"/>
    </row>
    <row r="596" spans="4:10" ht="15.75" customHeight="1" x14ac:dyDescent="0.2">
      <c r="D596" s="114"/>
      <c r="J596" s="114"/>
    </row>
    <row r="597" spans="4:10" ht="15.75" customHeight="1" x14ac:dyDescent="0.2">
      <c r="D597" s="114"/>
      <c r="J597" s="114"/>
    </row>
    <row r="598" spans="4:10" ht="15.75" customHeight="1" x14ac:dyDescent="0.2">
      <c r="D598" s="114"/>
      <c r="J598" s="114"/>
    </row>
    <row r="599" spans="4:10" ht="15.75" customHeight="1" x14ac:dyDescent="0.2">
      <c r="D599" s="114"/>
      <c r="J599" s="114"/>
    </row>
    <row r="600" spans="4:10" ht="15.75" customHeight="1" x14ac:dyDescent="0.2">
      <c r="D600" s="114"/>
      <c r="J600" s="114"/>
    </row>
    <row r="601" spans="4:10" ht="15.75" customHeight="1" x14ac:dyDescent="0.2">
      <c r="D601" s="114"/>
      <c r="J601" s="114"/>
    </row>
    <row r="602" spans="4:10" ht="15.75" customHeight="1" x14ac:dyDescent="0.2">
      <c r="D602" s="114"/>
      <c r="J602" s="114"/>
    </row>
    <row r="603" spans="4:10" ht="15.75" customHeight="1" x14ac:dyDescent="0.2">
      <c r="D603" s="114"/>
      <c r="J603" s="114"/>
    </row>
    <row r="604" spans="4:10" ht="15.75" customHeight="1" x14ac:dyDescent="0.2">
      <c r="D604" s="114"/>
      <c r="J604" s="114"/>
    </row>
    <row r="605" spans="4:10" ht="15.75" customHeight="1" x14ac:dyDescent="0.2">
      <c r="D605" s="114"/>
      <c r="J605" s="114"/>
    </row>
    <row r="606" spans="4:10" ht="15.75" customHeight="1" x14ac:dyDescent="0.2">
      <c r="D606" s="114"/>
      <c r="J606" s="114"/>
    </row>
    <row r="607" spans="4:10" ht="15.75" customHeight="1" x14ac:dyDescent="0.2">
      <c r="D607" s="114"/>
      <c r="J607" s="114"/>
    </row>
    <row r="608" spans="4:10" ht="15.75" customHeight="1" x14ac:dyDescent="0.2">
      <c r="D608" s="114"/>
      <c r="J608" s="114"/>
    </row>
    <row r="609" spans="4:10" ht="15.75" customHeight="1" x14ac:dyDescent="0.2">
      <c r="D609" s="114"/>
      <c r="J609" s="114"/>
    </row>
    <row r="610" spans="4:10" ht="15.75" customHeight="1" x14ac:dyDescent="0.2">
      <c r="D610" s="114"/>
      <c r="J610" s="114"/>
    </row>
    <row r="611" spans="4:10" ht="15.75" customHeight="1" x14ac:dyDescent="0.2">
      <c r="D611" s="114"/>
      <c r="J611" s="114"/>
    </row>
    <row r="612" spans="4:10" ht="15.75" customHeight="1" x14ac:dyDescent="0.2">
      <c r="D612" s="114"/>
      <c r="J612" s="114"/>
    </row>
    <row r="613" spans="4:10" ht="15.75" customHeight="1" x14ac:dyDescent="0.2">
      <c r="D613" s="114"/>
      <c r="J613" s="114"/>
    </row>
    <row r="614" spans="4:10" ht="15.75" customHeight="1" x14ac:dyDescent="0.2">
      <c r="D614" s="114"/>
      <c r="J614" s="114"/>
    </row>
    <row r="615" spans="4:10" ht="15.75" customHeight="1" x14ac:dyDescent="0.2">
      <c r="D615" s="114"/>
      <c r="J615" s="114"/>
    </row>
    <row r="616" spans="4:10" ht="15.75" customHeight="1" x14ac:dyDescent="0.2">
      <c r="D616" s="114"/>
      <c r="J616" s="114"/>
    </row>
    <row r="617" spans="4:10" ht="15.75" customHeight="1" x14ac:dyDescent="0.2">
      <c r="D617" s="114"/>
      <c r="J617" s="114"/>
    </row>
    <row r="618" spans="4:10" ht="15.75" customHeight="1" x14ac:dyDescent="0.2">
      <c r="D618" s="114"/>
      <c r="J618" s="114"/>
    </row>
    <row r="619" spans="4:10" ht="15.75" customHeight="1" x14ac:dyDescent="0.2">
      <c r="D619" s="114"/>
      <c r="J619" s="114"/>
    </row>
    <row r="620" spans="4:10" ht="15.75" customHeight="1" x14ac:dyDescent="0.2">
      <c r="D620" s="114"/>
      <c r="J620" s="114"/>
    </row>
    <row r="621" spans="4:10" ht="15.75" customHeight="1" x14ac:dyDescent="0.2">
      <c r="D621" s="114"/>
      <c r="J621" s="114"/>
    </row>
    <row r="622" spans="4:10" ht="15.75" customHeight="1" x14ac:dyDescent="0.2">
      <c r="D622" s="114"/>
      <c r="J622" s="114"/>
    </row>
    <row r="623" spans="4:10" ht="15.75" customHeight="1" x14ac:dyDescent="0.2">
      <c r="D623" s="114"/>
      <c r="J623" s="114"/>
    </row>
    <row r="624" spans="4:10" ht="15.75" customHeight="1" x14ac:dyDescent="0.2">
      <c r="D624" s="114"/>
      <c r="J624" s="114"/>
    </row>
    <row r="625" spans="4:10" ht="15.75" customHeight="1" x14ac:dyDescent="0.2">
      <c r="D625" s="114"/>
      <c r="J625" s="114"/>
    </row>
    <row r="626" spans="4:10" ht="15.75" customHeight="1" x14ac:dyDescent="0.2">
      <c r="D626" s="114"/>
      <c r="J626" s="114"/>
    </row>
    <row r="627" spans="4:10" ht="15.75" customHeight="1" x14ac:dyDescent="0.2">
      <c r="D627" s="114"/>
      <c r="J627" s="114"/>
    </row>
    <row r="628" spans="4:10" ht="15.75" customHeight="1" x14ac:dyDescent="0.2">
      <c r="D628" s="114"/>
      <c r="J628" s="114"/>
    </row>
    <row r="629" spans="4:10" ht="15.75" customHeight="1" x14ac:dyDescent="0.2">
      <c r="D629" s="114"/>
      <c r="J629" s="114"/>
    </row>
    <row r="630" spans="4:10" ht="15.75" customHeight="1" x14ac:dyDescent="0.2">
      <c r="D630" s="114"/>
      <c r="J630" s="114"/>
    </row>
    <row r="631" spans="4:10" ht="15.75" customHeight="1" x14ac:dyDescent="0.2">
      <c r="D631" s="114"/>
      <c r="J631" s="114"/>
    </row>
    <row r="632" spans="4:10" ht="15.75" customHeight="1" x14ac:dyDescent="0.2">
      <c r="D632" s="114"/>
      <c r="J632" s="114"/>
    </row>
    <row r="633" spans="4:10" ht="15.75" customHeight="1" x14ac:dyDescent="0.2">
      <c r="D633" s="114"/>
      <c r="J633" s="114"/>
    </row>
    <row r="634" spans="4:10" ht="15.75" customHeight="1" x14ac:dyDescent="0.2">
      <c r="D634" s="114"/>
      <c r="J634" s="114"/>
    </row>
    <row r="635" spans="4:10" ht="15.75" customHeight="1" x14ac:dyDescent="0.2">
      <c r="D635" s="114"/>
      <c r="J635" s="114"/>
    </row>
    <row r="636" spans="4:10" ht="15.75" customHeight="1" x14ac:dyDescent="0.2">
      <c r="D636" s="114"/>
      <c r="J636" s="114"/>
    </row>
    <row r="637" spans="4:10" ht="15.75" customHeight="1" x14ac:dyDescent="0.2">
      <c r="D637" s="114"/>
      <c r="J637" s="114"/>
    </row>
    <row r="638" spans="4:10" ht="15.75" customHeight="1" x14ac:dyDescent="0.2">
      <c r="D638" s="114"/>
      <c r="J638" s="114"/>
    </row>
    <row r="639" spans="4:10" ht="15.75" customHeight="1" x14ac:dyDescent="0.2">
      <c r="D639" s="114"/>
      <c r="J639" s="114"/>
    </row>
    <row r="640" spans="4:10" ht="15.75" customHeight="1" x14ac:dyDescent="0.2">
      <c r="D640" s="114"/>
      <c r="J640" s="114"/>
    </row>
    <row r="641" spans="4:10" ht="15.75" customHeight="1" x14ac:dyDescent="0.2">
      <c r="D641" s="114"/>
      <c r="J641" s="114"/>
    </row>
    <row r="642" spans="4:10" ht="15.75" customHeight="1" x14ac:dyDescent="0.2">
      <c r="D642" s="114"/>
      <c r="J642" s="114"/>
    </row>
    <row r="643" spans="4:10" ht="15.75" customHeight="1" x14ac:dyDescent="0.2">
      <c r="D643" s="114"/>
      <c r="J643" s="114"/>
    </row>
    <row r="644" spans="4:10" ht="15.75" customHeight="1" x14ac:dyDescent="0.2">
      <c r="D644" s="114"/>
      <c r="J644" s="114"/>
    </row>
    <row r="645" spans="4:10" ht="15.75" customHeight="1" x14ac:dyDescent="0.2">
      <c r="D645" s="114"/>
      <c r="J645" s="114"/>
    </row>
    <row r="646" spans="4:10" ht="15.75" customHeight="1" x14ac:dyDescent="0.2">
      <c r="D646" s="114"/>
      <c r="J646" s="114"/>
    </row>
    <row r="647" spans="4:10" ht="15.75" customHeight="1" x14ac:dyDescent="0.2">
      <c r="D647" s="114"/>
      <c r="J647" s="114"/>
    </row>
    <row r="648" spans="4:10" ht="15.75" customHeight="1" x14ac:dyDescent="0.2">
      <c r="D648" s="114"/>
      <c r="J648" s="114"/>
    </row>
    <row r="649" spans="4:10" ht="15.75" customHeight="1" x14ac:dyDescent="0.2">
      <c r="D649" s="114"/>
      <c r="J649" s="114"/>
    </row>
    <row r="650" spans="4:10" ht="15.75" customHeight="1" x14ac:dyDescent="0.2">
      <c r="D650" s="114"/>
      <c r="J650" s="114"/>
    </row>
    <row r="651" spans="4:10" ht="15.75" customHeight="1" x14ac:dyDescent="0.2">
      <c r="D651" s="114"/>
      <c r="J651" s="114"/>
    </row>
    <row r="652" spans="4:10" ht="15.75" customHeight="1" x14ac:dyDescent="0.2">
      <c r="D652" s="114"/>
      <c r="J652" s="114"/>
    </row>
    <row r="653" spans="4:10" ht="15.75" customHeight="1" x14ac:dyDescent="0.2">
      <c r="D653" s="114"/>
      <c r="J653" s="114"/>
    </row>
    <row r="654" spans="4:10" ht="15.75" customHeight="1" x14ac:dyDescent="0.2">
      <c r="D654" s="114"/>
      <c r="J654" s="114"/>
    </row>
    <row r="655" spans="4:10" ht="15.75" customHeight="1" x14ac:dyDescent="0.2">
      <c r="D655" s="114"/>
      <c r="J655" s="114"/>
    </row>
    <row r="656" spans="4:10" ht="15.75" customHeight="1" x14ac:dyDescent="0.2">
      <c r="D656" s="114"/>
      <c r="J656" s="114"/>
    </row>
    <row r="657" spans="4:10" ht="15.75" customHeight="1" x14ac:dyDescent="0.2">
      <c r="D657" s="114"/>
      <c r="J657" s="114"/>
    </row>
    <row r="658" spans="4:10" ht="15.75" customHeight="1" x14ac:dyDescent="0.2">
      <c r="D658" s="114"/>
      <c r="J658" s="114"/>
    </row>
    <row r="659" spans="4:10" ht="15.75" customHeight="1" x14ac:dyDescent="0.2">
      <c r="D659" s="114"/>
      <c r="J659" s="114"/>
    </row>
    <row r="660" spans="4:10" ht="15.75" customHeight="1" x14ac:dyDescent="0.2">
      <c r="D660" s="114"/>
      <c r="J660" s="114"/>
    </row>
    <row r="661" spans="4:10" ht="15.75" customHeight="1" x14ac:dyDescent="0.2">
      <c r="D661" s="114"/>
      <c r="J661" s="114"/>
    </row>
    <row r="662" spans="4:10" ht="15.75" customHeight="1" x14ac:dyDescent="0.2">
      <c r="D662" s="114"/>
      <c r="J662" s="114"/>
    </row>
    <row r="663" spans="4:10" ht="15.75" customHeight="1" x14ac:dyDescent="0.2">
      <c r="D663" s="114"/>
      <c r="J663" s="114"/>
    </row>
    <row r="664" spans="4:10" ht="15.75" customHeight="1" x14ac:dyDescent="0.2">
      <c r="D664" s="114"/>
      <c r="J664" s="114"/>
    </row>
    <row r="665" spans="4:10" ht="15.75" customHeight="1" x14ac:dyDescent="0.2">
      <c r="D665" s="114"/>
      <c r="J665" s="114"/>
    </row>
    <row r="666" spans="4:10" ht="15.75" customHeight="1" x14ac:dyDescent="0.2">
      <c r="D666" s="114"/>
      <c r="J666" s="114"/>
    </row>
    <row r="667" spans="4:10" ht="15.75" customHeight="1" x14ac:dyDescent="0.2">
      <c r="D667" s="114"/>
      <c r="J667" s="114"/>
    </row>
    <row r="668" spans="4:10" ht="15.75" customHeight="1" x14ac:dyDescent="0.2">
      <c r="D668" s="114"/>
      <c r="J668" s="114"/>
    </row>
    <row r="669" spans="4:10" ht="15.75" customHeight="1" x14ac:dyDescent="0.2">
      <c r="D669" s="114"/>
      <c r="J669" s="114"/>
    </row>
    <row r="670" spans="4:10" ht="15.75" customHeight="1" x14ac:dyDescent="0.2">
      <c r="D670" s="114"/>
      <c r="J670" s="114"/>
    </row>
    <row r="671" spans="4:10" ht="15.75" customHeight="1" x14ac:dyDescent="0.2">
      <c r="D671" s="114"/>
      <c r="J671" s="114"/>
    </row>
    <row r="672" spans="4:10" ht="15.75" customHeight="1" x14ac:dyDescent="0.2">
      <c r="D672" s="114"/>
      <c r="J672" s="114"/>
    </row>
    <row r="673" spans="4:10" ht="15.75" customHeight="1" x14ac:dyDescent="0.2">
      <c r="D673" s="114"/>
      <c r="J673" s="114"/>
    </row>
    <row r="674" spans="4:10" ht="15.75" customHeight="1" x14ac:dyDescent="0.2">
      <c r="D674" s="114"/>
      <c r="J674" s="114"/>
    </row>
    <row r="675" spans="4:10" ht="15.75" customHeight="1" x14ac:dyDescent="0.2">
      <c r="D675" s="114"/>
      <c r="J675" s="114"/>
    </row>
    <row r="676" spans="4:10" ht="15.75" customHeight="1" x14ac:dyDescent="0.2">
      <c r="D676" s="114"/>
      <c r="J676" s="114"/>
    </row>
    <row r="677" spans="4:10" ht="15.75" customHeight="1" x14ac:dyDescent="0.2">
      <c r="D677" s="114"/>
      <c r="J677" s="114"/>
    </row>
    <row r="678" spans="4:10" ht="15.75" customHeight="1" x14ac:dyDescent="0.2">
      <c r="D678" s="114"/>
      <c r="J678" s="114"/>
    </row>
    <row r="679" spans="4:10" ht="15.75" customHeight="1" x14ac:dyDescent="0.2">
      <c r="D679" s="114"/>
      <c r="J679" s="114"/>
    </row>
    <row r="680" spans="4:10" ht="15.75" customHeight="1" x14ac:dyDescent="0.2">
      <c r="D680" s="114"/>
      <c r="J680" s="114"/>
    </row>
    <row r="681" spans="4:10" ht="15.75" customHeight="1" x14ac:dyDescent="0.2">
      <c r="D681" s="114"/>
      <c r="J681" s="114"/>
    </row>
    <row r="682" spans="4:10" ht="15.75" customHeight="1" x14ac:dyDescent="0.2">
      <c r="D682" s="114"/>
      <c r="J682" s="114"/>
    </row>
    <row r="683" spans="4:10" ht="15.75" customHeight="1" x14ac:dyDescent="0.2">
      <c r="D683" s="114"/>
      <c r="J683" s="114"/>
    </row>
    <row r="684" spans="4:10" ht="15.75" customHeight="1" x14ac:dyDescent="0.2">
      <c r="D684" s="114"/>
      <c r="J684" s="114"/>
    </row>
    <row r="685" spans="4:10" ht="15.75" customHeight="1" x14ac:dyDescent="0.2">
      <c r="D685" s="114"/>
      <c r="J685" s="114"/>
    </row>
    <row r="686" spans="4:10" ht="15.75" customHeight="1" x14ac:dyDescent="0.2">
      <c r="D686" s="114"/>
      <c r="J686" s="114"/>
    </row>
    <row r="687" spans="4:10" ht="15.75" customHeight="1" x14ac:dyDescent="0.2">
      <c r="D687" s="114"/>
      <c r="J687" s="114"/>
    </row>
    <row r="688" spans="4:10" ht="15.75" customHeight="1" x14ac:dyDescent="0.2">
      <c r="D688" s="114"/>
      <c r="J688" s="114"/>
    </row>
    <row r="689" spans="4:10" ht="15.75" customHeight="1" x14ac:dyDescent="0.2">
      <c r="D689" s="114"/>
      <c r="J689" s="114"/>
    </row>
    <row r="690" spans="4:10" ht="15.75" customHeight="1" x14ac:dyDescent="0.2">
      <c r="D690" s="114"/>
      <c r="J690" s="114"/>
    </row>
    <row r="691" spans="4:10" ht="15.75" customHeight="1" x14ac:dyDescent="0.2">
      <c r="D691" s="114"/>
      <c r="J691" s="114"/>
    </row>
    <row r="692" spans="4:10" ht="15.75" customHeight="1" x14ac:dyDescent="0.2">
      <c r="D692" s="114"/>
      <c r="J692" s="114"/>
    </row>
    <row r="693" spans="4:10" ht="15.75" customHeight="1" x14ac:dyDescent="0.2">
      <c r="D693" s="114"/>
      <c r="J693" s="114"/>
    </row>
    <row r="694" spans="4:10" ht="15.75" customHeight="1" x14ac:dyDescent="0.2">
      <c r="D694" s="114"/>
      <c r="J694" s="114"/>
    </row>
    <row r="695" spans="4:10" ht="15.75" customHeight="1" x14ac:dyDescent="0.2">
      <c r="D695" s="114"/>
      <c r="J695" s="114"/>
    </row>
    <row r="696" spans="4:10" ht="15.75" customHeight="1" x14ac:dyDescent="0.2">
      <c r="D696" s="114"/>
      <c r="J696" s="114"/>
    </row>
    <row r="697" spans="4:10" ht="15.75" customHeight="1" x14ac:dyDescent="0.2">
      <c r="D697" s="114"/>
      <c r="J697" s="114"/>
    </row>
    <row r="698" spans="4:10" ht="15.75" customHeight="1" x14ac:dyDescent="0.2">
      <c r="D698" s="114"/>
      <c r="J698" s="114"/>
    </row>
    <row r="699" spans="4:10" ht="15.75" customHeight="1" x14ac:dyDescent="0.2">
      <c r="D699" s="114"/>
      <c r="J699" s="114"/>
    </row>
    <row r="700" spans="4:10" ht="15.75" customHeight="1" x14ac:dyDescent="0.2">
      <c r="D700" s="114"/>
      <c r="J700" s="114"/>
    </row>
    <row r="701" spans="4:10" ht="15.75" customHeight="1" x14ac:dyDescent="0.2">
      <c r="D701" s="114"/>
      <c r="J701" s="114"/>
    </row>
    <row r="702" spans="4:10" ht="15.75" customHeight="1" x14ac:dyDescent="0.2">
      <c r="D702" s="114"/>
      <c r="J702" s="114"/>
    </row>
    <row r="703" spans="4:10" ht="15.75" customHeight="1" x14ac:dyDescent="0.2">
      <c r="D703" s="114"/>
      <c r="J703" s="114"/>
    </row>
    <row r="704" spans="4:10" ht="15.75" customHeight="1" x14ac:dyDescent="0.2">
      <c r="D704" s="114"/>
      <c r="J704" s="114"/>
    </row>
    <row r="705" spans="4:10" ht="15.75" customHeight="1" x14ac:dyDescent="0.2">
      <c r="D705" s="114"/>
      <c r="J705" s="114"/>
    </row>
    <row r="706" spans="4:10" ht="15.75" customHeight="1" x14ac:dyDescent="0.2">
      <c r="D706" s="114"/>
      <c r="J706" s="114"/>
    </row>
    <row r="707" spans="4:10" ht="15.75" customHeight="1" x14ac:dyDescent="0.2">
      <c r="D707" s="114"/>
      <c r="J707" s="114"/>
    </row>
    <row r="708" spans="4:10" ht="15.75" customHeight="1" x14ac:dyDescent="0.2">
      <c r="D708" s="114"/>
      <c r="J708" s="114"/>
    </row>
    <row r="709" spans="4:10" ht="15.75" customHeight="1" x14ac:dyDescent="0.2">
      <c r="D709" s="114"/>
      <c r="J709" s="114"/>
    </row>
    <row r="710" spans="4:10" ht="15.75" customHeight="1" x14ac:dyDescent="0.2">
      <c r="D710" s="114"/>
      <c r="J710" s="114"/>
    </row>
    <row r="711" spans="4:10" ht="15.75" customHeight="1" x14ac:dyDescent="0.2">
      <c r="D711" s="114"/>
      <c r="J711" s="114"/>
    </row>
    <row r="712" spans="4:10" ht="15.75" customHeight="1" x14ac:dyDescent="0.2">
      <c r="D712" s="114"/>
      <c r="J712" s="114"/>
    </row>
    <row r="713" spans="4:10" ht="15.75" customHeight="1" x14ac:dyDescent="0.2">
      <c r="D713" s="114"/>
      <c r="J713" s="114"/>
    </row>
    <row r="714" spans="4:10" ht="15.75" customHeight="1" x14ac:dyDescent="0.2">
      <c r="D714" s="114"/>
      <c r="J714" s="114"/>
    </row>
    <row r="715" spans="4:10" ht="15.75" customHeight="1" x14ac:dyDescent="0.2">
      <c r="D715" s="114"/>
      <c r="J715" s="114"/>
    </row>
    <row r="716" spans="4:10" ht="15.75" customHeight="1" x14ac:dyDescent="0.2">
      <c r="D716" s="114"/>
      <c r="J716" s="114"/>
    </row>
    <row r="717" spans="4:10" ht="15.75" customHeight="1" x14ac:dyDescent="0.2">
      <c r="D717" s="114"/>
      <c r="J717" s="114"/>
    </row>
    <row r="718" spans="4:10" ht="15.75" customHeight="1" x14ac:dyDescent="0.2">
      <c r="D718" s="114"/>
      <c r="J718" s="114"/>
    </row>
    <row r="719" spans="4:10" ht="15.75" customHeight="1" x14ac:dyDescent="0.2">
      <c r="D719" s="114"/>
      <c r="J719" s="114"/>
    </row>
    <row r="720" spans="4:10" ht="15.75" customHeight="1" x14ac:dyDescent="0.2">
      <c r="D720" s="114"/>
      <c r="J720" s="114"/>
    </row>
    <row r="721" spans="4:10" ht="15.75" customHeight="1" x14ac:dyDescent="0.2">
      <c r="D721" s="114"/>
      <c r="J721" s="114"/>
    </row>
    <row r="722" spans="4:10" ht="15.75" customHeight="1" x14ac:dyDescent="0.2">
      <c r="D722" s="114"/>
      <c r="J722" s="114"/>
    </row>
    <row r="723" spans="4:10" ht="15.75" customHeight="1" x14ac:dyDescent="0.2">
      <c r="D723" s="114"/>
      <c r="J723" s="114"/>
    </row>
    <row r="724" spans="4:10" ht="15.75" customHeight="1" x14ac:dyDescent="0.2">
      <c r="D724" s="114"/>
      <c r="J724" s="114"/>
    </row>
    <row r="725" spans="4:10" ht="15.75" customHeight="1" x14ac:dyDescent="0.2">
      <c r="D725" s="114"/>
      <c r="J725" s="114"/>
    </row>
    <row r="726" spans="4:10" ht="15.75" customHeight="1" x14ac:dyDescent="0.2">
      <c r="D726" s="114"/>
      <c r="J726" s="114"/>
    </row>
    <row r="727" spans="4:10" ht="15.75" customHeight="1" x14ac:dyDescent="0.2">
      <c r="D727" s="114"/>
      <c r="J727" s="114"/>
    </row>
    <row r="728" spans="4:10" ht="15.75" customHeight="1" x14ac:dyDescent="0.2">
      <c r="D728" s="114"/>
      <c r="J728" s="114"/>
    </row>
    <row r="729" spans="4:10" ht="15.75" customHeight="1" x14ac:dyDescent="0.2">
      <c r="D729" s="114"/>
      <c r="J729" s="114"/>
    </row>
    <row r="730" spans="4:10" ht="15.75" customHeight="1" x14ac:dyDescent="0.2">
      <c r="D730" s="114"/>
      <c r="J730" s="114"/>
    </row>
    <row r="731" spans="4:10" ht="15.75" customHeight="1" x14ac:dyDescent="0.2">
      <c r="D731" s="114"/>
      <c r="J731" s="114"/>
    </row>
    <row r="732" spans="4:10" ht="15.75" customHeight="1" x14ac:dyDescent="0.2">
      <c r="D732" s="114"/>
      <c r="J732" s="114"/>
    </row>
    <row r="733" spans="4:10" ht="15.75" customHeight="1" x14ac:dyDescent="0.2">
      <c r="D733" s="114"/>
      <c r="J733" s="114"/>
    </row>
    <row r="734" spans="4:10" ht="15.75" customHeight="1" x14ac:dyDescent="0.2">
      <c r="D734" s="114"/>
      <c r="J734" s="114"/>
    </row>
    <row r="735" spans="4:10" ht="15.75" customHeight="1" x14ac:dyDescent="0.2">
      <c r="D735" s="114"/>
      <c r="J735" s="114"/>
    </row>
    <row r="736" spans="4:10" ht="15.75" customHeight="1" x14ac:dyDescent="0.2">
      <c r="D736" s="114"/>
      <c r="J736" s="114"/>
    </row>
    <row r="737" spans="4:10" ht="15.75" customHeight="1" x14ac:dyDescent="0.2">
      <c r="D737" s="114"/>
      <c r="J737" s="114"/>
    </row>
    <row r="738" spans="4:10" ht="15.75" customHeight="1" x14ac:dyDescent="0.2">
      <c r="D738" s="114"/>
      <c r="J738" s="114"/>
    </row>
    <row r="739" spans="4:10" ht="15.75" customHeight="1" x14ac:dyDescent="0.2">
      <c r="D739" s="114"/>
      <c r="J739" s="114"/>
    </row>
    <row r="740" spans="4:10" ht="15.75" customHeight="1" x14ac:dyDescent="0.2">
      <c r="D740" s="114"/>
      <c r="J740" s="114"/>
    </row>
    <row r="741" spans="4:10" ht="15.75" customHeight="1" x14ac:dyDescent="0.2">
      <c r="D741" s="114"/>
      <c r="J741" s="114"/>
    </row>
    <row r="742" spans="4:10" ht="15.75" customHeight="1" x14ac:dyDescent="0.2">
      <c r="D742" s="114"/>
      <c r="J742" s="114"/>
    </row>
    <row r="743" spans="4:10" ht="15.75" customHeight="1" x14ac:dyDescent="0.2">
      <c r="D743" s="114"/>
      <c r="J743" s="114"/>
    </row>
    <row r="744" spans="4:10" ht="15.75" customHeight="1" x14ac:dyDescent="0.2">
      <c r="D744" s="114"/>
      <c r="J744" s="114"/>
    </row>
    <row r="745" spans="4:10" ht="15.75" customHeight="1" x14ac:dyDescent="0.2">
      <c r="D745" s="114"/>
      <c r="J745" s="114"/>
    </row>
    <row r="746" spans="4:10" ht="15.75" customHeight="1" x14ac:dyDescent="0.2">
      <c r="D746" s="114"/>
      <c r="J746" s="114"/>
    </row>
    <row r="747" spans="4:10" ht="15.75" customHeight="1" x14ac:dyDescent="0.2">
      <c r="D747" s="114"/>
      <c r="J747" s="114"/>
    </row>
    <row r="748" spans="4:10" ht="15.75" customHeight="1" x14ac:dyDescent="0.2">
      <c r="D748" s="114"/>
      <c r="J748" s="114"/>
    </row>
    <row r="749" spans="4:10" ht="15.75" customHeight="1" x14ac:dyDescent="0.2">
      <c r="D749" s="114"/>
      <c r="J749" s="114"/>
    </row>
    <row r="750" spans="4:10" ht="15.75" customHeight="1" x14ac:dyDescent="0.2">
      <c r="D750" s="114"/>
      <c r="J750" s="114"/>
    </row>
    <row r="751" spans="4:10" ht="15.75" customHeight="1" x14ac:dyDescent="0.2">
      <c r="D751" s="114"/>
      <c r="J751" s="114"/>
    </row>
    <row r="752" spans="4:10" ht="15.75" customHeight="1" x14ac:dyDescent="0.2">
      <c r="D752" s="114"/>
      <c r="J752" s="114"/>
    </row>
    <row r="753" spans="4:10" ht="15.75" customHeight="1" x14ac:dyDescent="0.2">
      <c r="D753" s="114"/>
      <c r="J753" s="114"/>
    </row>
    <row r="754" spans="4:10" ht="15.75" customHeight="1" x14ac:dyDescent="0.2">
      <c r="D754" s="114"/>
      <c r="J754" s="114"/>
    </row>
    <row r="755" spans="4:10" ht="15.75" customHeight="1" x14ac:dyDescent="0.2">
      <c r="D755" s="114"/>
      <c r="J755" s="114"/>
    </row>
    <row r="756" spans="4:10" ht="15.75" customHeight="1" x14ac:dyDescent="0.2">
      <c r="D756" s="114"/>
      <c r="J756" s="114"/>
    </row>
    <row r="757" spans="4:10" ht="15.75" customHeight="1" x14ac:dyDescent="0.2">
      <c r="D757" s="114"/>
      <c r="J757" s="114"/>
    </row>
    <row r="758" spans="4:10" ht="15.75" customHeight="1" x14ac:dyDescent="0.2">
      <c r="D758" s="114"/>
      <c r="J758" s="114"/>
    </row>
    <row r="759" spans="4:10" ht="15.75" customHeight="1" x14ac:dyDescent="0.2">
      <c r="D759" s="114"/>
      <c r="J759" s="114"/>
    </row>
    <row r="760" spans="4:10" ht="15.75" customHeight="1" x14ac:dyDescent="0.2">
      <c r="D760" s="114"/>
      <c r="J760" s="114"/>
    </row>
    <row r="761" spans="4:10" ht="15.75" customHeight="1" x14ac:dyDescent="0.2">
      <c r="D761" s="114"/>
      <c r="J761" s="114"/>
    </row>
    <row r="762" spans="4:10" ht="15.75" customHeight="1" x14ac:dyDescent="0.2">
      <c r="D762" s="114"/>
      <c r="J762" s="114"/>
    </row>
    <row r="763" spans="4:10" ht="15.75" customHeight="1" x14ac:dyDescent="0.2">
      <c r="D763" s="114"/>
      <c r="J763" s="114"/>
    </row>
    <row r="764" spans="4:10" ht="15.75" customHeight="1" x14ac:dyDescent="0.2">
      <c r="D764" s="114"/>
      <c r="J764" s="114"/>
    </row>
    <row r="765" spans="4:10" ht="15.75" customHeight="1" x14ac:dyDescent="0.2">
      <c r="D765" s="114"/>
      <c r="J765" s="114"/>
    </row>
    <row r="766" spans="4:10" ht="15.75" customHeight="1" x14ac:dyDescent="0.2">
      <c r="D766" s="114"/>
      <c r="J766" s="114"/>
    </row>
    <row r="767" spans="4:10" ht="15.75" customHeight="1" x14ac:dyDescent="0.2">
      <c r="D767" s="114"/>
      <c r="J767" s="114"/>
    </row>
    <row r="768" spans="4:10" ht="15.75" customHeight="1" x14ac:dyDescent="0.2">
      <c r="D768" s="114"/>
      <c r="J768" s="114"/>
    </row>
    <row r="769" spans="4:10" ht="15.75" customHeight="1" x14ac:dyDescent="0.2">
      <c r="D769" s="114"/>
      <c r="J769" s="114"/>
    </row>
    <row r="770" spans="4:10" ht="15.75" customHeight="1" x14ac:dyDescent="0.2">
      <c r="D770" s="114"/>
      <c r="J770" s="114"/>
    </row>
    <row r="771" spans="4:10" ht="15.75" customHeight="1" x14ac:dyDescent="0.2">
      <c r="D771" s="114"/>
      <c r="J771" s="114"/>
    </row>
    <row r="772" spans="4:10" ht="15.75" customHeight="1" x14ac:dyDescent="0.2">
      <c r="D772" s="114"/>
      <c r="J772" s="114"/>
    </row>
    <row r="773" spans="4:10" ht="15.75" customHeight="1" x14ac:dyDescent="0.2">
      <c r="D773" s="114"/>
      <c r="J773" s="114"/>
    </row>
    <row r="774" spans="4:10" ht="15.75" customHeight="1" x14ac:dyDescent="0.2">
      <c r="D774" s="114"/>
      <c r="J774" s="114"/>
    </row>
    <row r="775" spans="4:10" ht="15.75" customHeight="1" x14ac:dyDescent="0.2">
      <c r="D775" s="114"/>
      <c r="J775" s="114"/>
    </row>
    <row r="776" spans="4:10" ht="15.75" customHeight="1" x14ac:dyDescent="0.2">
      <c r="D776" s="114"/>
      <c r="J776" s="114"/>
    </row>
    <row r="777" spans="4:10" ht="15.75" customHeight="1" x14ac:dyDescent="0.2">
      <c r="D777" s="114"/>
      <c r="J777" s="114"/>
    </row>
    <row r="778" spans="4:10" ht="15.75" customHeight="1" x14ac:dyDescent="0.2">
      <c r="D778" s="114"/>
      <c r="J778" s="114"/>
    </row>
    <row r="779" spans="4:10" ht="15.75" customHeight="1" x14ac:dyDescent="0.2">
      <c r="D779" s="114"/>
      <c r="J779" s="114"/>
    </row>
    <row r="780" spans="4:10" ht="15.75" customHeight="1" x14ac:dyDescent="0.2">
      <c r="D780" s="114"/>
      <c r="J780" s="114"/>
    </row>
    <row r="781" spans="4:10" ht="15.75" customHeight="1" x14ac:dyDescent="0.2">
      <c r="D781" s="114"/>
      <c r="J781" s="114"/>
    </row>
    <row r="782" spans="4:10" ht="15.75" customHeight="1" x14ac:dyDescent="0.2">
      <c r="D782" s="114"/>
      <c r="J782" s="114"/>
    </row>
    <row r="783" spans="4:10" ht="15.75" customHeight="1" x14ac:dyDescent="0.2">
      <c r="D783" s="114"/>
      <c r="J783" s="114"/>
    </row>
    <row r="784" spans="4:10" ht="15.75" customHeight="1" x14ac:dyDescent="0.2">
      <c r="D784" s="114"/>
      <c r="J784" s="114"/>
    </row>
    <row r="785" spans="4:10" ht="15.75" customHeight="1" x14ac:dyDescent="0.2">
      <c r="D785" s="114"/>
      <c r="J785" s="114"/>
    </row>
    <row r="786" spans="4:10" ht="15.75" customHeight="1" x14ac:dyDescent="0.2">
      <c r="D786" s="114"/>
      <c r="J786" s="114"/>
    </row>
    <row r="787" spans="4:10" ht="15.75" customHeight="1" x14ac:dyDescent="0.2">
      <c r="D787" s="114"/>
      <c r="J787" s="114"/>
    </row>
    <row r="788" spans="4:10" ht="15.75" customHeight="1" x14ac:dyDescent="0.2">
      <c r="D788" s="114"/>
      <c r="J788" s="114"/>
    </row>
    <row r="789" spans="4:10" ht="15.75" customHeight="1" x14ac:dyDescent="0.2">
      <c r="D789" s="114"/>
      <c r="J789" s="114"/>
    </row>
    <row r="790" spans="4:10" ht="15.75" customHeight="1" x14ac:dyDescent="0.2">
      <c r="D790" s="114"/>
      <c r="J790" s="114"/>
    </row>
    <row r="791" spans="4:10" ht="15.75" customHeight="1" x14ac:dyDescent="0.2">
      <c r="D791" s="114"/>
      <c r="J791" s="114"/>
    </row>
    <row r="792" spans="4:10" ht="15.75" customHeight="1" x14ac:dyDescent="0.2">
      <c r="D792" s="114"/>
      <c r="J792" s="114"/>
    </row>
    <row r="793" spans="4:10" ht="15.75" customHeight="1" x14ac:dyDescent="0.2">
      <c r="D793" s="114"/>
      <c r="J793" s="114"/>
    </row>
    <row r="794" spans="4:10" ht="15.75" customHeight="1" x14ac:dyDescent="0.2">
      <c r="D794" s="114"/>
      <c r="J794" s="114"/>
    </row>
    <row r="795" spans="4:10" ht="15.75" customHeight="1" x14ac:dyDescent="0.2">
      <c r="D795" s="114"/>
      <c r="J795" s="114"/>
    </row>
    <row r="796" spans="4:10" ht="15.75" customHeight="1" x14ac:dyDescent="0.2">
      <c r="D796" s="114"/>
      <c r="J796" s="114"/>
    </row>
    <row r="797" spans="4:10" ht="15.75" customHeight="1" x14ac:dyDescent="0.2">
      <c r="D797" s="114"/>
      <c r="J797" s="114"/>
    </row>
    <row r="798" spans="4:10" ht="15.75" customHeight="1" x14ac:dyDescent="0.2">
      <c r="D798" s="114"/>
      <c r="J798" s="114"/>
    </row>
    <row r="799" spans="4:10" ht="15.75" customHeight="1" x14ac:dyDescent="0.2">
      <c r="D799" s="114"/>
      <c r="J799" s="114"/>
    </row>
    <row r="800" spans="4:10" ht="15.75" customHeight="1" x14ac:dyDescent="0.2">
      <c r="D800" s="114"/>
      <c r="J800" s="114"/>
    </row>
    <row r="801" spans="4:10" ht="15.75" customHeight="1" x14ac:dyDescent="0.2">
      <c r="D801" s="114"/>
      <c r="J801" s="114"/>
    </row>
    <row r="802" spans="4:10" ht="15.75" customHeight="1" x14ac:dyDescent="0.2">
      <c r="D802" s="114"/>
      <c r="J802" s="114"/>
    </row>
    <row r="803" spans="4:10" ht="15.75" customHeight="1" x14ac:dyDescent="0.2">
      <c r="D803" s="114"/>
      <c r="J803" s="114"/>
    </row>
    <row r="804" spans="4:10" ht="15.75" customHeight="1" x14ac:dyDescent="0.2">
      <c r="D804" s="114"/>
      <c r="J804" s="114"/>
    </row>
    <row r="805" spans="4:10" ht="15.75" customHeight="1" x14ac:dyDescent="0.2">
      <c r="D805" s="114"/>
      <c r="J805" s="114"/>
    </row>
    <row r="806" spans="4:10" ht="15.75" customHeight="1" x14ac:dyDescent="0.2">
      <c r="D806" s="114"/>
      <c r="J806" s="114"/>
    </row>
    <row r="807" spans="4:10" ht="15.75" customHeight="1" x14ac:dyDescent="0.2">
      <c r="D807" s="114"/>
      <c r="J807" s="114"/>
    </row>
    <row r="808" spans="4:10" ht="15.75" customHeight="1" x14ac:dyDescent="0.2">
      <c r="D808" s="114"/>
      <c r="J808" s="114"/>
    </row>
    <row r="809" spans="4:10" ht="15.75" customHeight="1" x14ac:dyDescent="0.2">
      <c r="D809" s="114"/>
      <c r="J809" s="114"/>
    </row>
    <row r="810" spans="4:10" ht="15.75" customHeight="1" x14ac:dyDescent="0.2">
      <c r="D810" s="114"/>
      <c r="J810" s="114"/>
    </row>
    <row r="811" spans="4:10" ht="15.75" customHeight="1" x14ac:dyDescent="0.2">
      <c r="D811" s="114"/>
      <c r="J811" s="114"/>
    </row>
    <row r="812" spans="4:10" ht="15.75" customHeight="1" x14ac:dyDescent="0.2">
      <c r="D812" s="114"/>
      <c r="J812" s="114"/>
    </row>
    <row r="813" spans="4:10" ht="15.75" customHeight="1" x14ac:dyDescent="0.2">
      <c r="D813" s="114"/>
      <c r="J813" s="114"/>
    </row>
    <row r="814" spans="4:10" ht="15.75" customHeight="1" x14ac:dyDescent="0.2">
      <c r="D814" s="114"/>
      <c r="J814" s="114"/>
    </row>
    <row r="815" spans="4:10" ht="15.75" customHeight="1" x14ac:dyDescent="0.2">
      <c r="D815" s="114"/>
      <c r="J815" s="114"/>
    </row>
    <row r="816" spans="4:10" ht="15.75" customHeight="1" x14ac:dyDescent="0.2">
      <c r="D816" s="114"/>
      <c r="J816" s="114"/>
    </row>
    <row r="817" spans="4:10" ht="15.75" customHeight="1" x14ac:dyDescent="0.2">
      <c r="D817" s="114"/>
      <c r="J817" s="114"/>
    </row>
    <row r="818" spans="4:10" ht="15.75" customHeight="1" x14ac:dyDescent="0.2">
      <c r="D818" s="114"/>
      <c r="J818" s="114"/>
    </row>
    <row r="819" spans="4:10" ht="15.75" customHeight="1" x14ac:dyDescent="0.2">
      <c r="D819" s="114"/>
      <c r="J819" s="114"/>
    </row>
    <row r="820" spans="4:10" ht="15.75" customHeight="1" x14ac:dyDescent="0.2">
      <c r="D820" s="114"/>
      <c r="J820" s="114"/>
    </row>
    <row r="821" spans="4:10" ht="15.75" customHeight="1" x14ac:dyDescent="0.2">
      <c r="D821" s="114"/>
      <c r="J821" s="114"/>
    </row>
    <row r="822" spans="4:10" ht="15.75" customHeight="1" x14ac:dyDescent="0.2">
      <c r="D822" s="114"/>
      <c r="J822" s="114"/>
    </row>
    <row r="823" spans="4:10" ht="15.75" customHeight="1" x14ac:dyDescent="0.2">
      <c r="D823" s="114"/>
      <c r="J823" s="114"/>
    </row>
    <row r="824" spans="4:10" ht="15.75" customHeight="1" x14ac:dyDescent="0.2">
      <c r="D824" s="114"/>
      <c r="J824" s="114"/>
    </row>
    <row r="825" spans="4:10" ht="15.75" customHeight="1" x14ac:dyDescent="0.2">
      <c r="D825" s="114"/>
      <c r="J825" s="114"/>
    </row>
    <row r="826" spans="4:10" ht="15.75" customHeight="1" x14ac:dyDescent="0.2">
      <c r="D826" s="114"/>
      <c r="J826" s="114"/>
    </row>
    <row r="827" spans="4:10" ht="15.75" customHeight="1" x14ac:dyDescent="0.2">
      <c r="D827" s="114"/>
      <c r="J827" s="114"/>
    </row>
    <row r="828" spans="4:10" ht="15.75" customHeight="1" x14ac:dyDescent="0.2">
      <c r="D828" s="114"/>
      <c r="J828" s="114"/>
    </row>
    <row r="829" spans="4:10" ht="15.75" customHeight="1" x14ac:dyDescent="0.2">
      <c r="D829" s="114"/>
      <c r="J829" s="114"/>
    </row>
    <row r="830" spans="4:10" ht="15.75" customHeight="1" x14ac:dyDescent="0.2">
      <c r="D830" s="114"/>
      <c r="J830" s="114"/>
    </row>
    <row r="831" spans="4:10" ht="15.75" customHeight="1" x14ac:dyDescent="0.2">
      <c r="D831" s="114"/>
      <c r="J831" s="114"/>
    </row>
    <row r="832" spans="4:10" ht="15.75" customHeight="1" x14ac:dyDescent="0.2">
      <c r="D832" s="114"/>
      <c r="J832" s="114"/>
    </row>
    <row r="833" spans="4:10" ht="15.75" customHeight="1" x14ac:dyDescent="0.2">
      <c r="D833" s="114"/>
      <c r="J833" s="114"/>
    </row>
    <row r="834" spans="4:10" ht="15.75" customHeight="1" x14ac:dyDescent="0.2">
      <c r="D834" s="114"/>
      <c r="J834" s="114"/>
    </row>
    <row r="835" spans="4:10" ht="15.75" customHeight="1" x14ac:dyDescent="0.2">
      <c r="D835" s="114"/>
      <c r="J835" s="114"/>
    </row>
    <row r="836" spans="4:10" ht="15.75" customHeight="1" x14ac:dyDescent="0.2">
      <c r="D836" s="114"/>
      <c r="J836" s="114"/>
    </row>
    <row r="837" spans="4:10" ht="15.75" customHeight="1" x14ac:dyDescent="0.2">
      <c r="D837" s="114"/>
      <c r="J837" s="114"/>
    </row>
    <row r="838" spans="4:10" ht="15.75" customHeight="1" x14ac:dyDescent="0.2">
      <c r="D838" s="114"/>
      <c r="J838" s="114"/>
    </row>
    <row r="839" spans="4:10" ht="15.75" customHeight="1" x14ac:dyDescent="0.2">
      <c r="D839" s="114"/>
      <c r="J839" s="114"/>
    </row>
    <row r="840" spans="4:10" ht="15.75" customHeight="1" x14ac:dyDescent="0.2">
      <c r="D840" s="114"/>
      <c r="J840" s="114"/>
    </row>
    <row r="841" spans="4:10" ht="15.75" customHeight="1" x14ac:dyDescent="0.2">
      <c r="D841" s="114"/>
      <c r="J841" s="114"/>
    </row>
    <row r="842" spans="4:10" ht="15.75" customHeight="1" x14ac:dyDescent="0.2">
      <c r="D842" s="114"/>
      <c r="J842" s="114"/>
    </row>
    <row r="843" spans="4:10" ht="15.75" customHeight="1" x14ac:dyDescent="0.2">
      <c r="D843" s="114"/>
      <c r="J843" s="114"/>
    </row>
    <row r="844" spans="4:10" ht="15.75" customHeight="1" x14ac:dyDescent="0.2">
      <c r="D844" s="114"/>
      <c r="J844" s="114"/>
    </row>
    <row r="845" spans="4:10" ht="15.75" customHeight="1" x14ac:dyDescent="0.2">
      <c r="D845" s="114"/>
      <c r="J845" s="114"/>
    </row>
    <row r="846" spans="4:10" ht="15.75" customHeight="1" x14ac:dyDescent="0.2">
      <c r="D846" s="114"/>
      <c r="J846" s="114"/>
    </row>
    <row r="847" spans="4:10" ht="15.75" customHeight="1" x14ac:dyDescent="0.2">
      <c r="D847" s="114"/>
      <c r="J847" s="114"/>
    </row>
    <row r="848" spans="4:10" ht="15.75" customHeight="1" x14ac:dyDescent="0.2">
      <c r="D848" s="114"/>
      <c r="J848" s="114"/>
    </row>
    <row r="849" spans="4:10" ht="15.75" customHeight="1" x14ac:dyDescent="0.2">
      <c r="D849" s="114"/>
      <c r="J849" s="114"/>
    </row>
    <row r="850" spans="4:10" ht="15.75" customHeight="1" x14ac:dyDescent="0.2">
      <c r="D850" s="114"/>
      <c r="J850" s="114"/>
    </row>
    <row r="851" spans="4:10" ht="15.75" customHeight="1" x14ac:dyDescent="0.2">
      <c r="D851" s="114"/>
      <c r="J851" s="114"/>
    </row>
    <row r="852" spans="4:10" ht="15.75" customHeight="1" x14ac:dyDescent="0.2">
      <c r="D852" s="114"/>
      <c r="J852" s="114"/>
    </row>
    <row r="853" spans="4:10" ht="15.75" customHeight="1" x14ac:dyDescent="0.2">
      <c r="D853" s="114"/>
      <c r="J853" s="114"/>
    </row>
    <row r="854" spans="4:10" ht="15.75" customHeight="1" x14ac:dyDescent="0.2">
      <c r="D854" s="114"/>
      <c r="J854" s="114"/>
    </row>
    <row r="855" spans="4:10" ht="15.75" customHeight="1" x14ac:dyDescent="0.2">
      <c r="D855" s="114"/>
      <c r="J855" s="114"/>
    </row>
    <row r="856" spans="4:10" ht="15.75" customHeight="1" x14ac:dyDescent="0.2">
      <c r="D856" s="114"/>
      <c r="J856" s="114"/>
    </row>
    <row r="857" spans="4:10" ht="15.75" customHeight="1" x14ac:dyDescent="0.2">
      <c r="D857" s="114"/>
      <c r="J857" s="114"/>
    </row>
    <row r="858" spans="4:10" ht="15.75" customHeight="1" x14ac:dyDescent="0.2">
      <c r="D858" s="114"/>
      <c r="J858" s="114"/>
    </row>
    <row r="859" spans="4:10" ht="15.75" customHeight="1" x14ac:dyDescent="0.2">
      <c r="D859" s="114"/>
      <c r="J859" s="114"/>
    </row>
    <row r="860" spans="4:10" ht="15.75" customHeight="1" x14ac:dyDescent="0.2">
      <c r="D860" s="114"/>
      <c r="J860" s="114"/>
    </row>
    <row r="861" spans="4:10" ht="15.75" customHeight="1" x14ac:dyDescent="0.2">
      <c r="D861" s="114"/>
      <c r="J861" s="114"/>
    </row>
    <row r="862" spans="4:10" ht="15.75" customHeight="1" x14ac:dyDescent="0.2">
      <c r="D862" s="114"/>
      <c r="J862" s="114"/>
    </row>
    <row r="863" spans="4:10" ht="15.75" customHeight="1" x14ac:dyDescent="0.2">
      <c r="D863" s="114"/>
      <c r="J863" s="114"/>
    </row>
    <row r="864" spans="4:10" ht="15.75" customHeight="1" x14ac:dyDescent="0.2">
      <c r="D864" s="114"/>
      <c r="J864" s="114"/>
    </row>
    <row r="865" spans="4:10" ht="15.75" customHeight="1" x14ac:dyDescent="0.2">
      <c r="D865" s="114"/>
      <c r="J865" s="114"/>
    </row>
    <row r="866" spans="4:10" ht="15.75" customHeight="1" x14ac:dyDescent="0.2">
      <c r="D866" s="114"/>
      <c r="J866" s="114"/>
    </row>
    <row r="867" spans="4:10" ht="15.75" customHeight="1" x14ac:dyDescent="0.2">
      <c r="D867" s="114"/>
      <c r="J867" s="114"/>
    </row>
    <row r="868" spans="4:10" ht="15.75" customHeight="1" x14ac:dyDescent="0.2">
      <c r="D868" s="114"/>
      <c r="J868" s="114"/>
    </row>
    <row r="869" spans="4:10" ht="15.75" customHeight="1" x14ac:dyDescent="0.2">
      <c r="D869" s="114"/>
      <c r="J869" s="114"/>
    </row>
    <row r="870" spans="4:10" ht="15.75" customHeight="1" x14ac:dyDescent="0.2">
      <c r="D870" s="114"/>
      <c r="J870" s="114"/>
    </row>
    <row r="871" spans="4:10" ht="15.75" customHeight="1" x14ac:dyDescent="0.2">
      <c r="D871" s="114"/>
      <c r="J871" s="114"/>
    </row>
    <row r="872" spans="4:10" ht="15.75" customHeight="1" x14ac:dyDescent="0.2">
      <c r="D872" s="114"/>
      <c r="J872" s="114"/>
    </row>
    <row r="873" spans="4:10" ht="15.75" customHeight="1" x14ac:dyDescent="0.2">
      <c r="D873" s="114"/>
      <c r="J873" s="114"/>
    </row>
    <row r="874" spans="4:10" ht="15.75" customHeight="1" x14ac:dyDescent="0.2">
      <c r="D874" s="114"/>
      <c r="J874" s="114"/>
    </row>
    <row r="875" spans="4:10" ht="15.75" customHeight="1" x14ac:dyDescent="0.2">
      <c r="D875" s="114"/>
      <c r="J875" s="114"/>
    </row>
    <row r="876" spans="4:10" ht="15.75" customHeight="1" x14ac:dyDescent="0.2">
      <c r="D876" s="114"/>
      <c r="J876" s="114"/>
    </row>
    <row r="877" spans="4:10" ht="15.75" customHeight="1" x14ac:dyDescent="0.2">
      <c r="D877" s="114"/>
      <c r="J877" s="114"/>
    </row>
    <row r="878" spans="4:10" ht="15.75" customHeight="1" x14ac:dyDescent="0.2">
      <c r="D878" s="114"/>
      <c r="J878" s="114"/>
    </row>
    <row r="879" spans="4:10" ht="15.75" customHeight="1" x14ac:dyDescent="0.2">
      <c r="D879" s="114"/>
      <c r="J879" s="114"/>
    </row>
    <row r="880" spans="4:10" ht="15.75" customHeight="1" x14ac:dyDescent="0.2">
      <c r="D880" s="114"/>
      <c r="J880" s="114"/>
    </row>
    <row r="881" spans="4:10" ht="15.75" customHeight="1" x14ac:dyDescent="0.2">
      <c r="D881" s="114"/>
      <c r="J881" s="114"/>
    </row>
    <row r="882" spans="4:10" ht="15.75" customHeight="1" x14ac:dyDescent="0.2">
      <c r="D882" s="114"/>
      <c r="J882" s="114"/>
    </row>
    <row r="883" spans="4:10" ht="15.75" customHeight="1" x14ac:dyDescent="0.2">
      <c r="D883" s="114"/>
      <c r="J883" s="114"/>
    </row>
    <row r="884" spans="4:10" ht="15.75" customHeight="1" x14ac:dyDescent="0.2">
      <c r="D884" s="114"/>
      <c r="J884" s="114"/>
    </row>
    <row r="885" spans="4:10" ht="15.75" customHeight="1" x14ac:dyDescent="0.2">
      <c r="D885" s="114"/>
      <c r="J885" s="114"/>
    </row>
    <row r="886" spans="4:10" ht="15.75" customHeight="1" x14ac:dyDescent="0.2">
      <c r="D886" s="114"/>
      <c r="J886" s="114"/>
    </row>
    <row r="887" spans="4:10" ht="15.75" customHeight="1" x14ac:dyDescent="0.2">
      <c r="D887" s="114"/>
      <c r="J887" s="114"/>
    </row>
    <row r="888" spans="4:10" ht="15.75" customHeight="1" x14ac:dyDescent="0.2">
      <c r="D888" s="114"/>
      <c r="J888" s="114"/>
    </row>
    <row r="889" spans="4:10" ht="15.75" customHeight="1" x14ac:dyDescent="0.2">
      <c r="D889" s="114"/>
      <c r="J889" s="114"/>
    </row>
    <row r="890" spans="4:10" ht="15.75" customHeight="1" x14ac:dyDescent="0.2">
      <c r="D890" s="114"/>
      <c r="J890" s="114"/>
    </row>
    <row r="891" spans="4:10" ht="15.75" customHeight="1" x14ac:dyDescent="0.2">
      <c r="D891" s="114"/>
      <c r="J891" s="114"/>
    </row>
    <row r="892" spans="4:10" ht="15.75" customHeight="1" x14ac:dyDescent="0.2">
      <c r="D892" s="114"/>
      <c r="J892" s="114"/>
    </row>
    <row r="893" spans="4:10" ht="15.75" customHeight="1" x14ac:dyDescent="0.2">
      <c r="D893" s="114"/>
      <c r="J893" s="114"/>
    </row>
    <row r="894" spans="4:10" ht="15.75" customHeight="1" x14ac:dyDescent="0.2">
      <c r="D894" s="114"/>
      <c r="J894" s="114"/>
    </row>
    <row r="895" spans="4:10" ht="15.75" customHeight="1" x14ac:dyDescent="0.2">
      <c r="D895" s="114"/>
      <c r="J895" s="114"/>
    </row>
    <row r="896" spans="4:10" ht="15.75" customHeight="1" x14ac:dyDescent="0.2">
      <c r="D896" s="114"/>
      <c r="J896" s="114"/>
    </row>
    <row r="897" spans="4:10" ht="15.75" customHeight="1" x14ac:dyDescent="0.2">
      <c r="D897" s="114"/>
      <c r="J897" s="114"/>
    </row>
    <row r="898" spans="4:10" ht="15.75" customHeight="1" x14ac:dyDescent="0.2">
      <c r="D898" s="114"/>
      <c r="J898" s="114"/>
    </row>
    <row r="899" spans="4:10" ht="15.75" customHeight="1" x14ac:dyDescent="0.2">
      <c r="D899" s="114"/>
      <c r="J899" s="114"/>
    </row>
    <row r="900" spans="4:10" ht="15.75" customHeight="1" x14ac:dyDescent="0.2">
      <c r="D900" s="114"/>
      <c r="J900" s="114"/>
    </row>
    <row r="901" spans="4:10" ht="15.75" customHeight="1" x14ac:dyDescent="0.2">
      <c r="D901" s="114"/>
      <c r="J901" s="114"/>
    </row>
    <row r="902" spans="4:10" ht="15.75" customHeight="1" x14ac:dyDescent="0.2">
      <c r="D902" s="114"/>
      <c r="J902" s="114"/>
    </row>
    <row r="903" spans="4:10" ht="15.75" customHeight="1" x14ac:dyDescent="0.2">
      <c r="D903" s="114"/>
      <c r="J903" s="114"/>
    </row>
    <row r="904" spans="4:10" ht="15.75" customHeight="1" x14ac:dyDescent="0.2">
      <c r="D904" s="114"/>
      <c r="J904" s="114"/>
    </row>
    <row r="905" spans="4:10" ht="15.75" customHeight="1" x14ac:dyDescent="0.2">
      <c r="D905" s="114"/>
      <c r="J905" s="114"/>
    </row>
    <row r="906" spans="4:10" ht="15.75" customHeight="1" x14ac:dyDescent="0.2">
      <c r="D906" s="114"/>
      <c r="J906" s="114"/>
    </row>
    <row r="907" spans="4:10" ht="15.75" customHeight="1" x14ac:dyDescent="0.2">
      <c r="D907" s="114"/>
      <c r="J907" s="114"/>
    </row>
    <row r="908" spans="4:10" ht="15.75" customHeight="1" x14ac:dyDescent="0.2">
      <c r="D908" s="114"/>
      <c r="J908" s="114"/>
    </row>
    <row r="909" spans="4:10" ht="15.75" customHeight="1" x14ac:dyDescent="0.2">
      <c r="D909" s="114"/>
      <c r="J909" s="114"/>
    </row>
    <row r="910" spans="4:10" ht="15.75" customHeight="1" x14ac:dyDescent="0.2">
      <c r="D910" s="114"/>
      <c r="J910" s="114"/>
    </row>
    <row r="911" spans="4:10" ht="15.75" customHeight="1" x14ac:dyDescent="0.2">
      <c r="D911" s="114"/>
      <c r="J911" s="114"/>
    </row>
    <row r="912" spans="4:10" ht="15.75" customHeight="1" x14ac:dyDescent="0.2">
      <c r="D912" s="114"/>
      <c r="J912" s="114"/>
    </row>
    <row r="913" spans="4:10" ht="15.75" customHeight="1" x14ac:dyDescent="0.2">
      <c r="D913" s="114"/>
      <c r="J913" s="114"/>
    </row>
    <row r="914" spans="4:10" ht="15.75" customHeight="1" x14ac:dyDescent="0.2">
      <c r="D914" s="114"/>
      <c r="J914" s="114"/>
    </row>
    <row r="915" spans="4:10" ht="15.75" customHeight="1" x14ac:dyDescent="0.2">
      <c r="D915" s="114"/>
      <c r="J915" s="114"/>
    </row>
    <row r="916" spans="4:10" ht="15.75" customHeight="1" x14ac:dyDescent="0.2">
      <c r="D916" s="114"/>
      <c r="J916" s="114"/>
    </row>
    <row r="917" spans="4:10" ht="15.75" customHeight="1" x14ac:dyDescent="0.2">
      <c r="D917" s="114"/>
      <c r="J917" s="114"/>
    </row>
    <row r="918" spans="4:10" ht="15.75" customHeight="1" x14ac:dyDescent="0.2">
      <c r="D918" s="114"/>
      <c r="J918" s="114"/>
    </row>
    <row r="919" spans="4:10" ht="15.75" customHeight="1" x14ac:dyDescent="0.2">
      <c r="D919" s="114"/>
      <c r="J919" s="114"/>
    </row>
    <row r="920" spans="4:10" ht="15.75" customHeight="1" x14ac:dyDescent="0.2">
      <c r="D920" s="114"/>
      <c r="J920" s="114"/>
    </row>
    <row r="921" spans="4:10" ht="15.75" customHeight="1" x14ac:dyDescent="0.2">
      <c r="D921" s="114"/>
      <c r="J921" s="114"/>
    </row>
    <row r="922" spans="4:10" ht="15.75" customHeight="1" x14ac:dyDescent="0.2">
      <c r="D922" s="114"/>
      <c r="J922" s="114"/>
    </row>
    <row r="923" spans="4:10" ht="15.75" customHeight="1" x14ac:dyDescent="0.2">
      <c r="D923" s="114"/>
      <c r="J923" s="114"/>
    </row>
    <row r="924" spans="4:10" ht="15.75" customHeight="1" x14ac:dyDescent="0.2">
      <c r="D924" s="114"/>
      <c r="J924" s="114"/>
    </row>
    <row r="925" spans="4:10" ht="15.75" customHeight="1" x14ac:dyDescent="0.2">
      <c r="D925" s="114"/>
      <c r="J925" s="114"/>
    </row>
    <row r="926" spans="4:10" ht="15.75" customHeight="1" x14ac:dyDescent="0.2">
      <c r="D926" s="114"/>
      <c r="J926" s="114"/>
    </row>
    <row r="927" spans="4:10" ht="15.75" customHeight="1" x14ac:dyDescent="0.2">
      <c r="D927" s="114"/>
      <c r="J927" s="114"/>
    </row>
    <row r="928" spans="4:10" ht="15.75" customHeight="1" x14ac:dyDescent="0.2">
      <c r="D928" s="114"/>
      <c r="J928" s="114"/>
    </row>
    <row r="929" spans="4:10" ht="15.75" customHeight="1" x14ac:dyDescent="0.2">
      <c r="D929" s="114"/>
      <c r="J929" s="114"/>
    </row>
    <row r="930" spans="4:10" ht="15.75" customHeight="1" x14ac:dyDescent="0.2">
      <c r="D930" s="114"/>
      <c r="J930" s="114"/>
    </row>
    <row r="931" spans="4:10" ht="15.75" customHeight="1" x14ac:dyDescent="0.2">
      <c r="D931" s="114"/>
      <c r="J931" s="114"/>
    </row>
    <row r="932" spans="4:10" ht="15.75" customHeight="1" x14ac:dyDescent="0.2">
      <c r="D932" s="114"/>
      <c r="J932" s="114"/>
    </row>
    <row r="933" spans="4:10" ht="15.75" customHeight="1" x14ac:dyDescent="0.2">
      <c r="D933" s="114"/>
      <c r="J933" s="114"/>
    </row>
    <row r="934" spans="4:10" ht="15.75" customHeight="1" x14ac:dyDescent="0.2">
      <c r="D934" s="114"/>
      <c r="J934" s="114"/>
    </row>
    <row r="935" spans="4:10" ht="15.75" customHeight="1" x14ac:dyDescent="0.2">
      <c r="D935" s="114"/>
      <c r="J935" s="114"/>
    </row>
    <row r="936" spans="4:10" ht="15.75" customHeight="1" x14ac:dyDescent="0.2">
      <c r="D936" s="114"/>
      <c r="J936" s="114"/>
    </row>
    <row r="937" spans="4:10" ht="15.75" customHeight="1" x14ac:dyDescent="0.2">
      <c r="D937" s="114"/>
      <c r="J937" s="114"/>
    </row>
    <row r="938" spans="4:10" ht="15.75" customHeight="1" x14ac:dyDescent="0.2">
      <c r="D938" s="114"/>
      <c r="J938" s="114"/>
    </row>
    <row r="939" spans="4:10" ht="15.75" customHeight="1" x14ac:dyDescent="0.2">
      <c r="D939" s="114"/>
      <c r="J939" s="114"/>
    </row>
    <row r="940" spans="4:10" ht="15.75" customHeight="1" x14ac:dyDescent="0.2">
      <c r="D940" s="114"/>
      <c r="J940" s="114"/>
    </row>
    <row r="941" spans="4:10" ht="15.75" customHeight="1" x14ac:dyDescent="0.2">
      <c r="D941" s="114"/>
      <c r="J941" s="114"/>
    </row>
    <row r="942" spans="4:10" ht="15.75" customHeight="1" x14ac:dyDescent="0.2">
      <c r="D942" s="114"/>
      <c r="J942" s="114"/>
    </row>
    <row r="943" spans="4:10" ht="15.75" customHeight="1" x14ac:dyDescent="0.2">
      <c r="D943" s="114"/>
      <c r="J943" s="114"/>
    </row>
    <row r="944" spans="4:10" ht="15.75" customHeight="1" x14ac:dyDescent="0.2">
      <c r="D944" s="114"/>
      <c r="J944" s="114"/>
    </row>
    <row r="945" spans="4:10" ht="15.75" customHeight="1" x14ac:dyDescent="0.2">
      <c r="D945" s="114"/>
      <c r="J945" s="114"/>
    </row>
    <row r="946" spans="4:10" ht="15.75" customHeight="1" x14ac:dyDescent="0.2">
      <c r="D946" s="114"/>
      <c r="J946" s="114"/>
    </row>
    <row r="947" spans="4:10" ht="15.75" customHeight="1" x14ac:dyDescent="0.2">
      <c r="D947" s="114"/>
      <c r="J947" s="114"/>
    </row>
    <row r="948" spans="4:10" ht="15.75" customHeight="1" x14ac:dyDescent="0.2">
      <c r="D948" s="114"/>
      <c r="J948" s="114"/>
    </row>
    <row r="949" spans="4:10" ht="15.75" customHeight="1" x14ac:dyDescent="0.2">
      <c r="D949" s="114"/>
      <c r="J949" s="114"/>
    </row>
    <row r="950" spans="4:10" ht="15.75" customHeight="1" x14ac:dyDescent="0.2">
      <c r="D950" s="114"/>
      <c r="J950" s="114"/>
    </row>
    <row r="951" spans="4:10" ht="15.75" customHeight="1" x14ac:dyDescent="0.2">
      <c r="D951" s="114"/>
      <c r="J951" s="114"/>
    </row>
    <row r="952" spans="4:10" ht="15.75" customHeight="1" x14ac:dyDescent="0.2">
      <c r="D952" s="114"/>
      <c r="J952" s="114"/>
    </row>
    <row r="953" spans="4:10" ht="15.75" customHeight="1" x14ac:dyDescent="0.2">
      <c r="D953" s="114"/>
      <c r="J953" s="114"/>
    </row>
    <row r="954" spans="4:10" ht="15.75" customHeight="1" x14ac:dyDescent="0.2">
      <c r="D954" s="114"/>
      <c r="J954" s="114"/>
    </row>
    <row r="955" spans="4:10" ht="15.75" customHeight="1" x14ac:dyDescent="0.2">
      <c r="D955" s="114"/>
      <c r="J955" s="114"/>
    </row>
    <row r="956" spans="4:10" ht="15.75" customHeight="1" x14ac:dyDescent="0.2">
      <c r="D956" s="114"/>
      <c r="J956" s="114"/>
    </row>
    <row r="957" spans="4:10" ht="15.75" customHeight="1" x14ac:dyDescent="0.2">
      <c r="D957" s="114"/>
      <c r="J957" s="114"/>
    </row>
    <row r="958" spans="4:10" ht="15.75" customHeight="1" x14ac:dyDescent="0.2">
      <c r="D958" s="114"/>
      <c r="J958" s="114"/>
    </row>
    <row r="959" spans="4:10" ht="15.75" customHeight="1" x14ac:dyDescent="0.2">
      <c r="D959" s="114"/>
      <c r="J959" s="114"/>
    </row>
    <row r="960" spans="4:10" ht="15.75" customHeight="1" x14ac:dyDescent="0.2">
      <c r="D960" s="114"/>
      <c r="J960" s="114"/>
    </row>
    <row r="961" spans="4:10" ht="15.75" customHeight="1" x14ac:dyDescent="0.2">
      <c r="D961" s="114"/>
      <c r="J961" s="114"/>
    </row>
    <row r="962" spans="4:10" ht="15.75" customHeight="1" x14ac:dyDescent="0.2">
      <c r="D962" s="114"/>
      <c r="J962" s="114"/>
    </row>
    <row r="963" spans="4:10" ht="15.75" customHeight="1" x14ac:dyDescent="0.2">
      <c r="D963" s="114"/>
      <c r="J963" s="114"/>
    </row>
    <row r="964" spans="4:10" ht="15.75" customHeight="1" x14ac:dyDescent="0.2">
      <c r="D964" s="114"/>
      <c r="J964" s="114"/>
    </row>
    <row r="965" spans="4:10" ht="15.75" customHeight="1" x14ac:dyDescent="0.2">
      <c r="D965" s="114"/>
      <c r="J965" s="114"/>
    </row>
    <row r="966" spans="4:10" ht="15.75" customHeight="1" x14ac:dyDescent="0.2">
      <c r="D966" s="114"/>
      <c r="J966" s="114"/>
    </row>
    <row r="967" spans="4:10" ht="15.75" customHeight="1" x14ac:dyDescent="0.2">
      <c r="D967" s="114"/>
      <c r="J967" s="114"/>
    </row>
    <row r="968" spans="4:10" ht="15.75" customHeight="1" x14ac:dyDescent="0.2">
      <c r="D968" s="114"/>
      <c r="J968" s="114"/>
    </row>
    <row r="969" spans="4:10" ht="15.75" customHeight="1" x14ac:dyDescent="0.2">
      <c r="D969" s="114"/>
      <c r="J969" s="114"/>
    </row>
    <row r="970" spans="4:10" ht="15.75" customHeight="1" x14ac:dyDescent="0.2">
      <c r="D970" s="114"/>
      <c r="J970" s="114"/>
    </row>
    <row r="971" spans="4:10" ht="15.75" customHeight="1" x14ac:dyDescent="0.2">
      <c r="D971" s="114"/>
      <c r="J971" s="114"/>
    </row>
    <row r="972" spans="4:10" ht="15.75" customHeight="1" x14ac:dyDescent="0.2">
      <c r="D972" s="114"/>
      <c r="J972" s="114"/>
    </row>
    <row r="973" spans="4:10" ht="15.75" customHeight="1" x14ac:dyDescent="0.2">
      <c r="D973" s="114"/>
      <c r="J973" s="114"/>
    </row>
    <row r="974" spans="4:10" ht="15.75" customHeight="1" x14ac:dyDescent="0.2">
      <c r="D974" s="114"/>
      <c r="J974" s="114"/>
    </row>
    <row r="975" spans="4:10" ht="15.75" customHeight="1" x14ac:dyDescent="0.2">
      <c r="D975" s="114"/>
      <c r="J975" s="114"/>
    </row>
    <row r="976" spans="4:10" ht="15.75" customHeight="1" x14ac:dyDescent="0.2">
      <c r="D976" s="114"/>
      <c r="J976" s="114"/>
    </row>
    <row r="977" spans="4:10" ht="15.75" customHeight="1" x14ac:dyDescent="0.2">
      <c r="D977" s="114"/>
      <c r="J977" s="114"/>
    </row>
    <row r="978" spans="4:10" ht="15.75" customHeight="1" x14ac:dyDescent="0.2">
      <c r="D978" s="114"/>
      <c r="J978" s="114"/>
    </row>
    <row r="979" spans="4:10" ht="15.75" customHeight="1" x14ac:dyDescent="0.2">
      <c r="D979" s="114"/>
      <c r="J979" s="114"/>
    </row>
    <row r="980" spans="4:10" ht="15.75" customHeight="1" x14ac:dyDescent="0.2">
      <c r="D980" s="114"/>
      <c r="J980" s="114"/>
    </row>
    <row r="981" spans="4:10" ht="15.75" customHeight="1" x14ac:dyDescent="0.2">
      <c r="D981" s="114"/>
      <c r="J981" s="114"/>
    </row>
    <row r="982" spans="4:10" ht="15.75" customHeight="1" x14ac:dyDescent="0.2">
      <c r="D982" s="114"/>
      <c r="J982" s="114"/>
    </row>
    <row r="983" spans="4:10" ht="15.75" customHeight="1" x14ac:dyDescent="0.2">
      <c r="D983" s="114"/>
      <c r="J983" s="114"/>
    </row>
    <row r="984" spans="4:10" ht="15.75" customHeight="1" x14ac:dyDescent="0.2">
      <c r="D984" s="114"/>
      <c r="J984" s="114"/>
    </row>
    <row r="985" spans="4:10" ht="15.75" customHeight="1" x14ac:dyDescent="0.2">
      <c r="D985" s="114"/>
      <c r="J985" s="114"/>
    </row>
    <row r="986" spans="4:10" ht="15.75" customHeight="1" x14ac:dyDescent="0.2">
      <c r="D986" s="114"/>
      <c r="J986" s="114"/>
    </row>
    <row r="987" spans="4:10" ht="15.75" customHeight="1" x14ac:dyDescent="0.2">
      <c r="D987" s="114"/>
      <c r="J987" s="114"/>
    </row>
    <row r="988" spans="4:10" ht="15.75" customHeight="1" x14ac:dyDescent="0.2">
      <c r="D988" s="114"/>
      <c r="J988" s="114"/>
    </row>
    <row r="989" spans="4:10" ht="15.75" customHeight="1" x14ac:dyDescent="0.2">
      <c r="D989" s="114"/>
      <c r="J989" s="114"/>
    </row>
    <row r="990" spans="4:10" ht="15.75" customHeight="1" x14ac:dyDescent="0.2">
      <c r="D990" s="114"/>
      <c r="J990" s="114"/>
    </row>
    <row r="991" spans="4:10" ht="15.75" customHeight="1" x14ac:dyDescent="0.2">
      <c r="D991" s="114"/>
      <c r="J991" s="114"/>
    </row>
    <row r="992" spans="4:10" ht="15.75" customHeight="1" x14ac:dyDescent="0.2">
      <c r="D992" s="114"/>
      <c r="J992" s="114"/>
    </row>
    <row r="993" spans="4:10" ht="15.75" customHeight="1" x14ac:dyDescent="0.2">
      <c r="D993" s="114"/>
      <c r="J993" s="114"/>
    </row>
    <row r="994" spans="4:10" ht="15.75" customHeight="1" x14ac:dyDescent="0.2">
      <c r="D994" s="114"/>
      <c r="J994" s="114"/>
    </row>
    <row r="995" spans="4:10" ht="15.75" customHeight="1" x14ac:dyDescent="0.2">
      <c r="D995" s="114"/>
      <c r="J995" s="114"/>
    </row>
    <row r="996" spans="4:10" ht="15.75" customHeight="1" x14ac:dyDescent="0.2">
      <c r="D996" s="114"/>
      <c r="J996" s="114"/>
    </row>
    <row r="997" spans="4:10" ht="15.75" customHeight="1" x14ac:dyDescent="0.2">
      <c r="D997" s="114"/>
      <c r="J997" s="114"/>
    </row>
    <row r="998" spans="4:10" ht="15.75" customHeight="1" x14ac:dyDescent="0.2">
      <c r="D998" s="114"/>
      <c r="J998" s="114"/>
    </row>
    <row r="999" spans="4:10" ht="15.75" customHeight="1" x14ac:dyDescent="0.2">
      <c r="D999" s="114"/>
      <c r="J999" s="114"/>
    </row>
    <row r="1000" spans="4:10" ht="15.75" customHeight="1" x14ac:dyDescent="0.2">
      <c r="D1000" s="114"/>
      <c r="J1000" s="114"/>
    </row>
  </sheetData>
  <mergeCells count="5">
    <mergeCell ref="B4:B5"/>
    <mergeCell ref="C4:C5"/>
    <mergeCell ref="D4:I4"/>
    <mergeCell ref="J4:O4"/>
    <mergeCell ref="B53:C5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I1000"/>
  <sheetViews>
    <sheetView workbookViewId="0"/>
  </sheetViews>
  <sheetFormatPr defaultColWidth="12.5703125" defaultRowHeight="15" customHeight="1" x14ac:dyDescent="0.2"/>
  <cols>
    <col min="1" max="1" width="12.5703125" customWidth="1"/>
    <col min="2" max="2" width="22.42578125" customWidth="1"/>
    <col min="3" max="6" width="12.5703125" customWidth="1"/>
    <col min="8" max="8" width="13.7109375" customWidth="1"/>
  </cols>
  <sheetData>
    <row r="1" spans="1:9" ht="15.75" customHeight="1" x14ac:dyDescent="0.2">
      <c r="A1" s="171" t="s">
        <v>364</v>
      </c>
    </row>
    <row r="2" spans="1:9" ht="15.75" customHeight="1" x14ac:dyDescent="0.2"/>
    <row r="3" spans="1:9" ht="15.75" customHeight="1" x14ac:dyDescent="0.2"/>
    <row r="4" spans="1:9" ht="15.75" customHeight="1" x14ac:dyDescent="0.2">
      <c r="B4" s="173"/>
      <c r="C4" s="174">
        <v>45748</v>
      </c>
      <c r="D4" s="174">
        <v>45778</v>
      </c>
      <c r="E4" s="174">
        <v>45809</v>
      </c>
      <c r="F4" s="174">
        <v>45839</v>
      </c>
      <c r="G4" s="174">
        <v>45870</v>
      </c>
      <c r="H4" s="174">
        <v>45901</v>
      </c>
      <c r="I4" s="174" t="s">
        <v>322</v>
      </c>
    </row>
    <row r="5" spans="1:9" ht="15.75" customHeight="1" x14ac:dyDescent="0.2">
      <c r="B5" s="175" t="s">
        <v>21</v>
      </c>
      <c r="C5" s="176"/>
      <c r="D5" s="176"/>
      <c r="E5" s="176"/>
      <c r="F5" s="176"/>
      <c r="G5" s="176"/>
      <c r="H5" s="176"/>
      <c r="I5" s="176"/>
    </row>
    <row r="6" spans="1:9" ht="15.75" customHeight="1" x14ac:dyDescent="0.2">
      <c r="B6" s="175" t="s">
        <v>22</v>
      </c>
      <c r="C6" s="176"/>
      <c r="D6" s="176"/>
      <c r="E6" s="176"/>
      <c r="F6" s="176"/>
      <c r="G6" s="176"/>
      <c r="H6" s="176"/>
      <c r="I6" s="176"/>
    </row>
    <row r="7" spans="1:9" ht="15.75" customHeight="1" x14ac:dyDescent="0.2">
      <c r="B7" s="175" t="s">
        <v>23</v>
      </c>
      <c r="C7" s="176">
        <f>MSBC!D29</f>
        <v>510529.82</v>
      </c>
      <c r="D7" s="176" t="e">
        <f>MSBC!#REF!</f>
        <v>#REF!</v>
      </c>
      <c r="E7" s="176" t="e">
        <f>MSBC!#REF!</f>
        <v>#REF!</v>
      </c>
      <c r="F7" s="176" t="e">
        <f>MSBC!#REF!</f>
        <v>#REF!</v>
      </c>
      <c r="G7" s="176" t="e">
        <f>MSBC!#REF!</f>
        <v>#REF!</v>
      </c>
      <c r="H7" s="176" t="e">
        <f>MSBC!#REF!</f>
        <v>#REF!</v>
      </c>
      <c r="I7" s="176" t="e">
        <f>SUM(C7:H7)</f>
        <v>#REF!</v>
      </c>
    </row>
    <row r="8" spans="1:9" ht="15.75" customHeight="1" x14ac:dyDescent="0.2">
      <c r="B8" s="175" t="s">
        <v>24</v>
      </c>
      <c r="C8" s="176"/>
      <c r="D8" s="176"/>
      <c r="E8" s="176"/>
      <c r="F8" s="176"/>
      <c r="G8" s="176"/>
      <c r="H8" s="176"/>
      <c r="I8" s="176"/>
    </row>
    <row r="9" spans="1:9" ht="15.75" customHeight="1" x14ac:dyDescent="0.2">
      <c r="B9" s="175" t="s">
        <v>26</v>
      </c>
      <c r="C9" s="177">
        <f t="shared" ref="C9:H9" si="0">SUM(C5:C8)</f>
        <v>510529.82</v>
      </c>
      <c r="D9" s="177" t="e">
        <f t="shared" si="0"/>
        <v>#REF!</v>
      </c>
      <c r="E9" s="177" t="e">
        <f t="shared" si="0"/>
        <v>#REF!</v>
      </c>
      <c r="F9" s="177" t="e">
        <f t="shared" si="0"/>
        <v>#REF!</v>
      </c>
      <c r="G9" s="177" t="e">
        <f t="shared" si="0"/>
        <v>#REF!</v>
      </c>
      <c r="H9" s="177" t="e">
        <f t="shared" si="0"/>
        <v>#REF!</v>
      </c>
      <c r="I9" s="177" t="e">
        <f>SUM(C9:H9)</f>
        <v>#REF!</v>
      </c>
    </row>
    <row r="10" spans="1:9" ht="15.75" customHeight="1" x14ac:dyDescent="0.2">
      <c r="B10" s="175"/>
      <c r="C10" s="176"/>
      <c r="D10" s="176"/>
      <c r="E10" s="176"/>
      <c r="F10" s="176"/>
      <c r="G10" s="176"/>
      <c r="H10" s="176"/>
      <c r="I10" s="176"/>
    </row>
    <row r="11" spans="1:9" ht="15.75" customHeight="1" x14ac:dyDescent="0.2">
      <c r="B11" s="175" t="s">
        <v>28</v>
      </c>
      <c r="C11" s="176">
        <f>MSBC!D47</f>
        <v>820110.34789473191</v>
      </c>
      <c r="D11" s="176" t="e">
        <f>MSBC!#REF!</f>
        <v>#REF!</v>
      </c>
      <c r="E11" s="176" t="e">
        <f>MSBC!#REF!</f>
        <v>#REF!</v>
      </c>
      <c r="F11" s="176" t="e">
        <f>MSBC!#REF!</f>
        <v>#REF!</v>
      </c>
      <c r="G11" s="176" t="e">
        <f>MSBC!#REF!</f>
        <v>#REF!</v>
      </c>
      <c r="H11" s="176" t="e">
        <f>MSBC!#REF!</f>
        <v>#REF!</v>
      </c>
      <c r="I11" s="176" t="e">
        <f t="shared" ref="I11:I13" si="1">SUM(C11:H11)</f>
        <v>#REF!</v>
      </c>
    </row>
    <row r="12" spans="1:9" ht="15.75" customHeight="1" x14ac:dyDescent="0.2">
      <c r="B12" s="175" t="s">
        <v>29</v>
      </c>
      <c r="C12" s="176">
        <f>MSBC!D48</f>
        <v>93423.5</v>
      </c>
      <c r="D12" s="176" t="e">
        <f>MSBC!#REF!</f>
        <v>#REF!</v>
      </c>
      <c r="E12" s="176" t="e">
        <f>MSBC!#REF!</f>
        <v>#REF!</v>
      </c>
      <c r="F12" s="176" t="e">
        <f>MSBC!#REF!</f>
        <v>#REF!</v>
      </c>
      <c r="G12" s="176" t="e">
        <f>MSBC!#REF!</f>
        <v>#REF!</v>
      </c>
      <c r="H12" s="176" t="e">
        <f>MSBC!#REF!</f>
        <v>#REF!</v>
      </c>
      <c r="I12" s="176" t="e">
        <f t="shared" si="1"/>
        <v>#REF!</v>
      </c>
    </row>
    <row r="13" spans="1:9" ht="15.75" customHeight="1" x14ac:dyDescent="0.2">
      <c r="B13" s="175" t="s">
        <v>365</v>
      </c>
      <c r="C13" s="176" t="e">
        <f>MSBC!#REF!</f>
        <v>#REF!</v>
      </c>
      <c r="D13" s="176" t="e">
        <f>MSBC!#REF!</f>
        <v>#REF!</v>
      </c>
      <c r="E13" s="176" t="e">
        <f>MSBC!#REF!</f>
        <v>#REF!</v>
      </c>
      <c r="F13" s="176" t="e">
        <f>MSBC!#REF!</f>
        <v>#REF!</v>
      </c>
      <c r="G13" s="176" t="e">
        <f>MSBC!#REF!</f>
        <v>#REF!</v>
      </c>
      <c r="H13" s="176" t="e">
        <f>MSBC!#REF!</f>
        <v>#REF!</v>
      </c>
      <c r="I13" s="176" t="e">
        <f t="shared" si="1"/>
        <v>#REF!</v>
      </c>
    </row>
    <row r="14" spans="1:9" ht="15.75" customHeight="1" x14ac:dyDescent="0.2">
      <c r="B14" s="175" t="s">
        <v>30</v>
      </c>
      <c r="C14" s="177" t="e">
        <f t="shared" ref="C14:I14" si="2">SUM(C11:C13)</f>
        <v>#REF!</v>
      </c>
      <c r="D14" s="177" t="e">
        <f t="shared" si="2"/>
        <v>#REF!</v>
      </c>
      <c r="E14" s="177" t="e">
        <f t="shared" si="2"/>
        <v>#REF!</v>
      </c>
      <c r="F14" s="177" t="e">
        <f t="shared" si="2"/>
        <v>#REF!</v>
      </c>
      <c r="G14" s="177" t="e">
        <f t="shared" si="2"/>
        <v>#REF!</v>
      </c>
      <c r="H14" s="177" t="e">
        <f t="shared" si="2"/>
        <v>#REF!</v>
      </c>
      <c r="I14" s="177" t="e">
        <f t="shared" si="2"/>
        <v>#REF!</v>
      </c>
    </row>
    <row r="15" spans="1:9" ht="15.75" customHeight="1" x14ac:dyDescent="0.2">
      <c r="B15" s="175"/>
      <c r="C15" s="173"/>
      <c r="D15" s="173"/>
      <c r="E15" s="173"/>
      <c r="F15" s="173"/>
      <c r="G15" s="173"/>
      <c r="H15" s="173"/>
      <c r="I15" s="173"/>
    </row>
    <row r="16" spans="1:9" ht="15.75" customHeight="1" x14ac:dyDescent="0.2">
      <c r="B16" s="175" t="s">
        <v>32</v>
      </c>
      <c r="C16" s="177" t="e">
        <f t="shared" ref="C16:I16" si="3">C9-C14</f>
        <v>#REF!</v>
      </c>
      <c r="D16" s="177" t="e">
        <f t="shared" si="3"/>
        <v>#REF!</v>
      </c>
      <c r="E16" s="177" t="e">
        <f t="shared" si="3"/>
        <v>#REF!</v>
      </c>
      <c r="F16" s="177" t="e">
        <f t="shared" si="3"/>
        <v>#REF!</v>
      </c>
      <c r="G16" s="177" t="e">
        <f t="shared" si="3"/>
        <v>#REF!</v>
      </c>
      <c r="H16" s="177" t="e">
        <f t="shared" si="3"/>
        <v>#REF!</v>
      </c>
      <c r="I16" s="177" t="e">
        <f t="shared" si="3"/>
        <v>#REF!</v>
      </c>
    </row>
    <row r="17" spans="2:9" ht="15.75" customHeight="1" x14ac:dyDescent="0.2">
      <c r="B17" s="175" t="s">
        <v>52</v>
      </c>
      <c r="C17" s="178" t="e">
        <f t="shared" ref="C17:I17" si="4">C16/C9</f>
        <v>#REF!</v>
      </c>
      <c r="D17" s="178" t="e">
        <f t="shared" si="4"/>
        <v>#REF!</v>
      </c>
      <c r="E17" s="178" t="e">
        <f t="shared" si="4"/>
        <v>#REF!</v>
      </c>
      <c r="F17" s="178" t="e">
        <f t="shared" si="4"/>
        <v>#REF!</v>
      </c>
      <c r="G17" s="178" t="e">
        <f t="shared" si="4"/>
        <v>#REF!</v>
      </c>
      <c r="H17" s="178" t="e">
        <f t="shared" si="4"/>
        <v>#REF!</v>
      </c>
      <c r="I17" s="178" t="e">
        <f t="shared" si="4"/>
        <v>#REF!</v>
      </c>
    </row>
    <row r="18" spans="2:9" ht="15.75" customHeight="1" x14ac:dyDescent="0.2">
      <c r="B18" s="175"/>
      <c r="C18" s="173"/>
      <c r="D18" s="173"/>
      <c r="E18" s="173"/>
      <c r="F18" s="173"/>
      <c r="G18" s="173"/>
      <c r="H18" s="173"/>
      <c r="I18" s="173"/>
    </row>
    <row r="19" spans="2:9" ht="15.75" customHeight="1" x14ac:dyDescent="0.2">
      <c r="B19" s="175" t="s">
        <v>33</v>
      </c>
      <c r="C19" s="176">
        <f>MSBC!D59</f>
        <v>28683.86</v>
      </c>
      <c r="D19" s="176" t="e">
        <f>MSBC!#REF!</f>
        <v>#REF!</v>
      </c>
      <c r="E19" s="176" t="e">
        <f>MSBC!#REF!</f>
        <v>#REF!</v>
      </c>
      <c r="F19" s="176" t="e">
        <f>MSBC!#REF!</f>
        <v>#REF!</v>
      </c>
      <c r="G19" s="176" t="e">
        <f>MSBC!#REF!</f>
        <v>#REF!</v>
      </c>
      <c r="H19" s="176" t="e">
        <f>MSBC!#REF!</f>
        <v>#REF!</v>
      </c>
      <c r="I19" s="176" t="e">
        <f t="shared" ref="I19:I29" si="5">SUM(C19:H19)</f>
        <v>#REF!</v>
      </c>
    </row>
    <row r="20" spans="2:9" ht="15.75" customHeight="1" x14ac:dyDescent="0.2">
      <c r="B20" s="175" t="s">
        <v>34</v>
      </c>
      <c r="C20" s="176">
        <f>MSBC!D61</f>
        <v>77809.78</v>
      </c>
      <c r="D20" s="176" t="e">
        <f>MSBC!#REF!</f>
        <v>#REF!</v>
      </c>
      <c r="E20" s="176" t="e">
        <f>MSBC!#REF!</f>
        <v>#REF!</v>
      </c>
      <c r="F20" s="176" t="e">
        <f>MSBC!#REF!</f>
        <v>#REF!</v>
      </c>
      <c r="G20" s="176" t="e">
        <f>MSBC!#REF!</f>
        <v>#REF!</v>
      </c>
      <c r="H20" s="176" t="e">
        <f>MSBC!#REF!</f>
        <v>#REF!</v>
      </c>
      <c r="I20" s="176" t="e">
        <f t="shared" si="5"/>
        <v>#REF!</v>
      </c>
    </row>
    <row r="21" spans="2:9" ht="15.75" customHeight="1" x14ac:dyDescent="0.2">
      <c r="B21" s="175" t="s">
        <v>35</v>
      </c>
      <c r="C21" s="176">
        <f>MSBC!D69</f>
        <v>39923.369999999995</v>
      </c>
      <c r="D21" s="176" t="e">
        <f>MSBC!#REF!</f>
        <v>#REF!</v>
      </c>
      <c r="E21" s="176" t="e">
        <f>MSBC!#REF!</f>
        <v>#REF!</v>
      </c>
      <c r="F21" s="176" t="e">
        <f>MSBC!#REF!</f>
        <v>#REF!</v>
      </c>
      <c r="G21" s="176" t="e">
        <f>MSBC!#REF!</f>
        <v>#REF!</v>
      </c>
      <c r="H21" s="176" t="e">
        <f>MSBC!#REF!</f>
        <v>#REF!</v>
      </c>
      <c r="I21" s="176" t="e">
        <f t="shared" si="5"/>
        <v>#REF!</v>
      </c>
    </row>
    <row r="22" spans="2:9" ht="15.75" customHeight="1" x14ac:dyDescent="0.2">
      <c r="B22" s="175" t="s">
        <v>36</v>
      </c>
      <c r="C22" s="176">
        <f>MSBC!D75</f>
        <v>253151</v>
      </c>
      <c r="D22" s="176" t="e">
        <f>MSBC!#REF!</f>
        <v>#REF!</v>
      </c>
      <c r="E22" s="176" t="e">
        <f>MSBC!#REF!</f>
        <v>#REF!</v>
      </c>
      <c r="F22" s="176" t="e">
        <f>MSBC!#REF!</f>
        <v>#REF!</v>
      </c>
      <c r="G22" s="176" t="e">
        <f>MSBC!#REF!</f>
        <v>#REF!</v>
      </c>
      <c r="H22" s="176" t="e">
        <f>MSBC!#REF!</f>
        <v>#REF!</v>
      </c>
      <c r="I22" s="176" t="e">
        <f t="shared" si="5"/>
        <v>#REF!</v>
      </c>
    </row>
    <row r="23" spans="2:9" ht="15.75" customHeight="1" x14ac:dyDescent="0.2">
      <c r="B23" s="175" t="s">
        <v>37</v>
      </c>
      <c r="C23" s="176">
        <f>MSBC!D81</f>
        <v>1480962.86</v>
      </c>
      <c r="D23" s="176" t="e">
        <f>MSBC!#REF!</f>
        <v>#REF!</v>
      </c>
      <c r="E23" s="176" t="e">
        <f>MSBC!#REF!</f>
        <v>#REF!</v>
      </c>
      <c r="F23" s="176" t="e">
        <f>MSBC!#REF!</f>
        <v>#REF!</v>
      </c>
      <c r="G23" s="176" t="e">
        <f>MSBC!#REF!</f>
        <v>#REF!</v>
      </c>
      <c r="H23" s="176" t="e">
        <f>MSBC!#REF!</f>
        <v>#REF!</v>
      </c>
      <c r="I23" s="176" t="e">
        <f t="shared" si="5"/>
        <v>#REF!</v>
      </c>
    </row>
    <row r="24" spans="2:9" ht="15.75" customHeight="1" x14ac:dyDescent="0.2">
      <c r="B24" s="175" t="s">
        <v>38</v>
      </c>
      <c r="C24" s="176">
        <f>MSBC!D92</f>
        <v>5730.42</v>
      </c>
      <c r="D24" s="176" t="e">
        <f>MSBC!#REF!</f>
        <v>#REF!</v>
      </c>
      <c r="E24" s="176" t="e">
        <f>MSBC!#REF!</f>
        <v>#REF!</v>
      </c>
      <c r="F24" s="176" t="e">
        <f>MSBC!#REF!</f>
        <v>#REF!</v>
      </c>
      <c r="G24" s="176" t="e">
        <f>MSBC!#REF!</f>
        <v>#REF!</v>
      </c>
      <c r="H24" s="176" t="e">
        <f>MSBC!#REF!</f>
        <v>#REF!</v>
      </c>
      <c r="I24" s="176" t="e">
        <f t="shared" si="5"/>
        <v>#REF!</v>
      </c>
    </row>
    <row r="25" spans="2:9" ht="15.75" customHeight="1" x14ac:dyDescent="0.2">
      <c r="B25" s="175" t="s">
        <v>39</v>
      </c>
      <c r="C25" s="176">
        <f>MSBC!D95</f>
        <v>36280.333333333336</v>
      </c>
      <c r="D25" s="176" t="e">
        <f>MSBC!#REF!</f>
        <v>#REF!</v>
      </c>
      <c r="E25" s="176" t="e">
        <f>MSBC!#REF!</f>
        <v>#REF!</v>
      </c>
      <c r="F25" s="176" t="e">
        <f>MSBC!#REF!</f>
        <v>#REF!</v>
      </c>
      <c r="G25" s="176" t="e">
        <f>MSBC!#REF!</f>
        <v>#REF!</v>
      </c>
      <c r="H25" s="176" t="e">
        <f>MSBC!#REF!</f>
        <v>#REF!</v>
      </c>
      <c r="I25" s="176" t="e">
        <f t="shared" si="5"/>
        <v>#REF!</v>
      </c>
    </row>
    <row r="26" spans="2:9" ht="15.75" customHeight="1" x14ac:dyDescent="0.2">
      <c r="B26" s="175" t="s">
        <v>40</v>
      </c>
      <c r="C26" s="176">
        <f>MSBC!D99</f>
        <v>60617.263333333336</v>
      </c>
      <c r="D26" s="176" t="e">
        <f>MSBC!#REF!</f>
        <v>#REF!</v>
      </c>
      <c r="E26" s="176" t="e">
        <f>MSBC!#REF!</f>
        <v>#REF!</v>
      </c>
      <c r="F26" s="176" t="e">
        <f>MSBC!#REF!</f>
        <v>#REF!</v>
      </c>
      <c r="G26" s="176" t="e">
        <f>MSBC!#REF!</f>
        <v>#REF!</v>
      </c>
      <c r="H26" s="176" t="e">
        <f>MSBC!#REF!</f>
        <v>#REF!</v>
      </c>
      <c r="I26" s="176" t="e">
        <f t="shared" si="5"/>
        <v>#REF!</v>
      </c>
    </row>
    <row r="27" spans="2:9" ht="15.75" customHeight="1" x14ac:dyDescent="0.2">
      <c r="B27" s="175" t="s">
        <v>41</v>
      </c>
      <c r="C27" s="176">
        <v>0</v>
      </c>
      <c r="D27" s="176">
        <v>0</v>
      </c>
      <c r="E27" s="176">
        <v>0</v>
      </c>
      <c r="F27" s="176">
        <v>0</v>
      </c>
      <c r="G27" s="176" t="e">
        <f>MSBC!#REF!</f>
        <v>#REF!</v>
      </c>
      <c r="H27" s="176">
        <v>0</v>
      </c>
      <c r="I27" s="176" t="e">
        <f t="shared" si="5"/>
        <v>#REF!</v>
      </c>
    </row>
    <row r="28" spans="2:9" ht="15.75" customHeight="1" x14ac:dyDescent="0.2">
      <c r="B28" s="175" t="s">
        <v>42</v>
      </c>
      <c r="C28" s="176">
        <f>MSBC!D119</f>
        <v>-1983159</v>
      </c>
      <c r="D28" s="176" t="e">
        <f>MSBC!#REF!</f>
        <v>#REF!</v>
      </c>
      <c r="E28" s="176" t="e">
        <f>MSBC!#REF!</f>
        <v>#REF!</v>
      </c>
      <c r="F28" s="176" t="e">
        <f>MSBC!#REF!</f>
        <v>#REF!</v>
      </c>
      <c r="G28" s="176" t="e">
        <f>MSBC!#REF!</f>
        <v>#REF!</v>
      </c>
      <c r="H28" s="176" t="e">
        <f>MSBC!#REF!</f>
        <v>#REF!</v>
      </c>
      <c r="I28" s="176" t="e">
        <f t="shared" si="5"/>
        <v>#REF!</v>
      </c>
    </row>
    <row r="29" spans="2:9" ht="15.75" customHeight="1" x14ac:dyDescent="0.2">
      <c r="B29" s="175" t="s">
        <v>43</v>
      </c>
      <c r="C29" s="177">
        <f t="shared" ref="C29:H29" si="6">SUM(C19:C28)</f>
        <v>-0.1133333332836628</v>
      </c>
      <c r="D29" s="177" t="e">
        <f t="shared" si="6"/>
        <v>#REF!</v>
      </c>
      <c r="E29" s="177" t="e">
        <f t="shared" si="6"/>
        <v>#REF!</v>
      </c>
      <c r="F29" s="177" t="e">
        <f t="shared" si="6"/>
        <v>#REF!</v>
      </c>
      <c r="G29" s="177" t="e">
        <f t="shared" si="6"/>
        <v>#REF!</v>
      </c>
      <c r="H29" s="177" t="e">
        <f t="shared" si="6"/>
        <v>#REF!</v>
      </c>
      <c r="I29" s="177" t="e">
        <f t="shared" si="5"/>
        <v>#REF!</v>
      </c>
    </row>
    <row r="30" spans="2:9" ht="15.75" customHeight="1" x14ac:dyDescent="0.2">
      <c r="B30" s="175"/>
      <c r="C30" s="173"/>
      <c r="D30" s="173"/>
      <c r="E30" s="173"/>
      <c r="F30" s="173"/>
      <c r="G30" s="173"/>
      <c r="H30" s="173"/>
      <c r="I30" s="173"/>
    </row>
    <row r="31" spans="2:9" ht="15.75" customHeight="1" x14ac:dyDescent="0.2">
      <c r="B31" s="175" t="s">
        <v>44</v>
      </c>
      <c r="C31" s="177" t="e">
        <f t="shared" ref="C31:H31" si="7">C16-C29</f>
        <v>#REF!</v>
      </c>
      <c r="D31" s="177" t="e">
        <f t="shared" si="7"/>
        <v>#REF!</v>
      </c>
      <c r="E31" s="177" t="e">
        <f t="shared" si="7"/>
        <v>#REF!</v>
      </c>
      <c r="F31" s="177" t="e">
        <f t="shared" si="7"/>
        <v>#REF!</v>
      </c>
      <c r="G31" s="177" t="e">
        <f t="shared" si="7"/>
        <v>#REF!</v>
      </c>
      <c r="H31" s="177" t="e">
        <f t="shared" si="7"/>
        <v>#REF!</v>
      </c>
      <c r="I31" s="177" t="e">
        <f>SUM(C31:H31)</f>
        <v>#REF!</v>
      </c>
    </row>
    <row r="32" spans="2:9" ht="15.75" customHeight="1" x14ac:dyDescent="0.2">
      <c r="B32" s="175" t="s">
        <v>53</v>
      </c>
      <c r="C32" s="178" t="e">
        <f t="shared" ref="C32:I32" si="8">C31/C9</f>
        <v>#REF!</v>
      </c>
      <c r="D32" s="178" t="e">
        <f t="shared" si="8"/>
        <v>#REF!</v>
      </c>
      <c r="E32" s="178" t="e">
        <f t="shared" si="8"/>
        <v>#REF!</v>
      </c>
      <c r="F32" s="178" t="e">
        <f t="shared" si="8"/>
        <v>#REF!</v>
      </c>
      <c r="G32" s="178" t="e">
        <f t="shared" si="8"/>
        <v>#REF!</v>
      </c>
      <c r="H32" s="178" t="e">
        <f t="shared" si="8"/>
        <v>#REF!</v>
      </c>
      <c r="I32" s="178" t="e">
        <f t="shared" si="8"/>
        <v>#REF!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L1000"/>
  <sheetViews>
    <sheetView workbookViewId="0"/>
  </sheetViews>
  <sheetFormatPr defaultColWidth="12.5703125" defaultRowHeight="15" customHeight="1" x14ac:dyDescent="0.2"/>
  <cols>
    <col min="1" max="1" width="15.42578125" customWidth="1"/>
    <col min="2" max="6" width="12.5703125" customWidth="1"/>
  </cols>
  <sheetData>
    <row r="1" spans="1:11" ht="15.75" customHeight="1" x14ac:dyDescent="0.2">
      <c r="A1" s="171" t="s">
        <v>366</v>
      </c>
    </row>
    <row r="2" spans="1:11" ht="15.75" customHeight="1" x14ac:dyDescent="0.2"/>
    <row r="3" spans="1:11" ht="15.75" customHeight="1" x14ac:dyDescent="0.2">
      <c r="B3" s="845">
        <v>45931</v>
      </c>
      <c r="C3" s="845">
        <v>45962</v>
      </c>
      <c r="D3" s="845">
        <v>45992</v>
      </c>
    </row>
    <row r="4" spans="1:11" ht="15.75" customHeight="1" x14ac:dyDescent="0.2">
      <c r="A4" s="117" t="s">
        <v>367</v>
      </c>
      <c r="B4" s="116" t="e">
        <f>'The Table'!#REF!</f>
        <v>#REF!</v>
      </c>
      <c r="C4" s="116" t="e">
        <f>'The Table'!#REF!</f>
        <v>#REF!</v>
      </c>
      <c r="D4" s="116" t="e">
        <f>'The Table'!#REF!</f>
        <v>#REF!</v>
      </c>
      <c r="F4" s="116" t="e">
        <f>SUM(B4:D4)</f>
        <v>#REF!</v>
      </c>
    </row>
    <row r="5" spans="1:11" ht="15.75" customHeight="1" x14ac:dyDescent="0.2">
      <c r="A5" s="117" t="s">
        <v>368</v>
      </c>
      <c r="B5" s="116" t="e">
        <f>'The Table'!#REF!</f>
        <v>#REF!</v>
      </c>
      <c r="C5" s="116" t="e">
        <f>'The Table'!#REF!</f>
        <v>#REF!</v>
      </c>
      <c r="D5" s="116" t="e">
        <f>'The Table'!#REF!</f>
        <v>#REF!</v>
      </c>
    </row>
    <row r="6" spans="1:11" ht="15.75" customHeight="1" x14ac:dyDescent="0.2">
      <c r="A6" s="117" t="s">
        <v>369</v>
      </c>
      <c r="B6" s="116" t="e">
        <f t="shared" ref="B6:D6" si="0">B4-B5</f>
        <v>#REF!</v>
      </c>
      <c r="C6" s="116" t="e">
        <f t="shared" si="0"/>
        <v>#REF!</v>
      </c>
      <c r="D6" s="116" t="e">
        <f t="shared" si="0"/>
        <v>#REF!</v>
      </c>
    </row>
    <row r="7" spans="1:11" ht="15.75" customHeight="1" x14ac:dyDescent="0.2">
      <c r="B7" s="116"/>
      <c r="C7" s="116"/>
      <c r="D7" s="116"/>
      <c r="F7" s="117" t="s">
        <v>370</v>
      </c>
    </row>
    <row r="8" spans="1:11" ht="15.75" customHeight="1" x14ac:dyDescent="0.2">
      <c r="A8" s="117" t="s">
        <v>371</v>
      </c>
      <c r="B8" s="116">
        <v>19500000</v>
      </c>
      <c r="C8" s="116" t="e">
        <f t="shared" ref="C8:D8" si="1">C4</f>
        <v>#REF!</v>
      </c>
      <c r="D8" s="116" t="e">
        <f t="shared" si="1"/>
        <v>#REF!</v>
      </c>
      <c r="F8" s="116" t="e">
        <f>SUM(B8:D8)</f>
        <v>#REF!</v>
      </c>
    </row>
    <row r="9" spans="1:11" ht="15.75" customHeight="1" x14ac:dyDescent="0.2">
      <c r="A9" s="117" t="s">
        <v>372</v>
      </c>
      <c r="B9" s="116">
        <v>31</v>
      </c>
      <c r="C9" s="116">
        <v>30</v>
      </c>
      <c r="D9" s="116">
        <v>31</v>
      </c>
    </row>
    <row r="10" spans="1:11" ht="15.75" customHeight="1" x14ac:dyDescent="0.2">
      <c r="A10" s="117" t="s">
        <v>373</v>
      </c>
      <c r="B10" s="116">
        <f t="shared" ref="B10:D10" si="2">B8/B9</f>
        <v>629032.25806451612</v>
      </c>
      <c r="C10" s="116" t="e">
        <f t="shared" si="2"/>
        <v>#REF!</v>
      </c>
      <c r="D10" s="116" t="e">
        <f t="shared" si="2"/>
        <v>#REF!</v>
      </c>
      <c r="G10" s="235" t="e">
        <f>(F8-F4)/F4</f>
        <v>#REF!</v>
      </c>
      <c r="H10" s="116" t="e">
        <f>F8-F4</f>
        <v>#REF!</v>
      </c>
    </row>
    <row r="11" spans="1:11" ht="15.75" customHeight="1" x14ac:dyDescent="0.2"/>
    <row r="12" spans="1:11" ht="15.75" customHeight="1" x14ac:dyDescent="0.2">
      <c r="B12" s="116" t="e">
        <f>B8-B6</f>
        <v>#REF!</v>
      </c>
    </row>
    <row r="13" spans="1:11" ht="15.75" customHeight="1" x14ac:dyDescent="0.2">
      <c r="J13" s="117" t="s">
        <v>374</v>
      </c>
      <c r="K13" s="117" t="s">
        <v>375</v>
      </c>
    </row>
    <row r="14" spans="1:11" ht="15.75" customHeight="1" x14ac:dyDescent="0.2">
      <c r="A14" s="117" t="s">
        <v>9</v>
      </c>
      <c r="I14" s="117" t="s">
        <v>376</v>
      </c>
      <c r="J14" s="116" t="e">
        <f>F8</f>
        <v>#REF!</v>
      </c>
    </row>
    <row r="15" spans="1:11" ht="15.75" customHeight="1" x14ac:dyDescent="0.2">
      <c r="B15" s="845">
        <v>45931</v>
      </c>
      <c r="C15" s="845">
        <v>45962</v>
      </c>
      <c r="D15" s="845">
        <v>45992</v>
      </c>
      <c r="F15" s="117" t="s">
        <v>374</v>
      </c>
      <c r="I15" s="117" t="s">
        <v>9</v>
      </c>
      <c r="J15" s="116" t="e">
        <f>F16</f>
        <v>#REF!</v>
      </c>
    </row>
    <row r="16" spans="1:11" ht="15.75" customHeight="1" x14ac:dyDescent="0.2">
      <c r="A16" s="117" t="s">
        <v>377</v>
      </c>
      <c r="B16" s="116" t="e">
        <f>'Mg St Bandra'!#REF!</f>
        <v>#REF!</v>
      </c>
      <c r="C16" s="116" t="e">
        <f>'Mg St Bandra'!#REF!</f>
        <v>#REF!</v>
      </c>
      <c r="D16" s="116" t="e">
        <f>'Mg St Bandra'!#REF!</f>
        <v>#REF!</v>
      </c>
      <c r="F16" s="116" t="e">
        <f>SUM(B16:D16)</f>
        <v>#REF!</v>
      </c>
      <c r="I16" s="117" t="s">
        <v>7</v>
      </c>
      <c r="J16" s="116" t="e">
        <f>F22</f>
        <v>#REF!</v>
      </c>
    </row>
    <row r="17" spans="1:12" ht="15.75" customHeight="1" x14ac:dyDescent="0.2">
      <c r="A17" s="117" t="s">
        <v>372</v>
      </c>
      <c r="B17" s="117">
        <v>31</v>
      </c>
      <c r="C17" s="117">
        <v>30</v>
      </c>
      <c r="D17" s="117">
        <v>31</v>
      </c>
      <c r="I17" s="117" t="s">
        <v>378</v>
      </c>
      <c r="J17" s="116">
        <f>F27</f>
        <v>25985880.940000005</v>
      </c>
    </row>
    <row r="18" spans="1:12" ht="15.75" customHeight="1" x14ac:dyDescent="0.2">
      <c r="A18" s="117" t="s">
        <v>379</v>
      </c>
      <c r="B18" s="116" t="e">
        <f t="shared" ref="B18:D18" si="3">B16/B17</f>
        <v>#REF!</v>
      </c>
      <c r="C18" s="116" t="e">
        <f t="shared" si="3"/>
        <v>#REF!</v>
      </c>
      <c r="D18" s="116" t="e">
        <f t="shared" si="3"/>
        <v>#REF!</v>
      </c>
      <c r="J18" s="846" t="e">
        <f>SUM(J14:J17)</f>
        <v>#REF!</v>
      </c>
    </row>
    <row r="19" spans="1:12" ht="15.75" customHeight="1" x14ac:dyDescent="0.2"/>
    <row r="20" spans="1:12" ht="15.75" customHeight="1" x14ac:dyDescent="0.2"/>
    <row r="21" spans="1:12" ht="15.75" customHeight="1" x14ac:dyDescent="0.2">
      <c r="A21" s="117" t="s">
        <v>7</v>
      </c>
      <c r="B21" s="845">
        <v>45931</v>
      </c>
      <c r="C21" s="845">
        <v>45962</v>
      </c>
      <c r="D21" s="845">
        <v>45992</v>
      </c>
      <c r="F21" s="117" t="s">
        <v>374</v>
      </c>
      <c r="I21" s="847">
        <v>45954</v>
      </c>
      <c r="J21" s="847">
        <v>45985</v>
      </c>
      <c r="K21" s="847">
        <v>46015</v>
      </c>
    </row>
    <row r="22" spans="1:12" ht="15.75" customHeight="1" x14ac:dyDescent="0.2">
      <c r="A22" s="117" t="s">
        <v>380</v>
      </c>
      <c r="B22" s="116" t="e">
        <f>'Mg St Colaba'!#REF!</f>
        <v>#REF!</v>
      </c>
      <c r="C22" s="116" t="e">
        <f>'Mg St Colaba'!#REF!</f>
        <v>#REF!</v>
      </c>
      <c r="D22" s="116" t="e">
        <f>'Mg St Colaba'!#REF!</f>
        <v>#REF!</v>
      </c>
      <c r="F22" s="116" t="e">
        <f>SUM(B22:D22)</f>
        <v>#REF!</v>
      </c>
      <c r="H22" s="117" t="s">
        <v>381</v>
      </c>
      <c r="I22" s="116">
        <v>8231983</v>
      </c>
      <c r="J22" s="116">
        <v>7928011</v>
      </c>
      <c r="K22" s="116">
        <v>8427932</v>
      </c>
      <c r="L22" s="116">
        <f>SUM(I22:K22)</f>
        <v>24587926</v>
      </c>
    </row>
    <row r="23" spans="1:12" ht="15.75" customHeight="1" x14ac:dyDescent="0.2">
      <c r="A23" s="117" t="s">
        <v>372</v>
      </c>
      <c r="B23" s="117">
        <v>31</v>
      </c>
      <c r="C23" s="117">
        <v>30</v>
      </c>
      <c r="D23" s="117">
        <v>31</v>
      </c>
      <c r="L23" s="116">
        <f>AVERAGE(I22:K22)</f>
        <v>8195975.333333333</v>
      </c>
    </row>
    <row r="24" spans="1:12" ht="15.75" customHeight="1" x14ac:dyDescent="0.2">
      <c r="A24" s="117" t="s">
        <v>379</v>
      </c>
      <c r="B24" s="116" t="e">
        <f t="shared" ref="B24:D24" si="4">B22/B23</f>
        <v>#REF!</v>
      </c>
      <c r="C24" s="116" t="e">
        <f t="shared" si="4"/>
        <v>#REF!</v>
      </c>
      <c r="D24" s="116" t="e">
        <f t="shared" si="4"/>
        <v>#REF!</v>
      </c>
    </row>
    <row r="25" spans="1:12" ht="15.75" customHeight="1" x14ac:dyDescent="0.2"/>
    <row r="26" spans="1:12" ht="15.75" customHeight="1" x14ac:dyDescent="0.2">
      <c r="A26" s="848" t="s">
        <v>378</v>
      </c>
      <c r="B26" s="849">
        <v>45931</v>
      </c>
      <c r="C26" s="849">
        <v>45962</v>
      </c>
      <c r="D26" s="849">
        <v>45992</v>
      </c>
      <c r="F26" s="117" t="s">
        <v>374</v>
      </c>
    </row>
    <row r="27" spans="1:12" ht="15.75" customHeight="1" x14ac:dyDescent="0.2">
      <c r="A27" s="848" t="s">
        <v>382</v>
      </c>
      <c r="B27" s="850">
        <f t="shared" ref="B27:C27" si="5">I22*1.05</f>
        <v>8643582.1500000004</v>
      </c>
      <c r="C27" s="850">
        <f t="shared" si="5"/>
        <v>8324411.5500000007</v>
      </c>
      <c r="D27" s="850">
        <f>K22*1.07</f>
        <v>9017887.2400000002</v>
      </c>
      <c r="F27" s="116">
        <f>SUM(B27:D27)</f>
        <v>25985880.940000005</v>
      </c>
      <c r="G27" s="116">
        <f>F27/3</f>
        <v>8661960.3133333344</v>
      </c>
    </row>
    <row r="28" spans="1:12" ht="15.75" customHeight="1" x14ac:dyDescent="0.2">
      <c r="A28" s="848" t="s">
        <v>372</v>
      </c>
      <c r="B28" s="850">
        <v>31</v>
      </c>
      <c r="C28" s="850">
        <v>30</v>
      </c>
      <c r="D28" s="850">
        <v>31</v>
      </c>
    </row>
    <row r="29" spans="1:12" ht="15.75" customHeight="1" x14ac:dyDescent="0.2">
      <c r="A29" s="848" t="s">
        <v>379</v>
      </c>
      <c r="B29" s="850">
        <f t="shared" ref="B29:D29" si="6">B27/B28</f>
        <v>278825.2306451613</v>
      </c>
      <c r="C29" s="850">
        <f t="shared" si="6"/>
        <v>277480.38500000001</v>
      </c>
      <c r="D29" s="850">
        <f t="shared" si="6"/>
        <v>290899.58838709677</v>
      </c>
    </row>
    <row r="30" spans="1:12" ht="15.75" customHeight="1" x14ac:dyDescent="0.2"/>
    <row r="31" spans="1:12" ht="15.75" customHeight="1" x14ac:dyDescent="0.2">
      <c r="B31" s="117" t="s">
        <v>383</v>
      </c>
    </row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D1000"/>
  <sheetViews>
    <sheetView workbookViewId="0"/>
  </sheetViews>
  <sheetFormatPr defaultColWidth="12.5703125" defaultRowHeight="15" customHeight="1" x14ac:dyDescent="0.2"/>
  <cols>
    <col min="1" max="1" width="12.5703125" customWidth="1"/>
    <col min="2" max="2" width="25.140625" customWidth="1"/>
    <col min="3" max="6" width="12.5703125" customWidth="1"/>
  </cols>
  <sheetData>
    <row r="1" spans="1:4" ht="15.75" customHeight="1" x14ac:dyDescent="0.2">
      <c r="A1" s="171" t="s">
        <v>384</v>
      </c>
    </row>
    <row r="2" spans="1:4" ht="15.75" customHeight="1" x14ac:dyDescent="0.2"/>
    <row r="3" spans="1:4" ht="15.75" customHeight="1" x14ac:dyDescent="0.2">
      <c r="B3" s="173"/>
      <c r="C3" s="851" t="s">
        <v>385</v>
      </c>
      <c r="D3" s="851" t="s">
        <v>386</v>
      </c>
    </row>
    <row r="4" spans="1:4" ht="15.75" customHeight="1" x14ac:dyDescent="0.2">
      <c r="B4" s="173" t="s">
        <v>387</v>
      </c>
      <c r="C4" s="852">
        <f>142444.62+827518</f>
        <v>969962.62</v>
      </c>
      <c r="D4" s="852">
        <v>963591</v>
      </c>
    </row>
    <row r="5" spans="1:4" ht="15.75" customHeight="1" x14ac:dyDescent="0.2">
      <c r="B5" s="173"/>
      <c r="C5" s="852"/>
      <c r="D5" s="852"/>
    </row>
    <row r="6" spans="1:4" ht="15.75" customHeight="1" x14ac:dyDescent="0.2">
      <c r="B6" s="173" t="s">
        <v>388</v>
      </c>
      <c r="C6" s="852"/>
      <c r="D6" s="852"/>
    </row>
    <row r="7" spans="1:4" ht="15.75" customHeight="1" x14ac:dyDescent="0.2">
      <c r="B7" s="173" t="s">
        <v>376</v>
      </c>
      <c r="C7" s="852">
        <f>SUM('The Table'!D35:D37)</f>
        <v>6543195.7458766997</v>
      </c>
      <c r="D7" s="852">
        <f>SUM('The Table'!J35:J37)</f>
        <v>6676531.4700000007</v>
      </c>
    </row>
    <row r="8" spans="1:4" ht="15.75" customHeight="1" x14ac:dyDescent="0.2">
      <c r="B8" s="173" t="s">
        <v>6</v>
      </c>
      <c r="C8" s="852">
        <f>Iktara!D36</f>
        <v>274708.36447313381</v>
      </c>
      <c r="D8" s="852">
        <f>Iktara!J36</f>
        <v>275813.01</v>
      </c>
    </row>
    <row r="9" spans="1:4" ht="15.75" customHeight="1" x14ac:dyDescent="0.2">
      <c r="B9" s="173" t="s">
        <v>7</v>
      </c>
      <c r="C9" s="852">
        <f>SUM('Mg St Colaba'!D43:D45)</f>
        <v>4007828.3930891883</v>
      </c>
      <c r="D9" s="852">
        <f>SUM('Mg St Colaba'!J43:J45)</f>
        <v>4039973.04</v>
      </c>
    </row>
    <row r="10" spans="1:4" ht="15.75" customHeight="1" x14ac:dyDescent="0.2">
      <c r="B10" s="173" t="s">
        <v>8</v>
      </c>
      <c r="C10" s="852">
        <f>SUM('Mg St LP'!D45:D46)</f>
        <v>2476227.8504691822</v>
      </c>
      <c r="D10" s="852">
        <f>SUM('Mg St LP'!J45:J46)</f>
        <v>2785250.3200000003</v>
      </c>
    </row>
    <row r="11" spans="1:4" ht="15.75" customHeight="1" x14ac:dyDescent="0.2">
      <c r="B11" s="173" t="s">
        <v>9</v>
      </c>
      <c r="C11" s="852">
        <f>SUM('Mg St Bandra'!D43:D45)</f>
        <v>4653342.1756282896</v>
      </c>
      <c r="D11" s="852">
        <f>SUM('Mg St Bandra'!J43:J45)</f>
        <v>4884549.45</v>
      </c>
    </row>
    <row r="12" spans="1:4" ht="15.75" customHeight="1" x14ac:dyDescent="0.2">
      <c r="B12" s="173" t="s">
        <v>12</v>
      </c>
      <c r="C12" s="852">
        <f>Kaspers!D43+Kaspers!D44+Kaspers!D45</f>
        <v>4269103.8364950912</v>
      </c>
      <c r="D12" s="852">
        <f>Kaspers!J43+Kaspers!J44+Kaspers!J45</f>
        <v>4282190.9862399865</v>
      </c>
    </row>
    <row r="13" spans="1:4" ht="15.75" customHeight="1" x14ac:dyDescent="0.2">
      <c r="B13" s="173" t="s">
        <v>11</v>
      </c>
      <c r="C13" s="852">
        <f>MSBC!D42</f>
        <v>561823.40091511386</v>
      </c>
      <c r="D13" s="852">
        <f>MSBC!J43</f>
        <v>255013.45</v>
      </c>
    </row>
    <row r="14" spans="1:4" ht="15.75" customHeight="1" x14ac:dyDescent="0.2">
      <c r="B14" s="173" t="s">
        <v>13</v>
      </c>
      <c r="C14" s="852">
        <f>'MSBC Andheri'!D43</f>
        <v>121445.29169953994</v>
      </c>
      <c r="D14" s="852">
        <f>'MSBC Andheri'!J43</f>
        <v>99085.77</v>
      </c>
    </row>
    <row r="15" spans="1:4" ht="15.75" customHeight="1" x14ac:dyDescent="0.2">
      <c r="B15" s="173" t="s">
        <v>14</v>
      </c>
      <c r="C15" s="852">
        <f>'MSBC Dahisar'!D41</f>
        <v>64451.783199843565</v>
      </c>
      <c r="D15" s="852">
        <f>'MSBC Dahisar'!J41</f>
        <v>58135.18</v>
      </c>
    </row>
    <row r="16" spans="1:4" ht="15.75" customHeight="1" x14ac:dyDescent="0.2">
      <c r="B16" s="173" t="s">
        <v>15</v>
      </c>
      <c r="C16" s="852">
        <f>'MSBC Juhu  Goregoan'!D32</f>
        <v>101593.54757728706</v>
      </c>
      <c r="D16" s="852">
        <f>'MSBC Juhu  Goregoan'!J32</f>
        <v>71757</v>
      </c>
    </row>
    <row r="17" spans="2:4" ht="15.75" customHeight="1" x14ac:dyDescent="0.2">
      <c r="B17" s="173"/>
      <c r="C17" s="852"/>
      <c r="D17" s="852"/>
    </row>
    <row r="18" spans="2:4" ht="15.75" customHeight="1" x14ac:dyDescent="0.2">
      <c r="B18" s="173" t="s">
        <v>389</v>
      </c>
      <c r="C18" s="852">
        <f t="shared" ref="C18:D18" si="0">SUM(C7:C16)</f>
        <v>23073720.389423367</v>
      </c>
      <c r="D18" s="852">
        <f t="shared" si="0"/>
        <v>23428299.676239982</v>
      </c>
    </row>
    <row r="19" spans="2:4" ht="15.75" customHeight="1" x14ac:dyDescent="0.2">
      <c r="B19" s="173"/>
      <c r="C19" s="852"/>
      <c r="D19" s="852"/>
    </row>
    <row r="20" spans="2:4" ht="15.75" customHeight="1" x14ac:dyDescent="0.2">
      <c r="B20" s="173" t="s">
        <v>390</v>
      </c>
      <c r="C20" s="852"/>
      <c r="D20" s="852"/>
    </row>
    <row r="21" spans="2:4" ht="15.75" customHeight="1" x14ac:dyDescent="0.2">
      <c r="B21" s="173" t="s">
        <v>376</v>
      </c>
      <c r="C21" s="852">
        <f t="shared" ref="C21:D21" si="1">(C7/C$18)*C$4</f>
        <v>275059.90285609191</v>
      </c>
      <c r="D21" s="852">
        <f t="shared" si="1"/>
        <v>274601.47448230337</v>
      </c>
    </row>
    <row r="22" spans="2:4" ht="15.75" customHeight="1" x14ac:dyDescent="0.2">
      <c r="B22" s="173" t="s">
        <v>6</v>
      </c>
      <c r="C22" s="852">
        <f t="shared" ref="C22:D22" si="2">(C8/C$18)*C$4</f>
        <v>11548.065957426417</v>
      </c>
      <c r="D22" s="852">
        <f t="shared" si="2"/>
        <v>11344.012915646796</v>
      </c>
    </row>
    <row r="23" spans="2:4" ht="15.75" customHeight="1" x14ac:dyDescent="0.2">
      <c r="B23" s="173" t="s">
        <v>7</v>
      </c>
      <c r="C23" s="852">
        <f t="shared" ref="C23:D23" si="3">(C9/C$18)*C$4</f>
        <v>168479.27698964067</v>
      </c>
      <c r="D23" s="852">
        <f t="shared" si="3"/>
        <v>166161.51045458243</v>
      </c>
    </row>
    <row r="24" spans="2:4" ht="15.75" customHeight="1" x14ac:dyDescent="0.2">
      <c r="B24" s="173" t="s">
        <v>8</v>
      </c>
      <c r="C24" s="852">
        <f t="shared" ref="C24:D24" si="4">(C10/C$18)*C$4</f>
        <v>104094.54622060107</v>
      </c>
      <c r="D24" s="852">
        <f t="shared" si="4"/>
        <v>114555.56648103501</v>
      </c>
    </row>
    <row r="25" spans="2:4" ht="15.75" customHeight="1" x14ac:dyDescent="0.2">
      <c r="B25" s="173" t="s">
        <v>9</v>
      </c>
      <c r="C25" s="852">
        <f t="shared" ref="C25:D25" si="5">(C11/C$18)*C$4</f>
        <v>195615.0933725393</v>
      </c>
      <c r="D25" s="852">
        <f t="shared" si="5"/>
        <v>200898.39869379421</v>
      </c>
    </row>
    <row r="26" spans="2:4" ht="15.75" customHeight="1" x14ac:dyDescent="0.2">
      <c r="B26" s="173" t="s">
        <v>12</v>
      </c>
      <c r="C26" s="852">
        <f t="shared" ref="C26:D26" si="6">(C12/C$18)*C$4</f>
        <v>179462.65588781863</v>
      </c>
      <c r="D26" s="852">
        <f t="shared" si="6"/>
        <v>176123.77985785622</v>
      </c>
    </row>
    <row r="27" spans="2:4" ht="15.75" customHeight="1" x14ac:dyDescent="0.2">
      <c r="B27" s="173" t="s">
        <v>11</v>
      </c>
      <c r="C27" s="852">
        <f t="shared" ref="C27:D27" si="7">(C13/C$18)*C$4</f>
        <v>23617.677978741987</v>
      </c>
      <c r="D27" s="852">
        <f t="shared" si="7"/>
        <v>10488.540299326882</v>
      </c>
    </row>
    <row r="28" spans="2:4" ht="15.75" customHeight="1" x14ac:dyDescent="0.2">
      <c r="B28" s="173" t="s">
        <v>13</v>
      </c>
      <c r="C28" s="852">
        <f t="shared" ref="C28:D28" si="8">(C14/C$18)*C$4</f>
        <v>5105.2622349340118</v>
      </c>
      <c r="D28" s="852">
        <f t="shared" si="8"/>
        <v>4075.3344254384806</v>
      </c>
    </row>
    <row r="29" spans="2:4" ht="15.75" customHeight="1" x14ac:dyDescent="0.2">
      <c r="B29" s="173" t="s">
        <v>391</v>
      </c>
      <c r="C29" s="852">
        <f t="shared" ref="C29:D29" si="9">(C15/C$18)*C$4</f>
        <v>2709.3949064602743</v>
      </c>
      <c r="D29" s="852">
        <f t="shared" si="9"/>
        <v>2391.0628174263834</v>
      </c>
    </row>
    <row r="30" spans="2:4" ht="15.75" customHeight="1" x14ac:dyDescent="0.2">
      <c r="B30" s="173" t="s">
        <v>392</v>
      </c>
      <c r="C30" s="852">
        <f t="shared" ref="C30:D30" si="10">(C16/C$18)*C$4</f>
        <v>4270.7435957458383</v>
      </c>
      <c r="D30" s="852">
        <f t="shared" si="10"/>
        <v>2951.3195725903834</v>
      </c>
    </row>
    <row r="31" spans="2:4" ht="15.75" customHeight="1" x14ac:dyDescent="0.2"/>
    <row r="32" spans="2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O1000"/>
  <sheetViews>
    <sheetView workbookViewId="0">
      <selection activeCell="D16" sqref="D16"/>
    </sheetView>
  </sheetViews>
  <sheetFormatPr defaultColWidth="12.5703125" defaultRowHeight="15" customHeight="1" x14ac:dyDescent="0.2"/>
  <cols>
    <col min="1" max="1" width="12.5703125" customWidth="1"/>
    <col min="2" max="2" width="28" customWidth="1"/>
    <col min="3" max="4" width="10.85546875" customWidth="1"/>
    <col min="5" max="6" width="12.5703125" customWidth="1"/>
  </cols>
  <sheetData>
    <row r="1" spans="1:15" ht="15.75" customHeight="1" x14ac:dyDescent="0.25">
      <c r="A1" s="2"/>
      <c r="B1" s="1" t="s">
        <v>393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.75" customHeight="1" x14ac:dyDescent="0.25">
      <c r="A4" s="2"/>
      <c r="B4" s="853" t="s">
        <v>394</v>
      </c>
      <c r="C4" s="853" t="s">
        <v>385</v>
      </c>
      <c r="D4" s="853" t="s">
        <v>386</v>
      </c>
      <c r="E4" s="854" t="s">
        <v>395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.75" customHeight="1" x14ac:dyDescent="0.25">
      <c r="A5" s="2"/>
      <c r="B5" s="30" t="s">
        <v>376</v>
      </c>
      <c r="C5" s="35">
        <v>112745.04039736118</v>
      </c>
      <c r="D5" s="35">
        <v>110689.42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5.75" customHeight="1" x14ac:dyDescent="0.25">
      <c r="A6" s="2"/>
      <c r="B6" s="30" t="s">
        <v>12</v>
      </c>
      <c r="C6" s="35">
        <v>126596.29444677891</v>
      </c>
      <c r="D6" s="35">
        <v>121517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5.75" customHeight="1" x14ac:dyDescent="0.25">
      <c r="A7" s="2"/>
      <c r="B7" s="30" t="s">
        <v>7</v>
      </c>
      <c r="C7" s="855">
        <f>(7290)+305743.017859186</f>
        <v>313033.01785918599</v>
      </c>
      <c r="D7" s="856">
        <f>((6276)+74969.6947790911)+304847.567642879</f>
        <v>386093.26242197008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5.75" customHeight="1" x14ac:dyDescent="0.25">
      <c r="A8" s="2"/>
      <c r="B8" s="30" t="s">
        <v>8</v>
      </c>
      <c r="C8" s="35">
        <f>((7290)+54720.5175702739)+275217.254276391</f>
        <v>337227.77184666489</v>
      </c>
      <c r="D8" s="23">
        <f>((6276)+54929.7680482741)+288241.929830362</f>
        <v>349447.69787863607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5.75" customHeight="1" x14ac:dyDescent="0.25">
      <c r="A9" s="2"/>
      <c r="B9" s="30" t="s">
        <v>9</v>
      </c>
      <c r="C9" s="35">
        <f>(95081.1201399921)+228127.759644587</f>
        <v>323208.8797845791</v>
      </c>
      <c r="D9" s="35">
        <f>((6276)+106785.648918126)+263237.534303688</f>
        <v>376299.18322181399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.75" customHeight="1" x14ac:dyDescent="0.25">
      <c r="A10" s="2"/>
      <c r="B10" s="30" t="s">
        <v>11</v>
      </c>
      <c r="C10" s="35">
        <v>258286.94697961808</v>
      </c>
      <c r="D10" s="35">
        <v>298073.05023682863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.75" customHeight="1" x14ac:dyDescent="0.25">
      <c r="A11" s="2"/>
      <c r="B11" s="30" t="s">
        <v>13</v>
      </c>
      <c r="C11" s="35">
        <v>97972.460171580358</v>
      </c>
      <c r="D11" s="35">
        <v>98596.489840867129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.75" customHeight="1" x14ac:dyDescent="0.25">
      <c r="A12" s="2"/>
      <c r="B12" s="30" t="s">
        <v>14</v>
      </c>
      <c r="C12" s="35">
        <v>41252.674850979383</v>
      </c>
      <c r="D12" s="35">
        <v>58326.838989338736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.75" customHeight="1" x14ac:dyDescent="0.25">
      <c r="A13" s="2"/>
      <c r="B13" s="30" t="s">
        <v>392</v>
      </c>
      <c r="C13" s="35">
        <v>77197.726547244747</v>
      </c>
      <c r="D13" s="35">
        <v>70369.402717504665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.75" customHeight="1" x14ac:dyDescent="0.25">
      <c r="A14" s="2"/>
      <c r="B14" s="30" t="s">
        <v>322</v>
      </c>
      <c r="C14" s="857">
        <f t="shared" ref="C14:D14" si="0">SUM(C5:C13)</f>
        <v>1687520.8128839927</v>
      </c>
      <c r="D14" s="857">
        <f t="shared" si="0"/>
        <v>1869412.3453069595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.75" customHeight="1" x14ac:dyDescent="0.25">
      <c r="A15" s="2"/>
      <c r="B15" s="30"/>
      <c r="C15" s="588"/>
      <c r="D15" s="588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.75" customHeight="1" x14ac:dyDescent="0.25">
      <c r="A16" s="2"/>
      <c r="B16" s="30" t="s">
        <v>396</v>
      </c>
      <c r="C16" s="857">
        <f>-MSBC!D119</f>
        <v>1983159</v>
      </c>
      <c r="D16" s="857">
        <f>-MSBC!J119</f>
        <v>2033815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5">
      <c r="A17" s="2"/>
      <c r="B17" s="30"/>
      <c r="C17" s="30"/>
      <c r="D17" s="3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5">
      <c r="A18" s="2"/>
      <c r="B18" s="30" t="s">
        <v>397</v>
      </c>
      <c r="C18" s="30"/>
      <c r="D18" s="3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5">
      <c r="A19" s="2"/>
      <c r="B19" s="30" t="s">
        <v>376</v>
      </c>
      <c r="C19" s="35">
        <f t="shared" ref="C19:D19" si="1">(C5/C$14)*C$16</f>
        <v>132496.93862280145</v>
      </c>
      <c r="D19" s="35">
        <f t="shared" si="1"/>
        <v>120423.83442179246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5">
      <c r="A20" s="2"/>
      <c r="B20" s="30" t="s">
        <v>12</v>
      </c>
      <c r="C20" s="35">
        <f t="shared" ref="C20:D20" si="2">(C6/C$14)*C$16</f>
        <v>148774.80549097</v>
      </c>
      <c r="D20" s="35">
        <f t="shared" si="2"/>
        <v>132203.62964620246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5">
      <c r="A21" s="2"/>
      <c r="B21" s="30" t="s">
        <v>7</v>
      </c>
      <c r="C21" s="35">
        <f t="shared" ref="C21:D21" si="3">(C7/C$14)*C$16</f>
        <v>367873.53490690334</v>
      </c>
      <c r="D21" s="35">
        <f t="shared" si="3"/>
        <v>420047.65320184157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5">
      <c r="A22" s="2"/>
      <c r="B22" s="30" t="s">
        <v>8</v>
      </c>
      <c r="C22" s="35">
        <f t="shared" ref="C22:D22" si="4">(C8/C$14)*C$16</f>
        <v>396306.98814594984</v>
      </c>
      <c r="D22" s="35">
        <f t="shared" si="4"/>
        <v>380179.34964708844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5">
      <c r="A23" s="2"/>
      <c r="B23" s="30" t="s">
        <v>9</v>
      </c>
      <c r="C23" s="35">
        <f t="shared" ref="C23:D23" si="5">(C9/C$14)*C$16</f>
        <v>379832.114621018</v>
      </c>
      <c r="D23" s="35">
        <f t="shared" si="5"/>
        <v>409392.24844939535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5">
      <c r="A24" s="2"/>
      <c r="B24" s="30" t="s">
        <v>11</v>
      </c>
      <c r="C24" s="35">
        <f t="shared" ref="C24:D24" si="6">(C10/C$14)*C$16</f>
        <v>303536.45393549575</v>
      </c>
      <c r="D24" s="35">
        <f t="shared" si="6"/>
        <v>324286.63595236541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5">
      <c r="A25" s="2"/>
      <c r="B25" s="30" t="s">
        <v>13</v>
      </c>
      <c r="C25" s="35">
        <f t="shared" ref="C25:D25" si="7">(C11/C$14)*C$16</f>
        <v>115136.33767239811</v>
      </c>
      <c r="D25" s="35">
        <f t="shared" si="7"/>
        <v>107267.40972322853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5">
      <c r="A26" s="2"/>
      <c r="B26" s="30" t="s">
        <v>14</v>
      </c>
      <c r="C26" s="35">
        <f t="shared" ref="C26:D26" si="8">(C12/C$14)*C$16</f>
        <v>48479.765570996504</v>
      </c>
      <c r="D26" s="35">
        <f t="shared" si="8"/>
        <v>63456.305045221816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5">
      <c r="A27" s="2"/>
      <c r="B27" s="30" t="s">
        <v>15</v>
      </c>
      <c r="C27" s="35">
        <f t="shared" ref="C27:D27" si="9">(C13/C$14)*C$16</f>
        <v>90722.061033466947</v>
      </c>
      <c r="D27" s="35">
        <f t="shared" si="9"/>
        <v>76557.933912863708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75" customHeight="1" x14ac:dyDescent="0.25">
      <c r="A28" s="2"/>
      <c r="B28" s="30"/>
      <c r="C28" s="857">
        <f t="shared" ref="C28:D28" si="10">SUM(C19:C27)</f>
        <v>1983159</v>
      </c>
      <c r="D28" s="857">
        <f t="shared" si="10"/>
        <v>2033814.9999999998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75" customHeight="1" x14ac:dyDescent="0.25">
      <c r="A29" s="2"/>
      <c r="B29" s="30" t="s">
        <v>398</v>
      </c>
      <c r="C29" s="30"/>
      <c r="D29" s="3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 x14ac:dyDescent="0.25">
      <c r="A30" s="2"/>
      <c r="B30" s="30" t="s">
        <v>376</v>
      </c>
      <c r="C30" s="35">
        <f t="shared" ref="C30:D30" si="11">C19+C5</f>
        <v>245241.97902016263</v>
      </c>
      <c r="D30" s="35">
        <f t="shared" si="11"/>
        <v>231113.25442179246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 x14ac:dyDescent="0.25">
      <c r="A31" s="2"/>
      <c r="B31" s="30" t="s">
        <v>12</v>
      </c>
      <c r="C31" s="35">
        <f t="shared" ref="C31:D31" si="12">C20+C6</f>
        <v>275371.09993774892</v>
      </c>
      <c r="D31" s="35">
        <f t="shared" si="12"/>
        <v>253720.62964620246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25">
      <c r="A32" s="2"/>
      <c r="B32" s="30" t="s">
        <v>7</v>
      </c>
      <c r="C32" s="35">
        <f t="shared" ref="C32:D32" si="13">C21+C7</f>
        <v>680906.55276608933</v>
      </c>
      <c r="D32" s="35">
        <f t="shared" si="13"/>
        <v>806140.91562381166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25">
      <c r="A33" s="2"/>
      <c r="B33" s="30" t="s">
        <v>8</v>
      </c>
      <c r="C33" s="35">
        <f t="shared" ref="C33:D33" si="14">C22+C8</f>
        <v>733534.75999261474</v>
      </c>
      <c r="D33" s="35">
        <f t="shared" si="14"/>
        <v>729627.04752572451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30" t="s">
        <v>9</v>
      </c>
      <c r="C34" s="35">
        <f t="shared" ref="C34:D34" si="15">C23+C9</f>
        <v>703040.9944055971</v>
      </c>
      <c r="D34" s="35">
        <f t="shared" si="15"/>
        <v>785691.4316712094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30" t="s">
        <v>11</v>
      </c>
      <c r="C35" s="35">
        <f t="shared" ref="C35:D35" si="16">C24+C10</f>
        <v>561823.40091511386</v>
      </c>
      <c r="D35" s="35">
        <f t="shared" si="16"/>
        <v>622359.68618919398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30" t="s">
        <v>13</v>
      </c>
      <c r="C36" s="35">
        <f t="shared" ref="C36:D36" si="17">C25+C11</f>
        <v>213108.79784397845</v>
      </c>
      <c r="D36" s="35">
        <f t="shared" si="17"/>
        <v>205863.89956409566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30" t="s">
        <v>14</v>
      </c>
      <c r="C37" s="35">
        <f t="shared" ref="C37:D37" si="18">C26+C12</f>
        <v>89732.440421975887</v>
      </c>
      <c r="D37" s="35">
        <f t="shared" si="18"/>
        <v>121783.14403456055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30" t="s">
        <v>392</v>
      </c>
      <c r="C38" s="35">
        <f t="shared" ref="C38:D38" si="19">C27+C13</f>
        <v>167919.78758071171</v>
      </c>
      <c r="D38" s="35">
        <f t="shared" si="19"/>
        <v>146927.33663036837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30"/>
      <c r="C39" s="35"/>
      <c r="D39" s="35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594" t="s">
        <v>399</v>
      </c>
      <c r="C40" s="857">
        <f t="shared" ref="C40:D40" si="20">SUM(C30:C38)</f>
        <v>3670679.8128839922</v>
      </c>
      <c r="D40" s="857">
        <f t="shared" si="20"/>
        <v>3903227.3453069599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30"/>
      <c r="C41" s="35"/>
      <c r="D41" s="35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K1000"/>
  <sheetViews>
    <sheetView workbookViewId="0"/>
  </sheetViews>
  <sheetFormatPr defaultColWidth="12.5703125" defaultRowHeight="15" customHeight="1" x14ac:dyDescent="0.2"/>
  <cols>
    <col min="1" max="1" width="4.5703125" customWidth="1"/>
    <col min="2" max="2" width="22.42578125" customWidth="1"/>
    <col min="3" max="6" width="12.5703125" customWidth="1"/>
    <col min="8" max="8" width="13.7109375" customWidth="1"/>
  </cols>
  <sheetData>
    <row r="1" spans="1:11" ht="15.75" customHeight="1" x14ac:dyDescent="0.2">
      <c r="A1" s="171" t="s">
        <v>400</v>
      </c>
    </row>
    <row r="2" spans="1:11" ht="10.5" customHeight="1" x14ac:dyDescent="0.2">
      <c r="C2" s="172"/>
      <c r="D2" s="172"/>
      <c r="E2" s="172"/>
      <c r="F2" s="172"/>
    </row>
    <row r="3" spans="1:11" ht="15.75" customHeight="1" x14ac:dyDescent="0.2">
      <c r="B3" s="173"/>
      <c r="C3" s="858">
        <v>45748</v>
      </c>
      <c r="D3" s="858">
        <v>45778</v>
      </c>
      <c r="E3" s="858">
        <v>45809</v>
      </c>
      <c r="F3" s="858">
        <v>45839</v>
      </c>
      <c r="G3" s="858">
        <v>45870</v>
      </c>
      <c r="H3" s="858">
        <v>45901</v>
      </c>
      <c r="I3" s="859" t="s">
        <v>401</v>
      </c>
      <c r="J3" s="859" t="s">
        <v>402</v>
      </c>
      <c r="K3" s="859" t="s">
        <v>403</v>
      </c>
    </row>
    <row r="4" spans="1:11" ht="15.75" customHeight="1" x14ac:dyDescent="0.2">
      <c r="B4" s="175" t="s">
        <v>21</v>
      </c>
      <c r="C4" s="852">
        <f>'Summary Sheet - April 2026'!AE5</f>
        <v>1555917.5</v>
      </c>
      <c r="D4" s="852" t="e">
        <f t="shared" ref="D4:F4" si="0">#REF!</f>
        <v>#REF!</v>
      </c>
      <c r="E4" s="852" t="e">
        <f t="shared" si="0"/>
        <v>#REF!</v>
      </c>
      <c r="F4" s="852" t="e">
        <f t="shared" si="0"/>
        <v>#REF!</v>
      </c>
      <c r="G4" s="852" t="e">
        <f>'Mg St Bandra'!#REF!</f>
        <v>#REF!</v>
      </c>
      <c r="H4" s="852" t="e">
        <f>'Mg St Bandra'!#REF!</f>
        <v>#REF!</v>
      </c>
    </row>
    <row r="5" spans="1:11" ht="15.75" customHeight="1" x14ac:dyDescent="0.2">
      <c r="B5" s="175" t="s">
        <v>22</v>
      </c>
      <c r="C5" s="852">
        <f>'Summary Sheet - April 2026'!AE6</f>
        <v>2119471.5</v>
      </c>
      <c r="D5" s="852" t="e">
        <f t="shared" ref="D5:F5" si="1">#REF!</f>
        <v>#REF!</v>
      </c>
      <c r="E5" s="852" t="e">
        <f t="shared" si="1"/>
        <v>#REF!</v>
      </c>
      <c r="F5" s="852" t="e">
        <f t="shared" si="1"/>
        <v>#REF!</v>
      </c>
      <c r="G5" s="852" t="e">
        <f>'Mg St Bandra'!#REF!</f>
        <v>#REF!</v>
      </c>
      <c r="H5" s="852" t="e">
        <f>'Mg St Bandra'!#REF!</f>
        <v>#REF!</v>
      </c>
    </row>
    <row r="6" spans="1:11" ht="15.75" customHeight="1" x14ac:dyDescent="0.2">
      <c r="B6" s="175" t="s">
        <v>23</v>
      </c>
      <c r="C6" s="852">
        <f>'Summary Sheet - April 2026'!AE7</f>
        <v>12642063.25</v>
      </c>
      <c r="D6" s="852" t="e">
        <f t="shared" ref="D6:F6" si="2">#REF!</f>
        <v>#REF!</v>
      </c>
      <c r="E6" s="852" t="e">
        <f t="shared" si="2"/>
        <v>#REF!</v>
      </c>
      <c r="F6" s="852" t="e">
        <f t="shared" si="2"/>
        <v>#REF!</v>
      </c>
      <c r="G6" s="852" t="e">
        <f>'Mg St Bandra'!#REF!</f>
        <v>#REF!</v>
      </c>
      <c r="H6" s="852" t="e">
        <f>'Mg St Bandra'!#REF!</f>
        <v>#REF!</v>
      </c>
    </row>
    <row r="7" spans="1:11" ht="15.75" customHeight="1" x14ac:dyDescent="0.2">
      <c r="B7" s="175" t="s">
        <v>24</v>
      </c>
      <c r="C7" s="852">
        <f>'Summary Sheet - April 2026'!AE8</f>
        <v>1028709</v>
      </c>
      <c r="D7" s="852" t="e">
        <f t="shared" ref="D7:F7" si="3">#REF!</f>
        <v>#REF!</v>
      </c>
      <c r="E7" s="852" t="e">
        <f t="shared" si="3"/>
        <v>#REF!</v>
      </c>
      <c r="F7" s="852" t="e">
        <f t="shared" si="3"/>
        <v>#REF!</v>
      </c>
      <c r="G7" s="852" t="e">
        <f>'Mg St Bandra'!#REF!</f>
        <v>#REF!</v>
      </c>
      <c r="H7" s="852" t="e">
        <f>'Mg St Bandra'!#REF!</f>
        <v>#REF!</v>
      </c>
    </row>
    <row r="8" spans="1:11" ht="15.75" customHeight="1" x14ac:dyDescent="0.2">
      <c r="B8" s="175" t="s">
        <v>26</v>
      </c>
      <c r="C8" s="860">
        <f t="shared" ref="C8:H8" si="4">SUM(C4:C7)</f>
        <v>17346161.25</v>
      </c>
      <c r="D8" s="860" t="e">
        <f t="shared" si="4"/>
        <v>#REF!</v>
      </c>
      <c r="E8" s="860" t="e">
        <f t="shared" si="4"/>
        <v>#REF!</v>
      </c>
      <c r="F8" s="860" t="e">
        <f t="shared" si="4"/>
        <v>#REF!</v>
      </c>
      <c r="G8" s="860" t="e">
        <f t="shared" si="4"/>
        <v>#REF!</v>
      </c>
      <c r="H8" s="860" t="e">
        <f t="shared" si="4"/>
        <v>#REF!</v>
      </c>
    </row>
    <row r="9" spans="1:11" ht="15.75" customHeight="1" x14ac:dyDescent="0.2">
      <c r="B9" s="175"/>
      <c r="C9" s="851">
        <f>'Summary Sheet - April 2026'!O11</f>
        <v>0</v>
      </c>
      <c r="D9" s="851" t="e">
        <f t="shared" ref="D9:F9" si="5">#REF!</f>
        <v>#REF!</v>
      </c>
      <c r="E9" s="851" t="e">
        <f t="shared" si="5"/>
        <v>#REF!</v>
      </c>
      <c r="F9" s="851" t="e">
        <f t="shared" si="5"/>
        <v>#REF!</v>
      </c>
      <c r="G9" s="851"/>
      <c r="H9" s="851"/>
    </row>
    <row r="10" spans="1:11" ht="15.75" customHeight="1" x14ac:dyDescent="0.2">
      <c r="B10" s="175" t="s">
        <v>28</v>
      </c>
      <c r="C10" s="852">
        <f>'Mg St Bandra'!D47</f>
        <v>5551998.2634064266</v>
      </c>
      <c r="D10" s="852" t="e">
        <f>'Mg St Bandra'!#REF!</f>
        <v>#REF!</v>
      </c>
      <c r="E10" s="852" t="e">
        <f>'Mg St Bandra'!#REF!</f>
        <v>#REF!</v>
      </c>
      <c r="F10" s="852" t="e">
        <f>'Mg St Bandra'!#REF!</f>
        <v>#REF!</v>
      </c>
      <c r="G10" s="852" t="e">
        <f>'Mg St Bandra'!#REF!</f>
        <v>#REF!</v>
      </c>
      <c r="H10" s="852" t="e">
        <f>'Mg St Bandra'!#REF!</f>
        <v>#REF!</v>
      </c>
    </row>
    <row r="11" spans="1:11" ht="15.75" customHeight="1" x14ac:dyDescent="0.2">
      <c r="B11" s="175" t="s">
        <v>29</v>
      </c>
      <c r="C11" s="852">
        <f>'Mg St Bandra'!D48</f>
        <v>202872.5</v>
      </c>
      <c r="D11" s="852" t="e">
        <f>'Mg St Bandra'!#REF!</f>
        <v>#REF!</v>
      </c>
      <c r="E11" s="852" t="e">
        <f>'Mg St Bandra'!#REF!</f>
        <v>#REF!</v>
      </c>
      <c r="F11" s="852" t="e">
        <f>'Mg St Bandra'!#REF!</f>
        <v>#REF!</v>
      </c>
      <c r="G11" s="852" t="e">
        <f>'Mg St Bandra'!#REF!</f>
        <v>#REF!</v>
      </c>
      <c r="H11" s="852" t="e">
        <f>'Mg St Bandra'!#REF!</f>
        <v>#REF!</v>
      </c>
    </row>
    <row r="12" spans="1:11" ht="15.75" customHeight="1" x14ac:dyDescent="0.2">
      <c r="B12" s="175" t="s">
        <v>404</v>
      </c>
      <c r="C12" s="852" t="e">
        <f>#REF!</f>
        <v>#REF!</v>
      </c>
      <c r="D12" s="852" t="e">
        <f>'Mg St Bandra'!#REF!</f>
        <v>#REF!</v>
      </c>
      <c r="E12" s="852" t="e">
        <f>'Mg St Bandra'!#REF!</f>
        <v>#REF!</v>
      </c>
      <c r="F12" s="852" t="e">
        <f>'Mg St Bandra'!#REF!</f>
        <v>#REF!</v>
      </c>
      <c r="G12" s="852" t="e">
        <f>'Mg St Bandra'!#REF!</f>
        <v>#REF!</v>
      </c>
      <c r="H12" s="852" t="e">
        <f>'Mg St Bandra'!#REF!</f>
        <v>#REF!</v>
      </c>
    </row>
    <row r="13" spans="1:11" ht="15.75" customHeight="1" x14ac:dyDescent="0.2">
      <c r="B13" s="175" t="s">
        <v>30</v>
      </c>
      <c r="C13" s="860">
        <f t="shared" ref="C13:H13" si="6">C10+C11</f>
        <v>5754870.7634064266</v>
      </c>
      <c r="D13" s="860" t="e">
        <f t="shared" si="6"/>
        <v>#REF!</v>
      </c>
      <c r="E13" s="860" t="e">
        <f t="shared" si="6"/>
        <v>#REF!</v>
      </c>
      <c r="F13" s="860" t="e">
        <f t="shared" si="6"/>
        <v>#REF!</v>
      </c>
      <c r="G13" s="860" t="e">
        <f t="shared" si="6"/>
        <v>#REF!</v>
      </c>
      <c r="H13" s="860" t="e">
        <f t="shared" si="6"/>
        <v>#REF!</v>
      </c>
    </row>
    <row r="14" spans="1:11" ht="15.75" customHeight="1" x14ac:dyDescent="0.2">
      <c r="B14" s="175"/>
      <c r="C14" s="851"/>
      <c r="D14" s="851"/>
      <c r="E14" s="851" t="e">
        <f t="shared" ref="E14:F14" si="7">#REF!</f>
        <v>#REF!</v>
      </c>
      <c r="F14" s="851" t="e">
        <f t="shared" si="7"/>
        <v>#REF!</v>
      </c>
      <c r="G14" s="851"/>
      <c r="H14" s="851"/>
    </row>
    <row r="15" spans="1:11" ht="15.75" customHeight="1" x14ac:dyDescent="0.2">
      <c r="B15" s="175" t="s">
        <v>32</v>
      </c>
      <c r="C15" s="860">
        <f t="shared" ref="C15:H15" si="8">C8-C13</f>
        <v>11591290.486593574</v>
      </c>
      <c r="D15" s="860" t="e">
        <f t="shared" si="8"/>
        <v>#REF!</v>
      </c>
      <c r="E15" s="860" t="e">
        <f t="shared" si="8"/>
        <v>#REF!</v>
      </c>
      <c r="F15" s="860" t="e">
        <f t="shared" si="8"/>
        <v>#REF!</v>
      </c>
      <c r="G15" s="860" t="e">
        <f t="shared" si="8"/>
        <v>#REF!</v>
      </c>
      <c r="H15" s="860" t="e">
        <f t="shared" si="8"/>
        <v>#REF!</v>
      </c>
    </row>
    <row r="16" spans="1:11" ht="15.75" customHeight="1" x14ac:dyDescent="0.2">
      <c r="B16" s="175" t="s">
        <v>52</v>
      </c>
      <c r="C16" s="861">
        <f t="shared" ref="C16:H16" si="9">C15/C8</f>
        <v>0.66823375613400193</v>
      </c>
      <c r="D16" s="861" t="e">
        <f t="shared" si="9"/>
        <v>#REF!</v>
      </c>
      <c r="E16" s="861" t="e">
        <f t="shared" si="9"/>
        <v>#REF!</v>
      </c>
      <c r="F16" s="861" t="e">
        <f t="shared" si="9"/>
        <v>#REF!</v>
      </c>
      <c r="G16" s="861" t="e">
        <f t="shared" si="9"/>
        <v>#REF!</v>
      </c>
      <c r="H16" s="861" t="e">
        <f t="shared" si="9"/>
        <v>#REF!</v>
      </c>
    </row>
    <row r="17" spans="2:8" ht="15.75" customHeight="1" x14ac:dyDescent="0.2">
      <c r="B17" s="175"/>
      <c r="C17" s="851">
        <f>'Summary Sheet - April 2026'!O16</f>
        <v>0</v>
      </c>
      <c r="D17" s="851" t="e">
        <f t="shared" ref="D17:F17" si="10">#REF!</f>
        <v>#REF!</v>
      </c>
      <c r="E17" s="851" t="e">
        <f t="shared" si="10"/>
        <v>#REF!</v>
      </c>
      <c r="F17" s="851" t="e">
        <f t="shared" si="10"/>
        <v>#REF!</v>
      </c>
      <c r="G17" s="851"/>
      <c r="H17" s="851"/>
    </row>
    <row r="18" spans="2:8" ht="15.75" customHeight="1" x14ac:dyDescent="0.2">
      <c r="B18" s="175" t="s">
        <v>33</v>
      </c>
      <c r="C18" s="852">
        <f>'Mg St Bandra'!D58</f>
        <v>439199.45333333331</v>
      </c>
      <c r="D18" s="852" t="e">
        <f>'Mg St Bandra'!#REF!</f>
        <v>#REF!</v>
      </c>
      <c r="E18" s="852" t="e">
        <f>'Mg St Bandra'!#REF!</f>
        <v>#REF!</v>
      </c>
      <c r="F18" s="852" t="e">
        <f>'Mg St Bandra'!#REF!</f>
        <v>#REF!</v>
      </c>
      <c r="G18" s="852" t="e">
        <f>'Mg St Bandra'!#REF!</f>
        <v>#REF!</v>
      </c>
      <c r="H18" s="852" t="e">
        <f>'Mg St Bandra'!#REF!</f>
        <v>#REF!</v>
      </c>
    </row>
    <row r="19" spans="2:8" ht="15.75" customHeight="1" x14ac:dyDescent="0.2">
      <c r="B19" s="175" t="s">
        <v>34</v>
      </c>
      <c r="C19" s="852">
        <f>'Mg St Bandra'!D70</f>
        <v>86882</v>
      </c>
      <c r="D19" s="852" t="e">
        <f>'Mg St Bandra'!#REF!</f>
        <v>#REF!</v>
      </c>
      <c r="E19" s="852" t="e">
        <f>'Mg St Bandra'!#REF!</f>
        <v>#REF!</v>
      </c>
      <c r="F19" s="852" t="e">
        <f>'Mg St Bandra'!#REF!</f>
        <v>#REF!</v>
      </c>
      <c r="G19" s="852" t="e">
        <f>'Mg St Bandra'!#REF!</f>
        <v>#REF!</v>
      </c>
      <c r="H19" s="852" t="e">
        <f>'Mg St Bandra'!#REF!</f>
        <v>#REF!</v>
      </c>
    </row>
    <row r="20" spans="2:8" ht="15.75" customHeight="1" x14ac:dyDescent="0.2">
      <c r="B20" s="175" t="s">
        <v>35</v>
      </c>
      <c r="C20" s="852">
        <f>'Mg St Bandra'!D81</f>
        <v>628442</v>
      </c>
      <c r="D20" s="852" t="e">
        <f>'Mg St Bandra'!#REF!</f>
        <v>#REF!</v>
      </c>
      <c r="E20" s="852" t="e">
        <f>'Mg St Bandra'!#REF!</f>
        <v>#REF!</v>
      </c>
      <c r="F20" s="852" t="e">
        <f>'Mg St Bandra'!#REF!</f>
        <v>#REF!</v>
      </c>
      <c r="G20" s="852" t="e">
        <f>'Mg St Bandra'!#REF!</f>
        <v>#REF!</v>
      </c>
      <c r="H20" s="852" t="e">
        <f>'Mg St Bandra'!#REF!</f>
        <v>#REF!</v>
      </c>
    </row>
    <row r="21" spans="2:8" ht="15.75" customHeight="1" x14ac:dyDescent="0.2">
      <c r="B21" s="175" t="s">
        <v>36</v>
      </c>
      <c r="C21" s="852">
        <f>'Mg St Bandra'!D88</f>
        <v>1542823</v>
      </c>
      <c r="D21" s="852" t="e">
        <f>'Mg St Bandra'!#REF!</f>
        <v>#REF!</v>
      </c>
      <c r="E21" s="852" t="e">
        <f>'Mg St Bandra'!#REF!</f>
        <v>#REF!</v>
      </c>
      <c r="F21" s="852" t="e">
        <f>'Mg St Bandra'!#REF!</f>
        <v>#REF!</v>
      </c>
      <c r="G21" s="852" t="e">
        <f>'Mg St Bandra'!#REF!</f>
        <v>#REF!</v>
      </c>
      <c r="H21" s="852" t="e">
        <f>'Mg St Bandra'!#REF!</f>
        <v>#REF!</v>
      </c>
    </row>
    <row r="22" spans="2:8" ht="15.75" customHeight="1" x14ac:dyDescent="0.2">
      <c r="B22" s="175" t="s">
        <v>37</v>
      </c>
      <c r="C22" s="852">
        <f>'Mg St Bandra'!D96</f>
        <v>3711761.0866666664</v>
      </c>
      <c r="D22" s="852" t="e">
        <f>'Mg St Bandra'!#REF!</f>
        <v>#REF!</v>
      </c>
      <c r="E22" s="852" t="e">
        <f>'Mg St Bandra'!#REF!</f>
        <v>#REF!</v>
      </c>
      <c r="F22" s="852" t="e">
        <f>'Mg St Bandra'!#REF!</f>
        <v>#REF!</v>
      </c>
      <c r="G22" s="852" t="e">
        <f>'Mg St Bandra'!#REF!</f>
        <v>#REF!</v>
      </c>
      <c r="H22" s="852" t="e">
        <f>'Mg St Bandra'!#REF!</f>
        <v>#REF!</v>
      </c>
    </row>
    <row r="23" spans="2:8" ht="15.75" customHeight="1" x14ac:dyDescent="0.2">
      <c r="B23" s="175" t="s">
        <v>38</v>
      </c>
      <c r="C23" s="852">
        <f>'Mg St Bandra'!D107</f>
        <v>27152</v>
      </c>
      <c r="D23" s="852" t="e">
        <f>'Mg St Bandra'!#REF!</f>
        <v>#REF!</v>
      </c>
      <c r="E23" s="852" t="e">
        <f>'Mg St Bandra'!#REF!</f>
        <v>#REF!</v>
      </c>
      <c r="F23" s="852" t="e">
        <f>'Mg St Bandra'!#REF!</f>
        <v>#REF!</v>
      </c>
      <c r="G23" s="852" t="e">
        <f>'Mg St Bandra'!#REF!</f>
        <v>#REF!</v>
      </c>
      <c r="H23" s="852" t="e">
        <f>'Mg St Bandra'!#REF!</f>
        <v>#REF!</v>
      </c>
    </row>
    <row r="24" spans="2:8" ht="15.75" customHeight="1" x14ac:dyDescent="0.2">
      <c r="B24" s="175" t="s">
        <v>39</v>
      </c>
      <c r="C24" s="852">
        <f>'Mg St Bandra'!D110</f>
        <v>77845.333333333343</v>
      </c>
      <c r="D24" s="852" t="e">
        <f>'Mg St Bandra'!#REF!</f>
        <v>#REF!</v>
      </c>
      <c r="E24" s="852" t="e">
        <f>'Mg St Bandra'!#REF!</f>
        <v>#REF!</v>
      </c>
      <c r="F24" s="852" t="e">
        <f>'Mg St Bandra'!#REF!</f>
        <v>#REF!</v>
      </c>
      <c r="G24" s="852" t="e">
        <f>'Mg St Bandra'!#REF!</f>
        <v>#REF!</v>
      </c>
      <c r="H24" s="852" t="e">
        <f>'Mg St Bandra'!#REF!</f>
        <v>#REF!</v>
      </c>
    </row>
    <row r="25" spans="2:8" ht="15.75" customHeight="1" x14ac:dyDescent="0.2">
      <c r="B25" s="175" t="s">
        <v>40</v>
      </c>
      <c r="C25" s="852">
        <f>'Mg St Bandra'!D114</f>
        <v>633437.09333333327</v>
      </c>
      <c r="D25" s="852" t="e">
        <f>'Mg St Bandra'!#REF!</f>
        <v>#REF!</v>
      </c>
      <c r="E25" s="852" t="e">
        <f>'Mg St Bandra'!#REF!</f>
        <v>#REF!</v>
      </c>
      <c r="F25" s="852" t="e">
        <f>'Mg St Bandra'!#REF!</f>
        <v>#REF!</v>
      </c>
      <c r="G25" s="852" t="e">
        <f>'Mg St Bandra'!#REF!</f>
        <v>#REF!</v>
      </c>
      <c r="H25" s="852" t="e">
        <f>'Mg St Bandra'!#REF!</f>
        <v>#REF!</v>
      </c>
    </row>
    <row r="26" spans="2:8" ht="15.75" customHeight="1" x14ac:dyDescent="0.2">
      <c r="B26" s="175" t="s">
        <v>41</v>
      </c>
      <c r="C26" s="852">
        <f>'Mg St Bandra'!D131</f>
        <v>10010</v>
      </c>
      <c r="D26" s="852"/>
      <c r="E26" s="852"/>
      <c r="F26" s="852"/>
      <c r="G26" s="852"/>
      <c r="H26" s="852"/>
    </row>
    <row r="27" spans="2:8" ht="15.75" customHeight="1" x14ac:dyDescent="0.2">
      <c r="B27" s="175" t="s">
        <v>42</v>
      </c>
      <c r="C27" s="852">
        <f>'Mg St Bandra'!D135</f>
        <v>0</v>
      </c>
      <c r="D27" s="852"/>
      <c r="E27" s="852"/>
      <c r="F27" s="852"/>
      <c r="G27" s="852"/>
      <c r="H27" s="852"/>
    </row>
    <row r="28" spans="2:8" ht="15.75" customHeight="1" x14ac:dyDescent="0.2">
      <c r="B28" s="175" t="s">
        <v>43</v>
      </c>
      <c r="C28" s="860">
        <f t="shared" ref="C28:H28" si="11">SUM(C18:C27)</f>
        <v>7157551.9666666649</v>
      </c>
      <c r="D28" s="860" t="e">
        <f t="shared" si="11"/>
        <v>#REF!</v>
      </c>
      <c r="E28" s="860" t="e">
        <f t="shared" si="11"/>
        <v>#REF!</v>
      </c>
      <c r="F28" s="860" t="e">
        <f t="shared" si="11"/>
        <v>#REF!</v>
      </c>
      <c r="G28" s="860" t="e">
        <f t="shared" si="11"/>
        <v>#REF!</v>
      </c>
      <c r="H28" s="860" t="e">
        <f t="shared" si="11"/>
        <v>#REF!</v>
      </c>
    </row>
    <row r="29" spans="2:8" ht="15.75" customHeight="1" x14ac:dyDescent="0.2">
      <c r="B29" s="175"/>
      <c r="C29" s="851"/>
      <c r="D29" s="851"/>
      <c r="E29" s="851" t="e">
        <f t="shared" ref="E29:F29" si="12">#REF!</f>
        <v>#REF!</v>
      </c>
      <c r="F29" s="851" t="e">
        <f t="shared" si="12"/>
        <v>#REF!</v>
      </c>
      <c r="G29" s="851"/>
      <c r="H29" s="851"/>
    </row>
    <row r="30" spans="2:8" ht="15.75" customHeight="1" x14ac:dyDescent="0.2">
      <c r="B30" s="175" t="s">
        <v>44</v>
      </c>
      <c r="C30" s="860">
        <f t="shared" ref="C30:H30" si="13">C15-C28</f>
        <v>4433738.5199269094</v>
      </c>
      <c r="D30" s="860" t="e">
        <f t="shared" si="13"/>
        <v>#REF!</v>
      </c>
      <c r="E30" s="860" t="e">
        <f t="shared" si="13"/>
        <v>#REF!</v>
      </c>
      <c r="F30" s="860" t="e">
        <f t="shared" si="13"/>
        <v>#REF!</v>
      </c>
      <c r="G30" s="860" t="e">
        <f t="shared" si="13"/>
        <v>#REF!</v>
      </c>
      <c r="H30" s="860" t="e">
        <f t="shared" si="13"/>
        <v>#REF!</v>
      </c>
    </row>
    <row r="31" spans="2:8" ht="15.75" customHeight="1" x14ac:dyDescent="0.2">
      <c r="B31" s="175" t="s">
        <v>53</v>
      </c>
      <c r="C31" s="861">
        <f t="shared" ref="C31:H31" si="14">C30/C8</f>
        <v>0.25560344193888485</v>
      </c>
      <c r="D31" s="861" t="e">
        <f t="shared" si="14"/>
        <v>#REF!</v>
      </c>
      <c r="E31" s="861" t="e">
        <f t="shared" si="14"/>
        <v>#REF!</v>
      </c>
      <c r="F31" s="861" t="e">
        <f t="shared" si="14"/>
        <v>#REF!</v>
      </c>
      <c r="G31" s="861" t="e">
        <f t="shared" si="14"/>
        <v>#REF!</v>
      </c>
      <c r="H31" s="861" t="e">
        <f t="shared" si="14"/>
        <v>#REF!</v>
      </c>
    </row>
    <row r="32" spans="2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P1000"/>
  <sheetViews>
    <sheetView workbookViewId="0"/>
  </sheetViews>
  <sheetFormatPr defaultColWidth="12.5703125" defaultRowHeight="15" customHeight="1" x14ac:dyDescent="0.2"/>
  <cols>
    <col min="1" max="1" width="6.5703125" customWidth="1"/>
    <col min="2" max="2" width="22.42578125" customWidth="1"/>
    <col min="3" max="3" width="9" customWidth="1"/>
    <col min="4" max="4" width="8.42578125" customWidth="1"/>
    <col min="5" max="5" width="9" customWidth="1"/>
    <col min="6" max="10" width="8.42578125" customWidth="1"/>
    <col min="11" max="11" width="9.42578125" customWidth="1"/>
  </cols>
  <sheetData>
    <row r="1" spans="1:16" ht="15.75" customHeight="1" x14ac:dyDescent="0.2">
      <c r="A1" s="171" t="s">
        <v>405</v>
      </c>
    </row>
    <row r="2" spans="1:16" ht="15.75" customHeight="1" x14ac:dyDescent="0.2">
      <c r="C2" s="172"/>
      <c r="D2" s="172"/>
      <c r="E2" s="172"/>
      <c r="F2" s="172"/>
    </row>
    <row r="3" spans="1:16" ht="15.75" customHeight="1" x14ac:dyDescent="0.2">
      <c r="B3" s="173"/>
      <c r="C3" s="174">
        <v>45748</v>
      </c>
      <c r="D3" s="174">
        <v>45778</v>
      </c>
      <c r="E3" s="174">
        <v>45809</v>
      </c>
      <c r="F3" s="174">
        <v>45839</v>
      </c>
      <c r="G3" s="862" t="s">
        <v>406</v>
      </c>
      <c r="H3" s="862" t="s">
        <v>407</v>
      </c>
      <c r="I3" s="862" t="s">
        <v>401</v>
      </c>
      <c r="J3" s="862" t="s">
        <v>402</v>
      </c>
      <c r="K3" s="862" t="s">
        <v>408</v>
      </c>
      <c r="O3" s="117" t="s">
        <v>409</v>
      </c>
      <c r="P3" s="116" t="e">
        <f>AVERAGE(C8:K8)</f>
        <v>#REF!</v>
      </c>
    </row>
    <row r="4" spans="1:16" ht="15.75" customHeight="1" x14ac:dyDescent="0.2">
      <c r="B4" s="175" t="s">
        <v>21</v>
      </c>
      <c r="C4" s="176">
        <f>'Summary Sheet - April 2026'!AA5</f>
        <v>1273758.75</v>
      </c>
      <c r="D4" s="176" t="e">
        <f t="shared" ref="D4:F4" si="0">#REF!</f>
        <v>#REF!</v>
      </c>
      <c r="E4" s="176" t="e">
        <f t="shared" si="0"/>
        <v>#REF!</v>
      </c>
      <c r="F4" s="176" t="e">
        <f t="shared" si="0"/>
        <v>#REF!</v>
      </c>
      <c r="G4" s="176" t="e">
        <f>'Mg St LP'!#REF!</f>
        <v>#REF!</v>
      </c>
      <c r="H4" s="176" t="e">
        <f>'Mg St LP'!#REF!</f>
        <v>#REF!</v>
      </c>
      <c r="I4" s="176" t="e">
        <f>'Mg St LP'!#REF!</f>
        <v>#REF!</v>
      </c>
      <c r="J4" s="176" t="e">
        <f>'Mg St LP'!#REF!</f>
        <v>#REF!</v>
      </c>
      <c r="K4" s="176" t="e">
        <f>'Mg St LP'!#REF!</f>
        <v>#REF!</v>
      </c>
      <c r="O4" s="117" t="s">
        <v>410</v>
      </c>
      <c r="P4" s="116" t="e">
        <f>AVERAGE(C29:K29)</f>
        <v>#REF!</v>
      </c>
    </row>
    <row r="5" spans="1:16" ht="15.75" customHeight="1" x14ac:dyDescent="0.2">
      <c r="B5" s="175" t="s">
        <v>22</v>
      </c>
      <c r="C5" s="176">
        <f>'Summary Sheet - April 2026'!AA6</f>
        <v>0</v>
      </c>
      <c r="D5" s="176" t="e">
        <f t="shared" ref="D5:F5" si="1">#REF!</f>
        <v>#REF!</v>
      </c>
      <c r="E5" s="176" t="e">
        <f t="shared" si="1"/>
        <v>#REF!</v>
      </c>
      <c r="F5" s="176" t="e">
        <f t="shared" si="1"/>
        <v>#REF!</v>
      </c>
      <c r="G5" s="176" t="s">
        <v>411</v>
      </c>
      <c r="H5" s="176" t="e">
        <f>'Mg St LP'!#REF!</f>
        <v>#REF!</v>
      </c>
      <c r="I5" s="176" t="e">
        <f>'Mg St LP'!#REF!</f>
        <v>#REF!</v>
      </c>
      <c r="J5" s="176" t="e">
        <f>'Mg St LP'!#REF!</f>
        <v>#REF!</v>
      </c>
      <c r="K5" s="176" t="e">
        <f>'Mg St LP'!#REF!</f>
        <v>#REF!</v>
      </c>
      <c r="O5" s="117" t="s">
        <v>412</v>
      </c>
      <c r="P5" s="235" t="e">
        <f>P4/P3</f>
        <v>#REF!</v>
      </c>
    </row>
    <row r="6" spans="1:16" ht="15.75" customHeight="1" x14ac:dyDescent="0.2">
      <c r="B6" s="175" t="s">
        <v>23</v>
      </c>
      <c r="C6" s="176">
        <f>'Summary Sheet - April 2026'!AA7</f>
        <v>8201572.1500000004</v>
      </c>
      <c r="D6" s="176" t="e">
        <f t="shared" ref="D6:F6" si="2">#REF!</f>
        <v>#REF!</v>
      </c>
      <c r="E6" s="176" t="e">
        <f t="shared" si="2"/>
        <v>#REF!</v>
      </c>
      <c r="F6" s="176" t="e">
        <f t="shared" si="2"/>
        <v>#REF!</v>
      </c>
      <c r="G6" s="176" t="e">
        <f>'Mg St LP'!#REF!</f>
        <v>#REF!</v>
      </c>
      <c r="H6" s="176" t="e">
        <f>'Mg St LP'!#REF!</f>
        <v>#REF!</v>
      </c>
      <c r="I6" s="176" t="e">
        <f>'Mg St LP'!#REF!</f>
        <v>#REF!</v>
      </c>
      <c r="J6" s="176" t="e">
        <f>'Mg St LP'!#REF!</f>
        <v>#REF!</v>
      </c>
      <c r="K6" s="176" t="e">
        <f>'Mg St LP'!#REF!</f>
        <v>#REF!</v>
      </c>
    </row>
    <row r="7" spans="1:16" ht="15.75" customHeight="1" x14ac:dyDescent="0.2">
      <c r="B7" s="175" t="s">
        <v>24</v>
      </c>
      <c r="C7" s="176">
        <f>'Summary Sheet - April 2026'!AA8</f>
        <v>356972.05</v>
      </c>
      <c r="D7" s="173" t="e">
        <f t="shared" ref="D7:F7" si="3">#REF!</f>
        <v>#REF!</v>
      </c>
      <c r="E7" s="173" t="e">
        <f t="shared" si="3"/>
        <v>#REF!</v>
      </c>
      <c r="F7" s="176" t="e">
        <f t="shared" si="3"/>
        <v>#REF!</v>
      </c>
      <c r="G7" s="176" t="e">
        <f>'Mg St LP'!#REF!</f>
        <v>#REF!</v>
      </c>
      <c r="H7" s="176" t="e">
        <f>'Mg St LP'!#REF!</f>
        <v>#REF!</v>
      </c>
      <c r="I7" s="176" t="e">
        <f>'Mg St LP'!#REF!</f>
        <v>#REF!</v>
      </c>
      <c r="J7" s="176" t="e">
        <f>'Mg St LP'!#REF!</f>
        <v>#REF!</v>
      </c>
      <c r="K7" s="176" t="e">
        <f>'Mg St LP'!#REF!</f>
        <v>#REF!</v>
      </c>
    </row>
    <row r="8" spans="1:16" ht="15.75" customHeight="1" x14ac:dyDescent="0.2">
      <c r="B8" s="175" t="s">
        <v>26</v>
      </c>
      <c r="C8" s="177">
        <f t="shared" ref="C8:K8" si="4">SUM(C4:C7)</f>
        <v>9832302.9500000011</v>
      </c>
      <c r="D8" s="177" t="e">
        <f t="shared" si="4"/>
        <v>#REF!</v>
      </c>
      <c r="E8" s="177" t="e">
        <f t="shared" si="4"/>
        <v>#REF!</v>
      </c>
      <c r="F8" s="177" t="e">
        <f t="shared" si="4"/>
        <v>#REF!</v>
      </c>
      <c r="G8" s="177" t="e">
        <f t="shared" si="4"/>
        <v>#REF!</v>
      </c>
      <c r="H8" s="177" t="e">
        <f t="shared" si="4"/>
        <v>#REF!</v>
      </c>
      <c r="I8" s="177" t="e">
        <f t="shared" si="4"/>
        <v>#REF!</v>
      </c>
      <c r="J8" s="177" t="e">
        <f t="shared" si="4"/>
        <v>#REF!</v>
      </c>
      <c r="K8" s="177" t="e">
        <f t="shared" si="4"/>
        <v>#REF!</v>
      </c>
    </row>
    <row r="9" spans="1:16" ht="15.75" customHeight="1" x14ac:dyDescent="0.2">
      <c r="B9" s="175"/>
      <c r="C9" s="173">
        <f>'Summary Sheet - April 2026'!O11</f>
        <v>0</v>
      </c>
      <c r="D9" s="173" t="e">
        <f t="shared" ref="D9:F9" si="5">#REF!</f>
        <v>#REF!</v>
      </c>
      <c r="E9" s="173" t="e">
        <f t="shared" si="5"/>
        <v>#REF!</v>
      </c>
      <c r="F9" s="173" t="e">
        <f t="shared" si="5"/>
        <v>#REF!</v>
      </c>
      <c r="G9" s="173"/>
      <c r="H9" s="173"/>
      <c r="I9" s="173"/>
      <c r="J9" s="173"/>
      <c r="K9" s="173"/>
    </row>
    <row r="10" spans="1:16" ht="15.75" customHeight="1" x14ac:dyDescent="0.2">
      <c r="B10" s="175" t="s">
        <v>28</v>
      </c>
      <c r="C10" s="176">
        <f>'Summary Sheet - April 2026'!AA12</f>
        <v>3313857.1566823977</v>
      </c>
      <c r="D10" s="176" t="e">
        <f t="shared" ref="D10:F10" si="6">#REF!</f>
        <v>#REF!</v>
      </c>
      <c r="E10" s="176" t="e">
        <f t="shared" si="6"/>
        <v>#REF!</v>
      </c>
      <c r="F10" s="176" t="e">
        <f t="shared" si="6"/>
        <v>#REF!</v>
      </c>
      <c r="G10" s="176" t="e">
        <f>'Mg St LP'!#REF!</f>
        <v>#REF!</v>
      </c>
      <c r="H10" s="176" t="e">
        <f>'Mg St LP'!#REF!</f>
        <v>#REF!</v>
      </c>
      <c r="I10" s="176" t="e">
        <f>'Mg St LP'!#REF!</f>
        <v>#REF!</v>
      </c>
      <c r="J10" s="176" t="e">
        <f>'Mg St LP'!#REF!</f>
        <v>#REF!</v>
      </c>
      <c r="K10" s="176" t="e">
        <f>'Mg St LP'!#REF!</f>
        <v>#REF!</v>
      </c>
    </row>
    <row r="11" spans="1:16" ht="15.75" customHeight="1" x14ac:dyDescent="0.2">
      <c r="B11" s="175" t="s">
        <v>29</v>
      </c>
      <c r="C11" s="176">
        <f>'Summary Sheet - April 2026'!AA13</f>
        <v>213063</v>
      </c>
      <c r="D11" s="176" t="e">
        <f t="shared" ref="D11:F11" si="7">#REF!</f>
        <v>#REF!</v>
      </c>
      <c r="E11" s="173" t="e">
        <f t="shared" si="7"/>
        <v>#REF!</v>
      </c>
      <c r="F11" s="173" t="e">
        <f t="shared" si="7"/>
        <v>#REF!</v>
      </c>
      <c r="G11" s="176" t="e">
        <f>'Mg St LP'!#REF!</f>
        <v>#REF!</v>
      </c>
      <c r="H11" s="176" t="e">
        <f>'Mg St LP'!#REF!</f>
        <v>#REF!</v>
      </c>
      <c r="I11" s="176" t="e">
        <f>'Mg St LP'!#REF!</f>
        <v>#REF!</v>
      </c>
      <c r="J11" s="176" t="e">
        <f>'Mg St LP'!#REF!</f>
        <v>#REF!</v>
      </c>
      <c r="K11" s="176" t="e">
        <f>'Mg St LP'!#REF!</f>
        <v>#REF!</v>
      </c>
    </row>
    <row r="12" spans="1:16" ht="15.75" customHeight="1" x14ac:dyDescent="0.2">
      <c r="B12" s="175" t="s">
        <v>30</v>
      </c>
      <c r="C12" s="177">
        <f t="shared" ref="C12:K12" si="8">C10+C11</f>
        <v>3526920.1566823977</v>
      </c>
      <c r="D12" s="177" t="e">
        <f t="shared" si="8"/>
        <v>#REF!</v>
      </c>
      <c r="E12" s="177" t="e">
        <f t="shared" si="8"/>
        <v>#REF!</v>
      </c>
      <c r="F12" s="177" t="e">
        <f t="shared" si="8"/>
        <v>#REF!</v>
      </c>
      <c r="G12" s="177" t="e">
        <f t="shared" si="8"/>
        <v>#REF!</v>
      </c>
      <c r="H12" s="177" t="e">
        <f t="shared" si="8"/>
        <v>#REF!</v>
      </c>
      <c r="I12" s="177" t="e">
        <f t="shared" si="8"/>
        <v>#REF!</v>
      </c>
      <c r="J12" s="177" t="e">
        <f t="shared" si="8"/>
        <v>#REF!</v>
      </c>
      <c r="K12" s="177" t="e">
        <f t="shared" si="8"/>
        <v>#REF!</v>
      </c>
    </row>
    <row r="13" spans="1:16" ht="15.75" customHeight="1" x14ac:dyDescent="0.2">
      <c r="B13" s="175" t="s">
        <v>31</v>
      </c>
      <c r="C13" s="176" t="e">
        <f>'Mg St LP'!#REF!</f>
        <v>#REF!</v>
      </c>
      <c r="D13" s="176" t="e">
        <f>'Mg St LP'!#REF!</f>
        <v>#REF!</v>
      </c>
      <c r="E13" s="176" t="e">
        <f>'Mg St LP'!#REF!</f>
        <v>#REF!</v>
      </c>
      <c r="F13" s="176" t="e">
        <f>'Mg St LP'!#REF!</f>
        <v>#REF!</v>
      </c>
      <c r="G13" s="176" t="e">
        <f>'Mg St LP'!#REF!</f>
        <v>#REF!</v>
      </c>
      <c r="H13" s="176" t="e">
        <f>'Mg St LP'!#REF!</f>
        <v>#REF!</v>
      </c>
      <c r="I13" s="176"/>
      <c r="J13" s="176"/>
      <c r="K13" s="176"/>
    </row>
    <row r="14" spans="1:16" ht="15.75" customHeight="1" x14ac:dyDescent="0.2">
      <c r="B14" s="175" t="s">
        <v>32</v>
      </c>
      <c r="C14" s="177" t="e">
        <f t="shared" ref="C14:K14" si="9">C8-C12-C13</f>
        <v>#REF!</v>
      </c>
      <c r="D14" s="177" t="e">
        <f t="shared" si="9"/>
        <v>#REF!</v>
      </c>
      <c r="E14" s="177" t="e">
        <f t="shared" si="9"/>
        <v>#REF!</v>
      </c>
      <c r="F14" s="177" t="e">
        <f t="shared" si="9"/>
        <v>#REF!</v>
      </c>
      <c r="G14" s="177" t="e">
        <f t="shared" si="9"/>
        <v>#REF!</v>
      </c>
      <c r="H14" s="177" t="e">
        <f t="shared" si="9"/>
        <v>#REF!</v>
      </c>
      <c r="I14" s="177" t="e">
        <f t="shared" si="9"/>
        <v>#REF!</v>
      </c>
      <c r="J14" s="177" t="e">
        <f t="shared" si="9"/>
        <v>#REF!</v>
      </c>
      <c r="K14" s="177" t="e">
        <f t="shared" si="9"/>
        <v>#REF!</v>
      </c>
    </row>
    <row r="15" spans="1:16" ht="15.75" customHeight="1" x14ac:dyDescent="0.2">
      <c r="B15" s="175" t="s">
        <v>52</v>
      </c>
      <c r="C15" s="178" t="e">
        <f t="shared" ref="C15:K15" si="10">C14/C8</f>
        <v>#REF!</v>
      </c>
      <c r="D15" s="178" t="e">
        <f t="shared" si="10"/>
        <v>#REF!</v>
      </c>
      <c r="E15" s="178" t="e">
        <f t="shared" si="10"/>
        <v>#REF!</v>
      </c>
      <c r="F15" s="178" t="e">
        <f t="shared" si="10"/>
        <v>#REF!</v>
      </c>
      <c r="G15" s="178" t="e">
        <f t="shared" si="10"/>
        <v>#REF!</v>
      </c>
      <c r="H15" s="178" t="e">
        <f t="shared" si="10"/>
        <v>#REF!</v>
      </c>
      <c r="I15" s="178" t="e">
        <f t="shared" si="10"/>
        <v>#REF!</v>
      </c>
      <c r="J15" s="178" t="e">
        <f t="shared" si="10"/>
        <v>#REF!</v>
      </c>
      <c r="K15" s="178" t="e">
        <f t="shared" si="10"/>
        <v>#REF!</v>
      </c>
    </row>
    <row r="16" spans="1:16" ht="15.75" customHeight="1" x14ac:dyDescent="0.2">
      <c r="B16" s="175"/>
      <c r="C16" s="173">
        <f>'Summary Sheet - April 2026'!O16</f>
        <v>0</v>
      </c>
      <c r="D16" s="173"/>
      <c r="E16" s="173" t="e">
        <f t="shared" ref="E16:F16" si="11">#REF!</f>
        <v>#REF!</v>
      </c>
      <c r="F16" s="173" t="e">
        <f t="shared" si="11"/>
        <v>#REF!</v>
      </c>
      <c r="G16" s="173"/>
      <c r="H16" s="173"/>
      <c r="I16" s="173"/>
      <c r="J16" s="173"/>
      <c r="K16" s="173"/>
    </row>
    <row r="17" spans="2:11" ht="15.75" customHeight="1" x14ac:dyDescent="0.2">
      <c r="B17" s="175" t="s">
        <v>33</v>
      </c>
      <c r="C17" s="176">
        <f>'Summary Sheet - April 2026'!AA19</f>
        <v>229487.82333333336</v>
      </c>
      <c r="D17" s="176" t="e">
        <f t="shared" ref="D17:F17" si="12">#REF!</f>
        <v>#REF!</v>
      </c>
      <c r="E17" s="176" t="e">
        <f t="shared" si="12"/>
        <v>#REF!</v>
      </c>
      <c r="F17" s="176" t="e">
        <f t="shared" si="12"/>
        <v>#REF!</v>
      </c>
      <c r="G17" s="176" t="e">
        <f>'Mg St LP'!#REF!</f>
        <v>#REF!</v>
      </c>
      <c r="H17" s="176" t="e">
        <f>'Mg St LP'!#REF!</f>
        <v>#REF!</v>
      </c>
      <c r="I17" s="176" t="e">
        <f>'Mg St LP'!#REF!</f>
        <v>#REF!</v>
      </c>
      <c r="J17" s="176" t="e">
        <f>'Mg St LP'!#REF!</f>
        <v>#REF!</v>
      </c>
      <c r="K17" s="176" t="e">
        <f>'Mg St LP'!#REF!</f>
        <v>#REF!</v>
      </c>
    </row>
    <row r="18" spans="2:11" ht="15.75" customHeight="1" x14ac:dyDescent="0.2">
      <c r="B18" s="175" t="s">
        <v>34</v>
      </c>
      <c r="C18" s="176">
        <f>'Summary Sheet - April 2026'!AA20</f>
        <v>98796.500000000015</v>
      </c>
      <c r="D18" s="176" t="e">
        <f t="shared" ref="D18:F18" si="13">#REF!</f>
        <v>#REF!</v>
      </c>
      <c r="E18" s="176" t="e">
        <f t="shared" si="13"/>
        <v>#REF!</v>
      </c>
      <c r="F18" s="176" t="e">
        <f t="shared" si="13"/>
        <v>#REF!</v>
      </c>
      <c r="G18" s="176" t="e">
        <f>'Mg St LP'!#REF!</f>
        <v>#REF!</v>
      </c>
      <c r="H18" s="176" t="e">
        <f>'Mg St LP'!#REF!</f>
        <v>#REF!</v>
      </c>
      <c r="I18" s="176" t="e">
        <f>'Mg St LP'!#REF!</f>
        <v>#REF!</v>
      </c>
      <c r="J18" s="176" t="e">
        <f>'Mg St LP'!#REF!</f>
        <v>#REF!</v>
      </c>
      <c r="K18" s="176" t="e">
        <f>'Mg St LP'!#REF!</f>
        <v>#REF!</v>
      </c>
    </row>
    <row r="19" spans="2:11" ht="15.75" customHeight="1" x14ac:dyDescent="0.2">
      <c r="B19" s="175" t="s">
        <v>35</v>
      </c>
      <c r="C19" s="176">
        <f>'Summary Sheet - April 2026'!AA21</f>
        <v>674779.24</v>
      </c>
      <c r="D19" s="176" t="e">
        <f t="shared" ref="D19:F19" si="14">#REF!</f>
        <v>#REF!</v>
      </c>
      <c r="E19" s="176" t="e">
        <f t="shared" si="14"/>
        <v>#REF!</v>
      </c>
      <c r="F19" s="176" t="e">
        <f t="shared" si="14"/>
        <v>#REF!</v>
      </c>
      <c r="G19" s="176" t="e">
        <f>'Mg St LP'!#REF!</f>
        <v>#REF!</v>
      </c>
      <c r="H19" s="176" t="e">
        <f>'Mg St LP'!#REF!</f>
        <v>#REF!</v>
      </c>
      <c r="I19" s="176" t="e">
        <f>'Mg St LP'!#REF!</f>
        <v>#REF!</v>
      </c>
      <c r="J19" s="176" t="e">
        <f>'Mg St LP'!#REF!</f>
        <v>#REF!</v>
      </c>
      <c r="K19" s="176" t="e">
        <f>'Mg St LP'!#REF!</f>
        <v>#REF!</v>
      </c>
    </row>
    <row r="20" spans="2:11" ht="15.75" customHeight="1" x14ac:dyDescent="0.2">
      <c r="B20" s="175" t="s">
        <v>36</v>
      </c>
      <c r="C20" s="176">
        <f>'Summary Sheet - April 2026'!AA22</f>
        <v>1093486</v>
      </c>
      <c r="D20" s="176" t="e">
        <f t="shared" ref="D20:F20" si="15">#REF!</f>
        <v>#REF!</v>
      </c>
      <c r="E20" s="176" t="e">
        <f t="shared" si="15"/>
        <v>#REF!</v>
      </c>
      <c r="F20" s="176" t="e">
        <f t="shared" si="15"/>
        <v>#REF!</v>
      </c>
      <c r="G20" s="176" t="e">
        <f>'Mg St LP'!#REF!</f>
        <v>#REF!</v>
      </c>
      <c r="H20" s="176" t="e">
        <f>'Mg St LP'!#REF!</f>
        <v>#REF!</v>
      </c>
      <c r="I20" s="176" t="e">
        <f>'Mg St LP'!#REF!</f>
        <v>#REF!</v>
      </c>
      <c r="J20" s="176" t="e">
        <f>'Mg St LP'!#REF!</f>
        <v>#REF!</v>
      </c>
      <c r="K20" s="176" t="e">
        <f>'Mg St LP'!#REF!</f>
        <v>#REF!</v>
      </c>
    </row>
    <row r="21" spans="2:11" ht="15.75" customHeight="1" x14ac:dyDescent="0.2">
      <c r="B21" s="175" t="s">
        <v>37</v>
      </c>
      <c r="C21" s="176">
        <f>'Summary Sheet - April 2026'!AA23</f>
        <v>1746002.6866666668</v>
      </c>
      <c r="D21" s="176" t="e">
        <f t="shared" ref="D21:F21" si="16">#REF!</f>
        <v>#REF!</v>
      </c>
      <c r="E21" s="176" t="e">
        <f t="shared" si="16"/>
        <v>#REF!</v>
      </c>
      <c r="F21" s="176" t="e">
        <f t="shared" si="16"/>
        <v>#REF!</v>
      </c>
      <c r="G21" s="176" t="e">
        <f>'Mg St LP'!#REF!</f>
        <v>#REF!</v>
      </c>
      <c r="H21" s="176" t="e">
        <f>'Mg St LP'!#REF!</f>
        <v>#REF!</v>
      </c>
      <c r="I21" s="176" t="e">
        <f>'Mg St LP'!#REF!</f>
        <v>#REF!</v>
      </c>
      <c r="J21" s="176" t="e">
        <f>'Mg St LP'!#REF!</f>
        <v>#REF!</v>
      </c>
      <c r="K21" s="176" t="e">
        <f>'Mg St LP'!#REF!</f>
        <v>#REF!</v>
      </c>
    </row>
    <row r="22" spans="2:11" ht="15.75" customHeight="1" x14ac:dyDescent="0.2">
      <c r="B22" s="175" t="s">
        <v>38</v>
      </c>
      <c r="C22" s="176">
        <f>'Summary Sheet - April 2026'!AA24</f>
        <v>25508</v>
      </c>
      <c r="D22" s="176" t="e">
        <f t="shared" ref="D22:F22" si="17">#REF!</f>
        <v>#REF!</v>
      </c>
      <c r="E22" s="176" t="e">
        <f t="shared" si="17"/>
        <v>#REF!</v>
      </c>
      <c r="F22" s="176" t="e">
        <f t="shared" si="17"/>
        <v>#REF!</v>
      </c>
      <c r="G22" s="176" t="e">
        <f>'Mg St LP'!#REF!</f>
        <v>#REF!</v>
      </c>
      <c r="H22" s="176" t="e">
        <f>'Mg St LP'!#REF!</f>
        <v>#REF!</v>
      </c>
      <c r="I22" s="176" t="e">
        <f>'Mg St LP'!#REF!</f>
        <v>#REF!</v>
      </c>
      <c r="J22" s="176" t="e">
        <f>'Mg St LP'!#REF!</f>
        <v>#REF!</v>
      </c>
      <c r="K22" s="176" t="e">
        <f>'Mg St LP'!#REF!</f>
        <v>#REF!</v>
      </c>
    </row>
    <row r="23" spans="2:11" ht="15.75" customHeight="1" x14ac:dyDescent="0.2">
      <c r="B23" s="175" t="s">
        <v>39</v>
      </c>
      <c r="C23" s="176">
        <f>'Summary Sheet - April 2026'!AA25</f>
        <v>49820.333333333336</v>
      </c>
      <c r="D23" s="176" t="e">
        <f t="shared" ref="D23:F23" si="18">#REF!</f>
        <v>#REF!</v>
      </c>
      <c r="E23" s="176" t="e">
        <f t="shared" si="18"/>
        <v>#REF!</v>
      </c>
      <c r="F23" s="176" t="e">
        <f t="shared" si="18"/>
        <v>#REF!</v>
      </c>
      <c r="G23" s="176" t="e">
        <f>'Mg St LP'!#REF!</f>
        <v>#REF!</v>
      </c>
      <c r="H23" s="176" t="e">
        <f>'Mg St LP'!#REF!</f>
        <v>#REF!</v>
      </c>
      <c r="I23" s="176" t="e">
        <f>'Mg St LP'!#REF!</f>
        <v>#REF!</v>
      </c>
      <c r="J23" s="176" t="e">
        <f>'Mg St LP'!#REF!</f>
        <v>#REF!</v>
      </c>
      <c r="K23" s="176" t="e">
        <f>'Mg St LP'!#REF!</f>
        <v>#REF!</v>
      </c>
    </row>
    <row r="24" spans="2:11" ht="15.75" customHeight="1" x14ac:dyDescent="0.2">
      <c r="B24" s="175" t="s">
        <v>40</v>
      </c>
      <c r="C24" s="176">
        <f>'Summary Sheet - April 2026'!AA26</f>
        <v>327269.25</v>
      </c>
      <c r="D24" s="176" t="e">
        <f t="shared" ref="D24:F24" si="19">#REF!</f>
        <v>#REF!</v>
      </c>
      <c r="E24" s="176" t="e">
        <f t="shared" si="19"/>
        <v>#REF!</v>
      </c>
      <c r="F24" s="176" t="e">
        <f t="shared" si="19"/>
        <v>#REF!</v>
      </c>
      <c r="G24" s="176" t="e">
        <f>'Mg St LP'!#REF!</f>
        <v>#REF!</v>
      </c>
      <c r="H24" s="176" t="e">
        <f>'Mg St LP'!#REF!</f>
        <v>#REF!</v>
      </c>
      <c r="I24" s="176" t="e">
        <f>'Mg St LP'!#REF!</f>
        <v>#REF!</v>
      </c>
      <c r="J24" s="176" t="e">
        <f>'Mg St LP'!#REF!</f>
        <v>#REF!</v>
      </c>
      <c r="K24" s="176" t="e">
        <f>'Mg St LP'!#REF!</f>
        <v>#REF!</v>
      </c>
    </row>
    <row r="25" spans="2:11" ht="15.75" customHeight="1" x14ac:dyDescent="0.2">
      <c r="B25" s="175" t="s">
        <v>41</v>
      </c>
      <c r="C25" s="176">
        <f>'Summary Sheet - April 2026'!AA27</f>
        <v>0</v>
      </c>
      <c r="D25" s="176" t="e">
        <f t="shared" ref="D25:F25" si="20">#REF!</f>
        <v>#REF!</v>
      </c>
      <c r="E25" s="176" t="e">
        <f t="shared" si="20"/>
        <v>#REF!</v>
      </c>
      <c r="F25" s="176" t="e">
        <f t="shared" si="20"/>
        <v>#REF!</v>
      </c>
      <c r="G25" s="176">
        <v>0</v>
      </c>
      <c r="H25" s="176">
        <v>0</v>
      </c>
      <c r="I25" s="176" t="e">
        <f>'Mg St LP'!#REF!</f>
        <v>#REF!</v>
      </c>
      <c r="J25" s="176" t="e">
        <f>'Mg St LP'!#REF!</f>
        <v>#REF!</v>
      </c>
      <c r="K25" s="176" t="e">
        <f>'Mg St LP'!#REF!</f>
        <v>#REF!</v>
      </c>
    </row>
    <row r="26" spans="2:11" ht="15.75" customHeight="1" x14ac:dyDescent="0.2">
      <c r="B26" s="175" t="s">
        <v>42</v>
      </c>
      <c r="C26" s="176">
        <f>'Summary Sheet - April 2026'!AA28</f>
        <v>0</v>
      </c>
      <c r="D26" s="176" t="e">
        <f t="shared" ref="D26:F26" si="21">#REF!</f>
        <v>#REF!</v>
      </c>
      <c r="E26" s="176" t="e">
        <f t="shared" si="21"/>
        <v>#REF!</v>
      </c>
      <c r="F26" s="176" t="e">
        <f t="shared" si="21"/>
        <v>#REF!</v>
      </c>
      <c r="G26" s="176">
        <v>0</v>
      </c>
      <c r="H26" s="176">
        <v>0</v>
      </c>
      <c r="I26" s="176">
        <v>0</v>
      </c>
      <c r="J26" s="176">
        <v>0</v>
      </c>
      <c r="K26" s="176">
        <v>0</v>
      </c>
    </row>
    <row r="27" spans="2:11" ht="15.75" customHeight="1" x14ac:dyDescent="0.2">
      <c r="B27" s="175" t="s">
        <v>43</v>
      </c>
      <c r="C27" s="177">
        <f t="shared" ref="C27:K27" si="22">SUM(C17:C26)</f>
        <v>4245149.833333334</v>
      </c>
      <c r="D27" s="177" t="e">
        <f t="shared" si="22"/>
        <v>#REF!</v>
      </c>
      <c r="E27" s="177" t="e">
        <f t="shared" si="22"/>
        <v>#REF!</v>
      </c>
      <c r="F27" s="177" t="e">
        <f t="shared" si="22"/>
        <v>#REF!</v>
      </c>
      <c r="G27" s="177" t="e">
        <f t="shared" si="22"/>
        <v>#REF!</v>
      </c>
      <c r="H27" s="177" t="e">
        <f t="shared" si="22"/>
        <v>#REF!</v>
      </c>
      <c r="I27" s="177" t="e">
        <f t="shared" si="22"/>
        <v>#REF!</v>
      </c>
      <c r="J27" s="177" t="e">
        <f t="shared" si="22"/>
        <v>#REF!</v>
      </c>
      <c r="K27" s="177" t="e">
        <f t="shared" si="22"/>
        <v>#REF!</v>
      </c>
    </row>
    <row r="28" spans="2:11" ht="15.75" customHeight="1" x14ac:dyDescent="0.2">
      <c r="B28" s="175"/>
      <c r="C28" s="173"/>
      <c r="D28" s="173"/>
      <c r="E28" s="173" t="e">
        <f t="shared" ref="E28:F28" si="23">#REF!</f>
        <v>#REF!</v>
      </c>
      <c r="F28" s="173" t="e">
        <f t="shared" si="23"/>
        <v>#REF!</v>
      </c>
      <c r="G28" s="173"/>
      <c r="H28" s="173"/>
      <c r="I28" s="173"/>
      <c r="J28" s="173"/>
      <c r="K28" s="173"/>
    </row>
    <row r="29" spans="2:11" ht="15.75" customHeight="1" x14ac:dyDescent="0.2">
      <c r="B29" s="175" t="s">
        <v>44</v>
      </c>
      <c r="C29" s="177" t="e">
        <f t="shared" ref="C29:K29" si="24">C14-C27</f>
        <v>#REF!</v>
      </c>
      <c r="D29" s="177" t="e">
        <f t="shared" si="24"/>
        <v>#REF!</v>
      </c>
      <c r="E29" s="177" t="e">
        <f t="shared" si="24"/>
        <v>#REF!</v>
      </c>
      <c r="F29" s="177" t="e">
        <f t="shared" si="24"/>
        <v>#REF!</v>
      </c>
      <c r="G29" s="177" t="e">
        <f t="shared" si="24"/>
        <v>#REF!</v>
      </c>
      <c r="H29" s="177" t="e">
        <f t="shared" si="24"/>
        <v>#REF!</v>
      </c>
      <c r="I29" s="177" t="e">
        <f t="shared" si="24"/>
        <v>#REF!</v>
      </c>
      <c r="J29" s="177" t="e">
        <f t="shared" si="24"/>
        <v>#REF!</v>
      </c>
      <c r="K29" s="177" t="e">
        <f t="shared" si="24"/>
        <v>#REF!</v>
      </c>
    </row>
    <row r="30" spans="2:11" ht="15.75" customHeight="1" x14ac:dyDescent="0.2">
      <c r="B30" s="175" t="s">
        <v>53</v>
      </c>
      <c r="C30" s="178" t="e">
        <f t="shared" ref="C30:K30" si="25">C29/C8</f>
        <v>#REF!</v>
      </c>
      <c r="D30" s="178" t="e">
        <f t="shared" si="25"/>
        <v>#REF!</v>
      </c>
      <c r="E30" s="178" t="e">
        <f t="shared" si="25"/>
        <v>#REF!</v>
      </c>
      <c r="F30" s="178" t="e">
        <f t="shared" si="25"/>
        <v>#REF!</v>
      </c>
      <c r="G30" s="178" t="e">
        <f t="shared" si="25"/>
        <v>#REF!</v>
      </c>
      <c r="H30" s="178" t="e">
        <f t="shared" si="25"/>
        <v>#REF!</v>
      </c>
      <c r="I30" s="178" t="e">
        <f t="shared" si="25"/>
        <v>#REF!</v>
      </c>
      <c r="J30" s="178" t="e">
        <f t="shared" si="25"/>
        <v>#REF!</v>
      </c>
      <c r="K30" s="178" t="e">
        <f t="shared" si="25"/>
        <v>#REF!</v>
      </c>
    </row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fitToPage="1"/>
  </sheetPr>
  <dimension ref="A1:AA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2.5703125" defaultRowHeight="15" customHeight="1" x14ac:dyDescent="0.2"/>
  <cols>
    <col min="1" max="1" width="12.5703125" customWidth="1"/>
    <col min="2" max="2" width="26.42578125" customWidth="1"/>
    <col min="3" max="3" width="13" customWidth="1"/>
    <col min="4" max="4" width="10.5703125" hidden="1" customWidth="1"/>
    <col min="5" max="5" width="13.140625" customWidth="1"/>
    <col min="6" max="6" width="10.5703125" hidden="1" customWidth="1"/>
    <col min="7" max="7" width="13.140625" customWidth="1"/>
    <col min="8" max="8" width="10.5703125" hidden="1" customWidth="1"/>
    <col min="9" max="9" width="13.140625" customWidth="1"/>
    <col min="10" max="10" width="11.85546875" hidden="1" customWidth="1"/>
    <col min="11" max="11" width="13.140625" customWidth="1"/>
    <col min="12" max="12" width="13.140625" hidden="1" customWidth="1"/>
    <col min="13" max="13" width="13.140625" customWidth="1"/>
    <col min="14" max="14" width="10.5703125" hidden="1" customWidth="1"/>
    <col min="15" max="15" width="14.28515625" customWidth="1"/>
    <col min="16" max="16" width="10.5703125" hidden="1" customWidth="1"/>
    <col min="17" max="17" width="13.140625" customWidth="1"/>
    <col min="18" max="18" width="11.85546875" hidden="1" customWidth="1"/>
    <col min="19" max="19" width="13.140625" customWidth="1"/>
    <col min="20" max="20" width="11.85546875" hidden="1" customWidth="1"/>
    <col min="21" max="21" width="13.140625" customWidth="1"/>
    <col min="22" max="22" width="11.85546875" hidden="1" customWidth="1"/>
    <col min="23" max="23" width="13.140625" customWidth="1"/>
    <col min="24" max="24" width="11.85546875" hidden="1" customWidth="1"/>
    <col min="25" max="25" width="14.28515625" customWidth="1"/>
    <col min="26" max="26" width="13.140625" customWidth="1"/>
    <col min="27" max="27" width="12.7109375" customWidth="1"/>
  </cols>
  <sheetData>
    <row r="1" spans="1:27" ht="15.75" customHeight="1" x14ac:dyDescent="0.25">
      <c r="A1" s="244"/>
      <c r="B1" s="244"/>
      <c r="C1" s="863"/>
      <c r="D1" s="863"/>
      <c r="E1" s="863"/>
      <c r="F1" s="863"/>
      <c r="G1" s="863"/>
      <c r="H1" s="863"/>
      <c r="I1" s="863"/>
      <c r="J1" s="863"/>
      <c r="K1" s="863"/>
      <c r="L1" s="863"/>
      <c r="M1" s="863"/>
      <c r="N1" s="863"/>
      <c r="O1" s="863"/>
      <c r="P1" s="863"/>
      <c r="Q1" s="863"/>
      <c r="R1" s="863"/>
      <c r="S1" s="863"/>
      <c r="T1" s="863"/>
      <c r="U1" s="863"/>
      <c r="V1" s="863"/>
      <c r="W1" s="863"/>
      <c r="X1" s="863"/>
      <c r="Y1" s="864"/>
      <c r="Z1" s="864"/>
      <c r="AA1" s="863"/>
    </row>
    <row r="2" spans="1:27" ht="15.75" customHeight="1" x14ac:dyDescent="0.25">
      <c r="A2" s="244"/>
      <c r="B2" s="511" t="s">
        <v>159</v>
      </c>
      <c r="C2" s="863"/>
      <c r="D2" s="863"/>
      <c r="E2" s="863"/>
      <c r="F2" s="863"/>
      <c r="G2" s="863"/>
      <c r="H2" s="863"/>
      <c r="I2" s="863"/>
      <c r="J2" s="863"/>
      <c r="K2" s="863"/>
      <c r="L2" s="863"/>
      <c r="M2" s="863"/>
      <c r="N2" s="863"/>
      <c r="O2" s="863"/>
      <c r="P2" s="863"/>
      <c r="Q2" s="863"/>
      <c r="R2" s="863"/>
      <c r="S2" s="863"/>
      <c r="T2" s="863"/>
      <c r="U2" s="863"/>
      <c r="V2" s="863"/>
      <c r="W2" s="863"/>
      <c r="X2" s="863"/>
      <c r="Y2" s="864"/>
      <c r="Z2" s="864"/>
      <c r="AA2" s="863"/>
    </row>
    <row r="3" spans="1:27" ht="15.75" customHeight="1" x14ac:dyDescent="0.25">
      <c r="A3" s="244"/>
      <c r="B3" s="245" t="s">
        <v>413</v>
      </c>
      <c r="C3" s="863"/>
      <c r="D3" s="863"/>
      <c r="E3" s="863"/>
      <c r="F3" s="863"/>
      <c r="G3" s="863"/>
      <c r="H3" s="863"/>
      <c r="I3" s="863"/>
      <c r="J3" s="863"/>
      <c r="K3" s="863"/>
      <c r="L3" s="863"/>
      <c r="M3" s="863"/>
      <c r="N3" s="863"/>
      <c r="O3" s="863"/>
      <c r="P3" s="863"/>
      <c r="Q3" s="863"/>
      <c r="R3" s="863"/>
      <c r="S3" s="863"/>
      <c r="T3" s="863"/>
      <c r="U3" s="863"/>
      <c r="V3" s="863"/>
      <c r="W3" s="863"/>
      <c r="X3" s="863"/>
      <c r="Y3" s="864"/>
      <c r="Z3" s="864"/>
      <c r="AA3" s="863"/>
    </row>
    <row r="4" spans="1:27" ht="15.75" customHeight="1" x14ac:dyDescent="0.25">
      <c r="A4" s="244"/>
      <c r="B4" s="244"/>
      <c r="C4" s="865"/>
      <c r="D4" s="865"/>
      <c r="E4" s="865"/>
      <c r="F4" s="865"/>
      <c r="G4" s="865"/>
      <c r="H4" s="865"/>
      <c r="I4" s="865"/>
      <c r="J4" s="865"/>
      <c r="K4" s="179"/>
      <c r="L4" s="179"/>
      <c r="M4" s="863"/>
      <c r="N4" s="863"/>
      <c r="O4" s="863"/>
      <c r="P4" s="863"/>
      <c r="Q4" s="863"/>
      <c r="R4" s="863"/>
      <c r="S4" s="863"/>
      <c r="T4" s="863"/>
      <c r="U4" s="863"/>
      <c r="V4" s="863"/>
      <c r="W4" s="863"/>
      <c r="X4" s="863"/>
      <c r="Y4" s="864"/>
      <c r="Z4" s="864"/>
      <c r="AA4" s="863"/>
    </row>
    <row r="5" spans="1:27" ht="15.75" customHeight="1" x14ac:dyDescent="0.25">
      <c r="A5" s="244"/>
      <c r="B5" s="866" t="s">
        <v>46</v>
      </c>
      <c r="C5" s="995">
        <v>45748</v>
      </c>
      <c r="D5" s="931"/>
      <c r="E5" s="995">
        <v>45778</v>
      </c>
      <c r="F5" s="931"/>
      <c r="G5" s="995">
        <v>45809</v>
      </c>
      <c r="H5" s="931"/>
      <c r="I5" s="995">
        <v>45839</v>
      </c>
      <c r="J5" s="935"/>
      <c r="K5" s="995">
        <v>45870</v>
      </c>
      <c r="L5" s="931"/>
      <c r="M5" s="995">
        <v>45901</v>
      </c>
      <c r="N5" s="931"/>
      <c r="O5" s="995">
        <v>45931</v>
      </c>
      <c r="P5" s="931"/>
      <c r="Q5" s="993" t="s">
        <v>402</v>
      </c>
      <c r="R5" s="931"/>
      <c r="S5" s="993" t="s">
        <v>403</v>
      </c>
      <c r="T5" s="931"/>
      <c r="U5" s="993" t="s">
        <v>414</v>
      </c>
      <c r="V5" s="931"/>
      <c r="W5" s="993" t="s">
        <v>415</v>
      </c>
      <c r="X5" s="931"/>
      <c r="Y5" s="994" t="s">
        <v>416</v>
      </c>
      <c r="Z5" s="994" t="s">
        <v>19</v>
      </c>
      <c r="AA5" s="994" t="s">
        <v>417</v>
      </c>
    </row>
    <row r="6" spans="1:27" ht="15.75" customHeight="1" x14ac:dyDescent="0.25">
      <c r="A6" s="244"/>
      <c r="B6" s="867" t="s">
        <v>418</v>
      </c>
      <c r="C6" s="868" t="s">
        <v>17</v>
      </c>
      <c r="D6" s="869" t="s">
        <v>419</v>
      </c>
      <c r="E6" s="868" t="s">
        <v>17</v>
      </c>
      <c r="F6" s="869" t="s">
        <v>419</v>
      </c>
      <c r="G6" s="868" t="s">
        <v>17</v>
      </c>
      <c r="H6" s="869" t="s">
        <v>419</v>
      </c>
      <c r="I6" s="868" t="s">
        <v>17</v>
      </c>
      <c r="J6" s="870" t="s">
        <v>419</v>
      </c>
      <c r="K6" s="868" t="s">
        <v>17</v>
      </c>
      <c r="L6" s="869" t="s">
        <v>419</v>
      </c>
      <c r="M6" s="868" t="s">
        <v>17</v>
      </c>
      <c r="N6" s="869" t="s">
        <v>419</v>
      </c>
      <c r="O6" s="868" t="s">
        <v>17</v>
      </c>
      <c r="P6" s="869" t="s">
        <v>419</v>
      </c>
      <c r="Q6" s="868" t="s">
        <v>17</v>
      </c>
      <c r="R6" s="869" t="s">
        <v>419</v>
      </c>
      <c r="S6" s="868" t="s">
        <v>17</v>
      </c>
      <c r="T6" s="869" t="s">
        <v>419</v>
      </c>
      <c r="U6" s="868" t="s">
        <v>17</v>
      </c>
      <c r="V6" s="869" t="s">
        <v>419</v>
      </c>
      <c r="W6" s="868" t="s">
        <v>17</v>
      </c>
      <c r="X6" s="869" t="s">
        <v>419</v>
      </c>
      <c r="Y6" s="937"/>
      <c r="Z6" s="937"/>
      <c r="AA6" s="937"/>
    </row>
    <row r="7" spans="1:27" ht="15.75" customHeight="1" x14ac:dyDescent="0.25">
      <c r="A7" s="244"/>
      <c r="B7" s="282" t="s">
        <v>21</v>
      </c>
      <c r="C7" s="261">
        <f>'The Table'!D24</f>
        <v>1172105</v>
      </c>
      <c r="D7" s="871" t="e">
        <f t="shared" ref="D7:D12" si="0">C7/$C$12</f>
        <v>#REF!</v>
      </c>
      <c r="E7" s="872" t="e">
        <f t="shared" ref="E7:E10" si="1">#REF!</f>
        <v>#REF!</v>
      </c>
      <c r="F7" s="871" t="e">
        <f t="shared" ref="F7:F11" si="2">E7/$E$12</f>
        <v>#REF!</v>
      </c>
      <c r="G7" s="872" t="e">
        <f t="shared" ref="G7:G10" si="3">#REF!</f>
        <v>#REF!</v>
      </c>
      <c r="H7" s="871" t="e">
        <f t="shared" ref="H7:H11" si="4">G7/$G$12</f>
        <v>#REF!</v>
      </c>
      <c r="I7" s="872" t="e">
        <f t="shared" ref="I7:I10" si="5">#REF!</f>
        <v>#REF!</v>
      </c>
      <c r="J7" s="873" t="e">
        <f t="shared" ref="J7:J11" si="6">I7/$I$12</f>
        <v>#REF!</v>
      </c>
      <c r="K7" s="872" t="e">
        <f t="shared" ref="K7:K10" si="7">#REF!</f>
        <v>#REF!</v>
      </c>
      <c r="L7" s="871" t="e">
        <f t="shared" ref="L7:L11" si="8">K7/$K$12</f>
        <v>#REF!</v>
      </c>
      <c r="M7" s="872" t="e">
        <f>'The Table'!#REF!</f>
        <v>#REF!</v>
      </c>
      <c r="N7" s="871" t="e">
        <f t="shared" ref="N7:N11" si="9">M7/$M$12</f>
        <v>#REF!</v>
      </c>
      <c r="O7" s="872" t="e">
        <f>'The Table'!#REF!</f>
        <v>#REF!</v>
      </c>
      <c r="P7" s="871" t="e">
        <f t="shared" ref="P7:P11" si="10">O7/$O$12</f>
        <v>#REF!</v>
      </c>
      <c r="Q7" s="872" t="e">
        <f>'The Table'!#REF!</f>
        <v>#REF!</v>
      </c>
      <c r="R7" s="871" t="e">
        <f t="shared" ref="R7:R11" si="11">Q7/$Q$12</f>
        <v>#REF!</v>
      </c>
      <c r="S7" s="872" t="e">
        <f>'The Table'!#REF!</f>
        <v>#REF!</v>
      </c>
      <c r="T7" s="871" t="e">
        <f t="shared" ref="T7:T11" si="12">S7/$S$12</f>
        <v>#REF!</v>
      </c>
      <c r="U7" s="872" t="e">
        <f>'The Table'!#REF!</f>
        <v>#REF!</v>
      </c>
      <c r="V7" s="871" t="e">
        <f t="shared" ref="V7:V11" si="13">U7/$U$12</f>
        <v>#REF!</v>
      </c>
      <c r="W7" s="872" t="e">
        <f>'The Table'!#REF!</f>
        <v>#REF!</v>
      </c>
      <c r="X7" s="873" t="e">
        <f t="shared" ref="X7:X11" si="14">W7/$W$12</f>
        <v>#REF!</v>
      </c>
      <c r="Y7" s="874" t="e">
        <f t="shared" ref="Y7:Y11" si="15">C7+E7+G7+I7+K7+M7+O7+Q7+S7+U7+W7</f>
        <v>#REF!</v>
      </c>
      <c r="Z7" s="874" t="e">
        <f>'The Table'!#REF!</f>
        <v>#REF!</v>
      </c>
      <c r="AA7" s="875" t="e">
        <f t="shared" ref="AA7:AA10" si="16">Y7/Z7</f>
        <v>#REF!</v>
      </c>
    </row>
    <row r="8" spans="1:27" ht="15.75" customHeight="1" x14ac:dyDescent="0.25">
      <c r="A8" s="244"/>
      <c r="B8" s="263" t="s">
        <v>22</v>
      </c>
      <c r="C8" s="265">
        <f>'The Table'!D25</f>
        <v>4966546</v>
      </c>
      <c r="D8" s="876" t="e">
        <f t="shared" si="0"/>
        <v>#REF!</v>
      </c>
      <c r="E8" s="877" t="e">
        <f t="shared" si="1"/>
        <v>#REF!</v>
      </c>
      <c r="F8" s="876" t="e">
        <f t="shared" si="2"/>
        <v>#REF!</v>
      </c>
      <c r="G8" s="877" t="e">
        <f t="shared" si="3"/>
        <v>#REF!</v>
      </c>
      <c r="H8" s="871" t="e">
        <f t="shared" si="4"/>
        <v>#REF!</v>
      </c>
      <c r="I8" s="877" t="e">
        <f t="shared" si="5"/>
        <v>#REF!</v>
      </c>
      <c r="J8" s="873" t="e">
        <f t="shared" si="6"/>
        <v>#REF!</v>
      </c>
      <c r="K8" s="877" t="e">
        <f t="shared" si="7"/>
        <v>#REF!</v>
      </c>
      <c r="L8" s="871" t="e">
        <f t="shared" si="8"/>
        <v>#REF!</v>
      </c>
      <c r="M8" s="877" t="e">
        <f>'The Table'!#REF!</f>
        <v>#REF!</v>
      </c>
      <c r="N8" s="871" t="e">
        <f t="shared" si="9"/>
        <v>#REF!</v>
      </c>
      <c r="O8" s="877" t="e">
        <f>'The Table'!#REF!</f>
        <v>#REF!</v>
      </c>
      <c r="P8" s="871" t="e">
        <f t="shared" si="10"/>
        <v>#REF!</v>
      </c>
      <c r="Q8" s="877" t="e">
        <f>'The Table'!#REF!</f>
        <v>#REF!</v>
      </c>
      <c r="R8" s="871" t="e">
        <f t="shared" si="11"/>
        <v>#REF!</v>
      </c>
      <c r="S8" s="877" t="e">
        <f>'The Table'!#REF!</f>
        <v>#REF!</v>
      </c>
      <c r="T8" s="871" t="e">
        <f t="shared" si="12"/>
        <v>#REF!</v>
      </c>
      <c r="U8" s="872" t="e">
        <f>'The Table'!#REF!</f>
        <v>#REF!</v>
      </c>
      <c r="V8" s="871" t="e">
        <f t="shared" si="13"/>
        <v>#REF!</v>
      </c>
      <c r="W8" s="872" t="e">
        <f>'The Table'!#REF!</f>
        <v>#REF!</v>
      </c>
      <c r="X8" s="873" t="e">
        <f t="shared" si="14"/>
        <v>#REF!</v>
      </c>
      <c r="Y8" s="874" t="e">
        <f t="shared" si="15"/>
        <v>#REF!</v>
      </c>
      <c r="Z8" s="874" t="e">
        <f>'The Table'!#REF!</f>
        <v>#REF!</v>
      </c>
      <c r="AA8" s="878" t="e">
        <f t="shared" si="16"/>
        <v>#REF!</v>
      </c>
    </row>
    <row r="9" spans="1:27" ht="15.75" customHeight="1" x14ac:dyDescent="0.25">
      <c r="A9" s="244"/>
      <c r="B9" s="263" t="s">
        <v>23</v>
      </c>
      <c r="C9" s="265">
        <f>'The Table'!D26</f>
        <v>12668923.869999999</v>
      </c>
      <c r="D9" s="876" t="e">
        <f t="shared" si="0"/>
        <v>#REF!</v>
      </c>
      <c r="E9" s="877" t="e">
        <f t="shared" si="1"/>
        <v>#REF!</v>
      </c>
      <c r="F9" s="876" t="e">
        <f t="shared" si="2"/>
        <v>#REF!</v>
      </c>
      <c r="G9" s="877" t="e">
        <f t="shared" si="3"/>
        <v>#REF!</v>
      </c>
      <c r="H9" s="871" t="e">
        <f t="shared" si="4"/>
        <v>#REF!</v>
      </c>
      <c r="I9" s="877" t="e">
        <f t="shared" si="5"/>
        <v>#REF!</v>
      </c>
      <c r="J9" s="873" t="e">
        <f t="shared" si="6"/>
        <v>#REF!</v>
      </c>
      <c r="K9" s="877" t="e">
        <f t="shared" si="7"/>
        <v>#REF!</v>
      </c>
      <c r="L9" s="871" t="e">
        <f t="shared" si="8"/>
        <v>#REF!</v>
      </c>
      <c r="M9" s="877" t="e">
        <f>'The Table'!#REF!</f>
        <v>#REF!</v>
      </c>
      <c r="N9" s="871" t="e">
        <f t="shared" si="9"/>
        <v>#REF!</v>
      </c>
      <c r="O9" s="877" t="e">
        <f>'The Table'!#REF!</f>
        <v>#REF!</v>
      </c>
      <c r="P9" s="871" t="e">
        <f t="shared" si="10"/>
        <v>#REF!</v>
      </c>
      <c r="Q9" s="877" t="e">
        <f>'The Table'!#REF!</f>
        <v>#REF!</v>
      </c>
      <c r="R9" s="871" t="e">
        <f t="shared" si="11"/>
        <v>#REF!</v>
      </c>
      <c r="S9" s="877" t="e">
        <f>'The Table'!#REF!</f>
        <v>#REF!</v>
      </c>
      <c r="T9" s="871" t="e">
        <f t="shared" si="12"/>
        <v>#REF!</v>
      </c>
      <c r="U9" s="872" t="e">
        <f>'The Table'!#REF!</f>
        <v>#REF!</v>
      </c>
      <c r="V9" s="871" t="e">
        <f t="shared" si="13"/>
        <v>#REF!</v>
      </c>
      <c r="W9" s="872" t="e">
        <f>'The Table'!#REF!</f>
        <v>#REF!</v>
      </c>
      <c r="X9" s="873" t="e">
        <f t="shared" si="14"/>
        <v>#REF!</v>
      </c>
      <c r="Y9" s="874" t="e">
        <f t="shared" si="15"/>
        <v>#REF!</v>
      </c>
      <c r="Z9" s="874" t="e">
        <f>'The Table'!#REF!</f>
        <v>#REF!</v>
      </c>
      <c r="AA9" s="878" t="e">
        <f t="shared" si="16"/>
        <v>#REF!</v>
      </c>
    </row>
    <row r="10" spans="1:27" ht="15.75" customHeight="1" x14ac:dyDescent="0.25">
      <c r="A10" s="244"/>
      <c r="B10" s="263" t="s">
        <v>24</v>
      </c>
      <c r="C10" s="265">
        <f>'The Table'!D28</f>
        <v>1719138</v>
      </c>
      <c r="D10" s="876" t="e">
        <f t="shared" si="0"/>
        <v>#REF!</v>
      </c>
      <c r="E10" s="877" t="e">
        <f t="shared" si="1"/>
        <v>#REF!</v>
      </c>
      <c r="F10" s="876" t="e">
        <f t="shared" si="2"/>
        <v>#REF!</v>
      </c>
      <c r="G10" s="877" t="e">
        <f t="shared" si="3"/>
        <v>#REF!</v>
      </c>
      <c r="H10" s="871" t="e">
        <f t="shared" si="4"/>
        <v>#REF!</v>
      </c>
      <c r="I10" s="877" t="e">
        <f t="shared" si="5"/>
        <v>#REF!</v>
      </c>
      <c r="J10" s="873" t="e">
        <f t="shared" si="6"/>
        <v>#REF!</v>
      </c>
      <c r="K10" s="877" t="e">
        <f t="shared" si="7"/>
        <v>#REF!</v>
      </c>
      <c r="L10" s="871" t="e">
        <f t="shared" si="8"/>
        <v>#REF!</v>
      </c>
      <c r="M10" s="877" t="e">
        <f>'The Table'!#REF!</f>
        <v>#REF!</v>
      </c>
      <c r="N10" s="871" t="e">
        <f t="shared" si="9"/>
        <v>#REF!</v>
      </c>
      <c r="O10" s="877" t="e">
        <f>'The Table'!#REF!</f>
        <v>#REF!</v>
      </c>
      <c r="P10" s="871" t="e">
        <f t="shared" si="10"/>
        <v>#REF!</v>
      </c>
      <c r="Q10" s="877" t="e">
        <f>'The Table'!#REF!</f>
        <v>#REF!</v>
      </c>
      <c r="R10" s="871" t="e">
        <f t="shared" si="11"/>
        <v>#REF!</v>
      </c>
      <c r="S10" s="877" t="e">
        <f>'The Table'!#REF!</f>
        <v>#REF!</v>
      </c>
      <c r="T10" s="871" t="e">
        <f t="shared" si="12"/>
        <v>#REF!</v>
      </c>
      <c r="U10" s="877" t="e">
        <f>'The Table'!#REF!</f>
        <v>#REF!</v>
      </c>
      <c r="V10" s="871" t="e">
        <f t="shared" si="13"/>
        <v>#REF!</v>
      </c>
      <c r="W10" s="877" t="e">
        <f>'The Table'!#REF!</f>
        <v>#REF!</v>
      </c>
      <c r="X10" s="873" t="e">
        <f t="shared" si="14"/>
        <v>#REF!</v>
      </c>
      <c r="Y10" s="874" t="e">
        <f t="shared" si="15"/>
        <v>#REF!</v>
      </c>
      <c r="Z10" s="879" t="e">
        <f>'The Table'!#REF!</f>
        <v>#REF!</v>
      </c>
      <c r="AA10" s="878" t="e">
        <f t="shared" si="16"/>
        <v>#REF!</v>
      </c>
    </row>
    <row r="11" spans="1:27" ht="15.75" customHeight="1" x14ac:dyDescent="0.25">
      <c r="A11" s="244"/>
      <c r="B11" s="274" t="s">
        <v>164</v>
      </c>
      <c r="C11" s="276" t="e">
        <f>'The Table'!D22+'The Table'!#REF!+'The Table'!#REF!</f>
        <v>#REF!</v>
      </c>
      <c r="D11" s="880" t="e">
        <f t="shared" si="0"/>
        <v>#REF!</v>
      </c>
      <c r="E11" s="881" t="e">
        <f>'The Table'!#REF!+'The Table'!#REF!+'The Table'!#REF!</f>
        <v>#REF!</v>
      </c>
      <c r="F11" s="876" t="e">
        <f t="shared" si="2"/>
        <v>#REF!</v>
      </c>
      <c r="G11" s="882" t="e">
        <f>'The Table'!#REF!+'The Table'!#REF!+'The Table'!#REF!</f>
        <v>#REF!</v>
      </c>
      <c r="H11" s="871" t="e">
        <f t="shared" si="4"/>
        <v>#REF!</v>
      </c>
      <c r="I11" s="882" t="e">
        <f>'The Table'!#REF!+'The Table'!#REF!+'The Table'!#REF!</f>
        <v>#REF!</v>
      </c>
      <c r="J11" s="873" t="e">
        <f t="shared" si="6"/>
        <v>#REF!</v>
      </c>
      <c r="K11" s="882" t="e">
        <f>'The Table'!#REF!+'The Table'!#REF!+'The Table'!#REF!</f>
        <v>#REF!</v>
      </c>
      <c r="L11" s="871" t="e">
        <f t="shared" si="8"/>
        <v>#REF!</v>
      </c>
      <c r="M11" s="882" t="e">
        <f>'The Table'!#REF!+'The Table'!#REF!+'The Table'!#REF!</f>
        <v>#REF!</v>
      </c>
      <c r="N11" s="871" t="e">
        <f t="shared" si="9"/>
        <v>#REF!</v>
      </c>
      <c r="O11" s="882" t="e">
        <f>'The Table'!#REF!+'The Table'!#REF!+'The Table'!#REF!</f>
        <v>#REF!</v>
      </c>
      <c r="P11" s="871" t="e">
        <f t="shared" si="10"/>
        <v>#REF!</v>
      </c>
      <c r="Q11" s="882" t="e">
        <f>'The Table'!#REF!+'The Table'!#REF!+'The Table'!#REF!</f>
        <v>#REF!</v>
      </c>
      <c r="R11" s="871" t="e">
        <f t="shared" si="11"/>
        <v>#REF!</v>
      </c>
      <c r="S11" s="881" t="e">
        <f>'The Table'!#REF!</f>
        <v>#REF!</v>
      </c>
      <c r="T11" s="883" t="e">
        <f t="shared" si="12"/>
        <v>#REF!</v>
      </c>
      <c r="U11" s="881" t="e">
        <f>'The Table'!#REF!+'The Table'!#REF!+'The Table'!#REF!</f>
        <v>#REF!</v>
      </c>
      <c r="V11" s="871" t="e">
        <f t="shared" si="13"/>
        <v>#REF!</v>
      </c>
      <c r="W11" s="884" t="e">
        <f>'The Table'!#REF!+'The Table'!#REF!+'The Table'!#REF!</f>
        <v>#REF!</v>
      </c>
      <c r="X11" s="873" t="e">
        <f t="shared" si="14"/>
        <v>#REF!</v>
      </c>
      <c r="Y11" s="874" t="e">
        <f t="shared" si="15"/>
        <v>#REF!</v>
      </c>
      <c r="Z11" s="885">
        <v>0</v>
      </c>
      <c r="AA11" s="878">
        <v>0</v>
      </c>
    </row>
    <row r="12" spans="1:27" ht="15.75" customHeight="1" x14ac:dyDescent="0.25">
      <c r="A12" s="244"/>
      <c r="B12" s="866" t="s">
        <v>420</v>
      </c>
      <c r="C12" s="886" t="e">
        <f>SUM(C7:C11)</f>
        <v>#REF!</v>
      </c>
      <c r="D12" s="887" t="e">
        <f t="shared" si="0"/>
        <v>#REF!</v>
      </c>
      <c r="E12" s="886" t="e">
        <f>SUM(E7:E11)</f>
        <v>#REF!</v>
      </c>
      <c r="F12" s="887" t="e">
        <f>E12/E12</f>
        <v>#REF!</v>
      </c>
      <c r="G12" s="886" t="e">
        <f>SUM(G7:G11)</f>
        <v>#REF!</v>
      </c>
      <c r="H12" s="887" t="e">
        <f>G12/G12</f>
        <v>#REF!</v>
      </c>
      <c r="I12" s="886" t="e">
        <f>SUM(I7:I11)</f>
        <v>#REF!</v>
      </c>
      <c r="J12" s="888" t="e">
        <f>I12/I12</f>
        <v>#REF!</v>
      </c>
      <c r="K12" s="886" t="e">
        <f>SUM(K7:K11)</f>
        <v>#REF!</v>
      </c>
      <c r="L12" s="887" t="e">
        <f>K12/K12</f>
        <v>#REF!</v>
      </c>
      <c r="M12" s="886" t="e">
        <f>SUM(M7:M11)</f>
        <v>#REF!</v>
      </c>
      <c r="N12" s="887" t="e">
        <f>M12/M12</f>
        <v>#REF!</v>
      </c>
      <c r="O12" s="886" t="e">
        <f>SUM(O7:O11)</f>
        <v>#REF!</v>
      </c>
      <c r="P12" s="887" t="e">
        <f>O12/O12</f>
        <v>#REF!</v>
      </c>
      <c r="Q12" s="886" t="e">
        <f>SUM(Q7:Q11)</f>
        <v>#REF!</v>
      </c>
      <c r="R12" s="887" t="e">
        <f>Q12/Q12</f>
        <v>#REF!</v>
      </c>
      <c r="S12" s="886" t="e">
        <f>SUM(S7:S11)</f>
        <v>#REF!</v>
      </c>
      <c r="T12" s="887" t="e">
        <f>S12/S12</f>
        <v>#REF!</v>
      </c>
      <c r="U12" s="886" t="e">
        <f>SUM(U7:U11)</f>
        <v>#REF!</v>
      </c>
      <c r="V12" s="887" t="e">
        <f>U12/U12</f>
        <v>#REF!</v>
      </c>
      <c r="W12" s="886" t="e">
        <f>SUM(W7:W11)</f>
        <v>#REF!</v>
      </c>
      <c r="X12" s="888" t="e">
        <f>W12/W12</f>
        <v>#REF!</v>
      </c>
      <c r="Y12" s="889" t="e">
        <f t="shared" ref="Y12:Z12" si="17">SUM(Y7:Y11)</f>
        <v>#REF!</v>
      </c>
      <c r="Z12" s="889" t="e">
        <f t="shared" si="17"/>
        <v>#REF!</v>
      </c>
      <c r="AA12" s="890" t="e">
        <f>Y12/Z12</f>
        <v>#REF!</v>
      </c>
    </row>
    <row r="13" spans="1:27" ht="15.75" customHeight="1" x14ac:dyDescent="0.25">
      <c r="A13" s="244"/>
      <c r="B13" s="282"/>
      <c r="C13" s="261"/>
      <c r="D13" s="891"/>
      <c r="E13" s="892"/>
      <c r="F13" s="891"/>
      <c r="G13" s="892"/>
      <c r="H13" s="891"/>
      <c r="I13" s="892"/>
      <c r="J13" s="893"/>
      <c r="K13" s="892"/>
      <c r="L13" s="891"/>
      <c r="M13" s="892"/>
      <c r="N13" s="891"/>
      <c r="O13" s="892"/>
      <c r="P13" s="891"/>
      <c r="Q13" s="892"/>
      <c r="R13" s="891"/>
      <c r="S13" s="892"/>
      <c r="T13" s="891"/>
      <c r="U13" s="892"/>
      <c r="V13" s="891"/>
      <c r="W13" s="892"/>
      <c r="X13" s="893"/>
      <c r="Y13" s="894"/>
      <c r="Z13" s="894"/>
      <c r="AA13" s="895"/>
    </row>
    <row r="14" spans="1:27" ht="15.75" customHeight="1" x14ac:dyDescent="0.25">
      <c r="A14" s="244"/>
      <c r="B14" s="534" t="s">
        <v>186</v>
      </c>
      <c r="C14" s="265"/>
      <c r="D14" s="896"/>
      <c r="E14" s="897"/>
      <c r="F14" s="896"/>
      <c r="G14" s="897"/>
      <c r="H14" s="896"/>
      <c r="I14" s="897"/>
      <c r="J14" s="898"/>
      <c r="K14" s="897"/>
      <c r="L14" s="896"/>
      <c r="M14" s="897"/>
      <c r="N14" s="896"/>
      <c r="O14" s="897"/>
      <c r="P14" s="896"/>
      <c r="Q14" s="897"/>
      <c r="R14" s="896"/>
      <c r="S14" s="897"/>
      <c r="T14" s="896"/>
      <c r="U14" s="897"/>
      <c r="V14" s="896"/>
      <c r="W14" s="897"/>
      <c r="X14" s="898"/>
      <c r="Y14" s="899"/>
      <c r="Z14" s="899"/>
      <c r="AA14" s="900"/>
    </row>
    <row r="15" spans="1:27" ht="15.75" customHeight="1" x14ac:dyDescent="0.25">
      <c r="A15" s="244"/>
      <c r="B15" s="263" t="s">
        <v>28</v>
      </c>
      <c r="C15" s="265">
        <f>'The Table'!D39</f>
        <v>7063497.6277529541</v>
      </c>
      <c r="D15" s="876" t="e">
        <f t="shared" ref="D15:D18" si="18">C15/$C$12</f>
        <v>#REF!</v>
      </c>
      <c r="E15" s="877" t="e">
        <f t="shared" ref="E15:E16" si="19">#REF!</f>
        <v>#REF!</v>
      </c>
      <c r="F15" s="876" t="e">
        <f t="shared" ref="F15:F17" si="20">E15/$E$12</f>
        <v>#REF!</v>
      </c>
      <c r="G15" s="877" t="e">
        <f>'The Table'!#REF!</f>
        <v>#REF!</v>
      </c>
      <c r="H15" s="871" t="e">
        <f t="shared" ref="H15:H17" si="21">G15/$G$12</f>
        <v>#REF!</v>
      </c>
      <c r="I15" s="877" t="e">
        <f>'The Table'!#REF!</f>
        <v>#REF!</v>
      </c>
      <c r="J15" s="901" t="e">
        <f t="shared" ref="J15:J18" si="22">I15/$I$12</f>
        <v>#REF!</v>
      </c>
      <c r="K15" s="877" t="e">
        <f t="shared" ref="K15:K16" si="23">#REF!</f>
        <v>#REF!</v>
      </c>
      <c r="L15" s="871" t="e">
        <f t="shared" ref="L15:L16" si="24">K15/$K$12</f>
        <v>#REF!</v>
      </c>
      <c r="M15" s="877" t="e">
        <f>'The Table'!#REF!</f>
        <v>#REF!</v>
      </c>
      <c r="N15" s="871" t="e">
        <f t="shared" ref="N15:N16" si="25">M15/$M$12</f>
        <v>#REF!</v>
      </c>
      <c r="O15" s="877" t="e">
        <f>'The Table'!#REF!</f>
        <v>#REF!</v>
      </c>
      <c r="P15" s="871" t="e">
        <f t="shared" ref="P15:P16" si="26">O15/$O$12</f>
        <v>#REF!</v>
      </c>
      <c r="Q15" s="877" t="e">
        <f>'The Table'!#REF!</f>
        <v>#REF!</v>
      </c>
      <c r="R15" s="876" t="e">
        <f t="shared" ref="R15:R16" si="27">Q15/$Q$12</f>
        <v>#REF!</v>
      </c>
      <c r="S15" s="877" t="e">
        <f>'The Table'!#REF!</f>
        <v>#REF!</v>
      </c>
      <c r="T15" s="876" t="e">
        <f t="shared" ref="T15:T16" si="28">S15/$S$12</f>
        <v>#REF!</v>
      </c>
      <c r="U15" s="877" t="e">
        <f>'The Table'!#REF!</f>
        <v>#REF!</v>
      </c>
      <c r="V15" s="871" t="e">
        <f t="shared" ref="V15:V16" si="29">U15/$U$12</f>
        <v>#REF!</v>
      </c>
      <c r="W15" s="877" t="e">
        <f>'The Table'!#REF!</f>
        <v>#REF!</v>
      </c>
      <c r="X15" s="873" t="e">
        <f t="shared" ref="X15:X16" si="30">W15/$W$12</f>
        <v>#REF!</v>
      </c>
      <c r="Y15" s="874" t="e">
        <f t="shared" ref="Y15:Y16" si="31">C15+E15+G15+I15+K15+M15+O15+Q15+S15+U15+W15</f>
        <v>#REF!</v>
      </c>
      <c r="Z15" s="879" t="e">
        <f>'The Table'!#REF!</f>
        <v>#REF!</v>
      </c>
      <c r="AA15" s="878" t="e">
        <f t="shared" ref="AA15:AA16" si="32">Y15/Z15</f>
        <v>#REF!</v>
      </c>
    </row>
    <row r="16" spans="1:27" ht="15.75" customHeight="1" x14ac:dyDescent="0.25">
      <c r="A16" s="244"/>
      <c r="B16" s="263" t="s">
        <v>29</v>
      </c>
      <c r="C16" s="265">
        <f>'The Table'!D40</f>
        <v>47598.75</v>
      </c>
      <c r="D16" s="876" t="e">
        <f t="shared" si="18"/>
        <v>#REF!</v>
      </c>
      <c r="E16" s="877" t="e">
        <f t="shared" si="19"/>
        <v>#REF!</v>
      </c>
      <c r="F16" s="876" t="e">
        <f t="shared" si="20"/>
        <v>#REF!</v>
      </c>
      <c r="G16" s="877" t="e">
        <f>#REF!</f>
        <v>#REF!</v>
      </c>
      <c r="H16" s="871" t="e">
        <f t="shared" si="21"/>
        <v>#REF!</v>
      </c>
      <c r="I16" s="877" t="e">
        <f>#REF!</f>
        <v>#REF!</v>
      </c>
      <c r="J16" s="901" t="e">
        <f t="shared" si="22"/>
        <v>#REF!</v>
      </c>
      <c r="K16" s="877" t="e">
        <f t="shared" si="23"/>
        <v>#REF!</v>
      </c>
      <c r="L16" s="871" t="e">
        <f t="shared" si="24"/>
        <v>#REF!</v>
      </c>
      <c r="M16" s="877" t="e">
        <f>'The Table'!#REF!</f>
        <v>#REF!</v>
      </c>
      <c r="N16" s="871" t="e">
        <f t="shared" si="25"/>
        <v>#REF!</v>
      </c>
      <c r="O16" s="877" t="e">
        <f>'The Table'!#REF!</f>
        <v>#REF!</v>
      </c>
      <c r="P16" s="871" t="e">
        <f t="shared" si="26"/>
        <v>#REF!</v>
      </c>
      <c r="Q16" s="877" t="e">
        <f>'The Table'!#REF!</f>
        <v>#REF!</v>
      </c>
      <c r="R16" s="876" t="e">
        <f t="shared" si="27"/>
        <v>#REF!</v>
      </c>
      <c r="S16" s="877" t="e">
        <f>'The Table'!#REF!</f>
        <v>#REF!</v>
      </c>
      <c r="T16" s="876" t="e">
        <f t="shared" si="28"/>
        <v>#REF!</v>
      </c>
      <c r="U16" s="877" t="e">
        <f>'The Table'!#REF!</f>
        <v>#REF!</v>
      </c>
      <c r="V16" s="871" t="e">
        <f t="shared" si="29"/>
        <v>#REF!</v>
      </c>
      <c r="W16" s="877" t="e">
        <f>'The Table'!#REF!</f>
        <v>#REF!</v>
      </c>
      <c r="X16" s="873" t="e">
        <f t="shared" si="30"/>
        <v>#REF!</v>
      </c>
      <c r="Y16" s="874" t="e">
        <f t="shared" si="31"/>
        <v>#REF!</v>
      </c>
      <c r="Z16" s="879" t="e">
        <f>'The Table'!#REF!</f>
        <v>#REF!</v>
      </c>
      <c r="AA16" s="878" t="e">
        <f t="shared" si="32"/>
        <v>#REF!</v>
      </c>
    </row>
    <row r="17" spans="1:27" ht="15.75" customHeight="1" x14ac:dyDescent="0.25">
      <c r="A17" s="244"/>
      <c r="B17" s="274" t="s">
        <v>365</v>
      </c>
      <c r="C17" s="276">
        <v>0</v>
      </c>
      <c r="D17" s="880" t="e">
        <f t="shared" si="18"/>
        <v>#REF!</v>
      </c>
      <c r="E17" s="882"/>
      <c r="F17" s="876" t="e">
        <f t="shared" si="20"/>
        <v>#REF!</v>
      </c>
      <c r="G17" s="882"/>
      <c r="H17" s="871" t="e">
        <f t="shared" si="21"/>
        <v>#REF!</v>
      </c>
      <c r="I17" s="882"/>
      <c r="J17" s="901" t="e">
        <f t="shared" si="22"/>
        <v>#REF!</v>
      </c>
      <c r="K17" s="882"/>
      <c r="L17" s="902"/>
      <c r="M17" s="882"/>
      <c r="N17" s="902"/>
      <c r="O17" s="882"/>
      <c r="P17" s="902"/>
      <c r="Q17" s="882"/>
      <c r="R17" s="902"/>
      <c r="S17" s="882"/>
      <c r="T17" s="902"/>
      <c r="U17" s="882"/>
      <c r="V17" s="902"/>
      <c r="W17" s="882"/>
      <c r="X17" s="903"/>
      <c r="Y17" s="904"/>
      <c r="Z17" s="904"/>
      <c r="AA17" s="905"/>
    </row>
    <row r="18" spans="1:27" ht="15.75" customHeight="1" x14ac:dyDescent="0.25">
      <c r="A18" s="244"/>
      <c r="B18" s="866" t="s">
        <v>30</v>
      </c>
      <c r="C18" s="886">
        <f>SUM(C15:C17)</f>
        <v>7111096.3777529541</v>
      </c>
      <c r="D18" s="887" t="e">
        <f t="shared" si="18"/>
        <v>#REF!</v>
      </c>
      <c r="E18" s="906" t="e">
        <f>SUM(E15:E17)</f>
        <v>#REF!</v>
      </c>
      <c r="F18" s="887" t="e">
        <f>E18/E12</f>
        <v>#REF!</v>
      </c>
      <c r="G18" s="906" t="e">
        <f>SUM(G15:G17)</f>
        <v>#REF!</v>
      </c>
      <c r="H18" s="887" t="e">
        <f>G18/G12</f>
        <v>#REF!</v>
      </c>
      <c r="I18" s="906" t="e">
        <f>SUM(I15:I17)</f>
        <v>#REF!</v>
      </c>
      <c r="J18" s="888" t="e">
        <f t="shared" si="22"/>
        <v>#REF!</v>
      </c>
      <c r="K18" s="906" t="e">
        <f>SUM(K15:K17)</f>
        <v>#REF!</v>
      </c>
      <c r="L18" s="887" t="e">
        <f>K18/K12</f>
        <v>#REF!</v>
      </c>
      <c r="M18" s="906" t="e">
        <f>SUM(M15:M17)</f>
        <v>#REF!</v>
      </c>
      <c r="N18" s="887" t="e">
        <f>M18/M12</f>
        <v>#REF!</v>
      </c>
      <c r="O18" s="906" t="e">
        <f>SUM(O15:O17)</f>
        <v>#REF!</v>
      </c>
      <c r="P18" s="887" t="e">
        <f>+O18/O12</f>
        <v>#REF!</v>
      </c>
      <c r="Q18" s="906" t="e">
        <f>SUM(Q15:Q17)</f>
        <v>#REF!</v>
      </c>
      <c r="R18" s="887" t="e">
        <f>Q18/Q12</f>
        <v>#REF!</v>
      </c>
      <c r="S18" s="906" t="e">
        <f>SUM(S15:S17)</f>
        <v>#REF!</v>
      </c>
      <c r="T18" s="887" t="e">
        <f>S18/S12</f>
        <v>#REF!</v>
      </c>
      <c r="U18" s="906" t="e">
        <f>SUM(U15:U17)</f>
        <v>#REF!</v>
      </c>
      <c r="V18" s="887" t="e">
        <f>U18/U12</f>
        <v>#REF!</v>
      </c>
      <c r="W18" s="906" t="e">
        <f>SUM(W15:W17)</f>
        <v>#REF!</v>
      </c>
      <c r="X18" s="888" t="e">
        <f>W18/W12</f>
        <v>#REF!</v>
      </c>
      <c r="Y18" s="889" t="e">
        <f t="shared" ref="Y18:Z18" si="33">SUM(Y15:Y17)</f>
        <v>#REF!</v>
      </c>
      <c r="Z18" s="889" t="e">
        <f t="shared" si="33"/>
        <v>#REF!</v>
      </c>
      <c r="AA18" s="890" t="e">
        <f>Y18/Z18</f>
        <v>#REF!</v>
      </c>
    </row>
    <row r="19" spans="1:27" ht="15.75" customHeight="1" x14ac:dyDescent="0.25">
      <c r="A19" s="244"/>
      <c r="B19" s="300"/>
      <c r="C19" s="294"/>
      <c r="D19" s="907"/>
      <c r="E19" s="908"/>
      <c r="F19" s="907"/>
      <c r="G19" s="909" t="e">
        <f>#REF!</f>
        <v>#REF!</v>
      </c>
      <c r="H19" s="907"/>
      <c r="I19" s="908"/>
      <c r="J19" s="910"/>
      <c r="K19" s="908"/>
      <c r="L19" s="907"/>
      <c r="M19" s="908"/>
      <c r="N19" s="907"/>
      <c r="O19" s="908"/>
      <c r="P19" s="907"/>
      <c r="Q19" s="908"/>
      <c r="R19" s="907"/>
      <c r="S19" s="908"/>
      <c r="T19" s="907"/>
      <c r="U19" s="908"/>
      <c r="V19" s="907"/>
      <c r="W19" s="908"/>
      <c r="X19" s="910"/>
      <c r="Y19" s="911"/>
      <c r="Z19" s="911"/>
      <c r="AA19" s="912"/>
    </row>
    <row r="20" spans="1:27" ht="15.75" customHeight="1" x14ac:dyDescent="0.25">
      <c r="A20" s="244"/>
      <c r="B20" s="866" t="s">
        <v>32</v>
      </c>
      <c r="C20" s="886" t="e">
        <f>C12-C18</f>
        <v>#REF!</v>
      </c>
      <c r="D20" s="887" t="e">
        <f>C20/$C$12</f>
        <v>#REF!</v>
      </c>
      <c r="E20" s="906" t="e">
        <f>E12-E18</f>
        <v>#REF!</v>
      </c>
      <c r="F20" s="887" t="e">
        <f>E20/E12</f>
        <v>#REF!</v>
      </c>
      <c r="G20" s="906" t="e">
        <f>G12-G18</f>
        <v>#REF!</v>
      </c>
      <c r="H20" s="913"/>
      <c r="I20" s="906" t="e">
        <f>I12-I18</f>
        <v>#REF!</v>
      </c>
      <c r="J20" s="888" t="e">
        <f>I20/$I$12</f>
        <v>#REF!</v>
      </c>
      <c r="K20" s="906" t="e">
        <f>K12-K18</f>
        <v>#REF!</v>
      </c>
      <c r="L20" s="887" t="e">
        <f>K20/K12</f>
        <v>#REF!</v>
      </c>
      <c r="M20" s="906" t="e">
        <f>M12-M18</f>
        <v>#REF!</v>
      </c>
      <c r="N20" s="887" t="e">
        <f>M20/$M$12</f>
        <v>#REF!</v>
      </c>
      <c r="O20" s="906" t="e">
        <f>O12-O18</f>
        <v>#REF!</v>
      </c>
      <c r="P20" s="887" t="e">
        <f>O20/O12</f>
        <v>#REF!</v>
      </c>
      <c r="Q20" s="906" t="e">
        <f>Q12-Q18</f>
        <v>#REF!</v>
      </c>
      <c r="R20" s="887" t="e">
        <f>Q20/Q12</f>
        <v>#REF!</v>
      </c>
      <c r="S20" s="906" t="e">
        <f>S12-S18</f>
        <v>#REF!</v>
      </c>
      <c r="T20" s="887" t="e">
        <f>S20/S12</f>
        <v>#REF!</v>
      </c>
      <c r="U20" s="906" t="e">
        <f>U12-U18</f>
        <v>#REF!</v>
      </c>
      <c r="V20" s="887" t="e">
        <f>U20/U12</f>
        <v>#REF!</v>
      </c>
      <c r="W20" s="906" t="e">
        <f>W12-W18</f>
        <v>#REF!</v>
      </c>
      <c r="X20" s="888" t="e">
        <f>W20/W12</f>
        <v>#REF!</v>
      </c>
      <c r="Y20" s="889" t="e">
        <f t="shared" ref="Y20:Z20" si="34">Y12-Y18</f>
        <v>#REF!</v>
      </c>
      <c r="Z20" s="889" t="e">
        <f t="shared" si="34"/>
        <v>#REF!</v>
      </c>
      <c r="AA20" s="890" t="e">
        <f>Y20/Z20</f>
        <v>#REF!</v>
      </c>
    </row>
    <row r="21" spans="1:27" ht="15.75" customHeight="1" x14ac:dyDescent="0.25">
      <c r="A21" s="244"/>
      <c r="B21" s="282"/>
      <c r="C21" s="261"/>
      <c r="D21" s="891"/>
      <c r="E21" s="892"/>
      <c r="F21" s="891"/>
      <c r="G21" s="892"/>
      <c r="H21" s="891"/>
      <c r="I21" s="892"/>
      <c r="J21" s="893"/>
      <c r="K21" s="892"/>
      <c r="L21" s="891"/>
      <c r="M21" s="892"/>
      <c r="N21" s="891"/>
      <c r="O21" s="892"/>
      <c r="P21" s="891"/>
      <c r="Q21" s="892"/>
      <c r="R21" s="891"/>
      <c r="S21" s="892"/>
      <c r="T21" s="891"/>
      <c r="U21" s="892"/>
      <c r="V21" s="891"/>
      <c r="W21" s="892"/>
      <c r="X21" s="893"/>
      <c r="Y21" s="894"/>
      <c r="Z21" s="894"/>
      <c r="AA21" s="895"/>
    </row>
    <row r="22" spans="1:27" ht="15.75" customHeight="1" x14ac:dyDescent="0.25">
      <c r="A22" s="244"/>
      <c r="B22" s="263" t="s">
        <v>33</v>
      </c>
      <c r="C22" s="265">
        <f>'The Table'!D51</f>
        <v>528195.62333333341</v>
      </c>
      <c r="D22" s="876" t="e">
        <f t="shared" ref="D22:D38" si="35">C22/$C$12</f>
        <v>#REF!</v>
      </c>
      <c r="E22" s="877" t="e">
        <f t="shared" ref="E22:E29" si="36">#REF!</f>
        <v>#REF!</v>
      </c>
      <c r="F22" s="876" t="e">
        <f t="shared" ref="F22:F37" si="37">E22/$E$12</f>
        <v>#REF!</v>
      </c>
      <c r="G22" s="877" t="e">
        <f t="shared" ref="G22:G29" si="38">#REF!</f>
        <v>#REF!</v>
      </c>
      <c r="H22" s="876" t="e">
        <f t="shared" ref="H22:H37" si="39">G22/$G$12</f>
        <v>#REF!</v>
      </c>
      <c r="I22" s="877" t="e">
        <f t="shared" ref="I22:I29" si="40">#REF!</f>
        <v>#REF!</v>
      </c>
      <c r="J22" s="901" t="e">
        <f t="shared" ref="J22:J37" si="41">I22/$I$12</f>
        <v>#REF!</v>
      </c>
      <c r="K22" s="877" t="e">
        <f>#REF!</f>
        <v>#REF!</v>
      </c>
      <c r="L22" s="871" t="e">
        <f t="shared" ref="L22:L37" si="42">K22/$K$12</f>
        <v>#REF!</v>
      </c>
      <c r="M22" s="877" t="e">
        <f>'The Table'!#REF!</f>
        <v>#REF!</v>
      </c>
      <c r="N22" s="871" t="e">
        <f t="shared" ref="N22:N38" si="43">M22/$M$12</f>
        <v>#REF!</v>
      </c>
      <c r="O22" s="877" t="e">
        <f>'The Table'!#REF!</f>
        <v>#REF!</v>
      </c>
      <c r="P22" s="871" t="e">
        <f t="shared" ref="P22:P37" si="44">O22/$O$12</f>
        <v>#REF!</v>
      </c>
      <c r="Q22" s="877" t="e">
        <f>'The Table'!#REF!</f>
        <v>#REF!</v>
      </c>
      <c r="R22" s="876" t="e">
        <f t="shared" ref="R22:R35" si="45">Q22/$Q$12</f>
        <v>#REF!</v>
      </c>
      <c r="S22" s="877" t="e">
        <f>'The Table'!#REF!</f>
        <v>#REF!</v>
      </c>
      <c r="T22" s="876" t="e">
        <f t="shared" ref="T22:T37" si="46">S22/$S$12</f>
        <v>#REF!</v>
      </c>
      <c r="U22" s="877" t="e">
        <f>'The Table'!#REF!</f>
        <v>#REF!</v>
      </c>
      <c r="V22" s="871" t="e">
        <f t="shared" ref="V22:V37" si="47">U22/$U$12</f>
        <v>#REF!</v>
      </c>
      <c r="W22" s="877" t="e">
        <f>'The Table'!#REF!</f>
        <v>#REF!</v>
      </c>
      <c r="X22" s="873" t="e">
        <f t="shared" ref="X22:X37" si="48">W22/$W$12</f>
        <v>#REF!</v>
      </c>
      <c r="Y22" s="874" t="e">
        <f t="shared" ref="Y22:Y37" si="49">C22+E22+G22+I22+K22+M22+O22+Q22+S22+U22+W22</f>
        <v>#REF!</v>
      </c>
      <c r="Z22" s="879" t="e">
        <f>'The Table'!#REF!</f>
        <v>#REF!</v>
      </c>
      <c r="AA22" s="878" t="e">
        <f t="shared" ref="AA22:AA34" si="50">Y22/Z22</f>
        <v>#REF!</v>
      </c>
    </row>
    <row r="23" spans="1:27" ht="15.75" customHeight="1" x14ac:dyDescent="0.25">
      <c r="A23" s="244"/>
      <c r="B23" s="263" t="s">
        <v>34</v>
      </c>
      <c r="C23" s="265">
        <f>'The Table'!D60</f>
        <v>72049</v>
      </c>
      <c r="D23" s="876" t="e">
        <f t="shared" si="35"/>
        <v>#REF!</v>
      </c>
      <c r="E23" s="877" t="e">
        <f t="shared" si="36"/>
        <v>#REF!</v>
      </c>
      <c r="F23" s="876" t="e">
        <f t="shared" si="37"/>
        <v>#REF!</v>
      </c>
      <c r="G23" s="877" t="e">
        <f t="shared" si="38"/>
        <v>#REF!</v>
      </c>
      <c r="H23" s="876" t="e">
        <f t="shared" si="39"/>
        <v>#REF!</v>
      </c>
      <c r="I23" s="877" t="e">
        <f t="shared" si="40"/>
        <v>#REF!</v>
      </c>
      <c r="J23" s="901" t="e">
        <f t="shared" si="41"/>
        <v>#REF!</v>
      </c>
      <c r="K23" s="877" t="e">
        <f>'The Table'!#REF!</f>
        <v>#REF!</v>
      </c>
      <c r="L23" s="871" t="e">
        <f t="shared" si="42"/>
        <v>#REF!</v>
      </c>
      <c r="M23" s="877" t="e">
        <f>'The Table'!#REF!</f>
        <v>#REF!</v>
      </c>
      <c r="N23" s="871" t="e">
        <f t="shared" si="43"/>
        <v>#REF!</v>
      </c>
      <c r="O23" s="877" t="e">
        <f>'The Table'!#REF!</f>
        <v>#REF!</v>
      </c>
      <c r="P23" s="871" t="e">
        <f t="shared" si="44"/>
        <v>#REF!</v>
      </c>
      <c r="Q23" s="877" t="e">
        <f>'The Table'!#REF!</f>
        <v>#REF!</v>
      </c>
      <c r="R23" s="876" t="e">
        <f t="shared" si="45"/>
        <v>#REF!</v>
      </c>
      <c r="S23" s="877" t="e">
        <f>'The Table'!#REF!</f>
        <v>#REF!</v>
      </c>
      <c r="T23" s="876" t="e">
        <f t="shared" si="46"/>
        <v>#REF!</v>
      </c>
      <c r="U23" s="877" t="e">
        <f>'The Table'!#REF!</f>
        <v>#REF!</v>
      </c>
      <c r="V23" s="871" t="e">
        <f t="shared" si="47"/>
        <v>#REF!</v>
      </c>
      <c r="W23" s="877" t="e">
        <f>'The Table'!#REF!</f>
        <v>#REF!</v>
      </c>
      <c r="X23" s="873" t="e">
        <f t="shared" si="48"/>
        <v>#REF!</v>
      </c>
      <c r="Y23" s="874" t="e">
        <f t="shared" si="49"/>
        <v>#REF!</v>
      </c>
      <c r="Z23" s="879" t="e">
        <f>'The Table'!#REF!</f>
        <v>#REF!</v>
      </c>
      <c r="AA23" s="878" t="e">
        <f t="shared" si="50"/>
        <v>#REF!</v>
      </c>
    </row>
    <row r="24" spans="1:27" ht="15.75" customHeight="1" x14ac:dyDescent="0.25">
      <c r="A24" s="244"/>
      <c r="B24" s="263" t="s">
        <v>35</v>
      </c>
      <c r="C24" s="265">
        <f>'The Table'!D69</f>
        <v>89699.51</v>
      </c>
      <c r="D24" s="876" t="e">
        <f t="shared" si="35"/>
        <v>#REF!</v>
      </c>
      <c r="E24" s="877" t="e">
        <f t="shared" si="36"/>
        <v>#REF!</v>
      </c>
      <c r="F24" s="876" t="e">
        <f t="shared" si="37"/>
        <v>#REF!</v>
      </c>
      <c r="G24" s="877" t="e">
        <f t="shared" si="38"/>
        <v>#REF!</v>
      </c>
      <c r="H24" s="876" t="e">
        <f t="shared" si="39"/>
        <v>#REF!</v>
      </c>
      <c r="I24" s="877" t="e">
        <f t="shared" si="40"/>
        <v>#REF!</v>
      </c>
      <c r="J24" s="901" t="e">
        <f t="shared" si="41"/>
        <v>#REF!</v>
      </c>
      <c r="K24" s="877" t="e">
        <f>'The Table'!#REF!</f>
        <v>#REF!</v>
      </c>
      <c r="L24" s="871" t="e">
        <f t="shared" si="42"/>
        <v>#REF!</v>
      </c>
      <c r="M24" s="877" t="e">
        <f>'The Table'!#REF!</f>
        <v>#REF!</v>
      </c>
      <c r="N24" s="871" t="e">
        <f t="shared" si="43"/>
        <v>#REF!</v>
      </c>
      <c r="O24" s="877" t="e">
        <f>'The Table'!#REF!</f>
        <v>#REF!</v>
      </c>
      <c r="P24" s="871" t="e">
        <f t="shared" si="44"/>
        <v>#REF!</v>
      </c>
      <c r="Q24" s="877" t="e">
        <f>'The Table'!#REF!</f>
        <v>#REF!</v>
      </c>
      <c r="R24" s="876" t="e">
        <f t="shared" si="45"/>
        <v>#REF!</v>
      </c>
      <c r="S24" s="877" t="e">
        <f>'The Table'!#REF!</f>
        <v>#REF!</v>
      </c>
      <c r="T24" s="876" t="e">
        <f t="shared" si="46"/>
        <v>#REF!</v>
      </c>
      <c r="U24" s="877" t="e">
        <f>'The Table'!#REF!</f>
        <v>#REF!</v>
      </c>
      <c r="V24" s="871" t="e">
        <f t="shared" si="47"/>
        <v>#REF!</v>
      </c>
      <c r="W24" s="877" t="e">
        <f>'The Table'!#REF!</f>
        <v>#REF!</v>
      </c>
      <c r="X24" s="873" t="e">
        <f t="shared" si="48"/>
        <v>#REF!</v>
      </c>
      <c r="Y24" s="874" t="e">
        <f t="shared" si="49"/>
        <v>#REF!</v>
      </c>
      <c r="Z24" s="879" t="e">
        <f>'The Table'!#REF!</f>
        <v>#REF!</v>
      </c>
      <c r="AA24" s="878" t="e">
        <f t="shared" si="50"/>
        <v>#REF!</v>
      </c>
    </row>
    <row r="25" spans="1:27" ht="15.75" customHeight="1" x14ac:dyDescent="0.25">
      <c r="A25" s="244"/>
      <c r="B25" s="263" t="s">
        <v>36</v>
      </c>
      <c r="C25" s="265">
        <f>'The Table'!D75</f>
        <v>1817305.8333333333</v>
      </c>
      <c r="D25" s="876" t="e">
        <f t="shared" si="35"/>
        <v>#REF!</v>
      </c>
      <c r="E25" s="877" t="e">
        <f t="shared" si="36"/>
        <v>#REF!</v>
      </c>
      <c r="F25" s="876" t="e">
        <f t="shared" si="37"/>
        <v>#REF!</v>
      </c>
      <c r="G25" s="877" t="e">
        <f t="shared" si="38"/>
        <v>#REF!</v>
      </c>
      <c r="H25" s="876" t="e">
        <f t="shared" si="39"/>
        <v>#REF!</v>
      </c>
      <c r="I25" s="877" t="e">
        <f t="shared" si="40"/>
        <v>#REF!</v>
      </c>
      <c r="J25" s="901" t="e">
        <f t="shared" si="41"/>
        <v>#REF!</v>
      </c>
      <c r="K25" s="877" t="e">
        <f>'The Table'!#REF!</f>
        <v>#REF!</v>
      </c>
      <c r="L25" s="871" t="e">
        <f t="shared" si="42"/>
        <v>#REF!</v>
      </c>
      <c r="M25" s="877" t="e">
        <f>'The Table'!#REF!</f>
        <v>#REF!</v>
      </c>
      <c r="N25" s="871" t="e">
        <f t="shared" si="43"/>
        <v>#REF!</v>
      </c>
      <c r="O25" s="877" t="e">
        <f>'The Table'!#REF!</f>
        <v>#REF!</v>
      </c>
      <c r="P25" s="871" t="e">
        <f t="shared" si="44"/>
        <v>#REF!</v>
      </c>
      <c r="Q25" s="877" t="e">
        <f>'The Table'!#REF!</f>
        <v>#REF!</v>
      </c>
      <c r="R25" s="876" t="e">
        <f t="shared" si="45"/>
        <v>#REF!</v>
      </c>
      <c r="S25" s="877" t="e">
        <f>'The Table'!#REF!</f>
        <v>#REF!</v>
      </c>
      <c r="T25" s="876" t="e">
        <f t="shared" si="46"/>
        <v>#REF!</v>
      </c>
      <c r="U25" s="877" t="e">
        <f>'The Table'!#REF!</f>
        <v>#REF!</v>
      </c>
      <c r="V25" s="871" t="e">
        <f t="shared" si="47"/>
        <v>#REF!</v>
      </c>
      <c r="W25" s="877" t="e">
        <f>'The Table'!#REF!</f>
        <v>#REF!</v>
      </c>
      <c r="X25" s="873" t="e">
        <f t="shared" si="48"/>
        <v>#REF!</v>
      </c>
      <c r="Y25" s="874" t="e">
        <f t="shared" si="49"/>
        <v>#REF!</v>
      </c>
      <c r="Z25" s="879" t="e">
        <f>'The Table'!#REF!</f>
        <v>#REF!</v>
      </c>
      <c r="AA25" s="878" t="e">
        <f t="shared" si="50"/>
        <v>#REF!</v>
      </c>
    </row>
    <row r="26" spans="1:27" ht="15.75" customHeight="1" x14ac:dyDescent="0.25">
      <c r="A26" s="244"/>
      <c r="B26" s="263" t="s">
        <v>37</v>
      </c>
      <c r="C26" s="265">
        <f>'The Table'!D81</f>
        <v>5546943.6600000001</v>
      </c>
      <c r="D26" s="876" t="e">
        <f t="shared" si="35"/>
        <v>#REF!</v>
      </c>
      <c r="E26" s="877" t="e">
        <f t="shared" si="36"/>
        <v>#REF!</v>
      </c>
      <c r="F26" s="876" t="e">
        <f t="shared" si="37"/>
        <v>#REF!</v>
      </c>
      <c r="G26" s="877" t="e">
        <f t="shared" si="38"/>
        <v>#REF!</v>
      </c>
      <c r="H26" s="876" t="e">
        <f t="shared" si="39"/>
        <v>#REF!</v>
      </c>
      <c r="I26" s="877" t="e">
        <f t="shared" si="40"/>
        <v>#REF!</v>
      </c>
      <c r="J26" s="901" t="e">
        <f t="shared" si="41"/>
        <v>#REF!</v>
      </c>
      <c r="K26" s="877" t="e">
        <f>'The Table'!#REF!</f>
        <v>#REF!</v>
      </c>
      <c r="L26" s="871" t="e">
        <f t="shared" si="42"/>
        <v>#REF!</v>
      </c>
      <c r="M26" s="877" t="e">
        <f>'The Table'!#REF!</f>
        <v>#REF!</v>
      </c>
      <c r="N26" s="871" t="e">
        <f t="shared" si="43"/>
        <v>#REF!</v>
      </c>
      <c r="O26" s="877" t="e">
        <f>'The Table'!#REF!</f>
        <v>#REF!</v>
      </c>
      <c r="P26" s="871" t="e">
        <f t="shared" si="44"/>
        <v>#REF!</v>
      </c>
      <c r="Q26" s="877" t="e">
        <f>'The Table'!#REF!</f>
        <v>#REF!</v>
      </c>
      <c r="R26" s="876" t="e">
        <f t="shared" si="45"/>
        <v>#REF!</v>
      </c>
      <c r="S26" s="877" t="e">
        <f>'The Table'!#REF!</f>
        <v>#REF!</v>
      </c>
      <c r="T26" s="876" t="e">
        <f t="shared" si="46"/>
        <v>#REF!</v>
      </c>
      <c r="U26" s="877" t="e">
        <f>'The Table'!#REF!</f>
        <v>#REF!</v>
      </c>
      <c r="V26" s="871" t="e">
        <f t="shared" si="47"/>
        <v>#REF!</v>
      </c>
      <c r="W26" s="877" t="e">
        <f>'The Table'!#REF!</f>
        <v>#REF!</v>
      </c>
      <c r="X26" s="873" t="e">
        <f t="shared" si="48"/>
        <v>#REF!</v>
      </c>
      <c r="Y26" s="874" t="e">
        <f t="shared" si="49"/>
        <v>#REF!</v>
      </c>
      <c r="Z26" s="879" t="e">
        <f>'The Table'!#REF!</f>
        <v>#REF!</v>
      </c>
      <c r="AA26" s="878" t="e">
        <f t="shared" si="50"/>
        <v>#REF!</v>
      </c>
    </row>
    <row r="27" spans="1:27" ht="15.75" customHeight="1" x14ac:dyDescent="0.25">
      <c r="A27" s="244"/>
      <c r="B27" s="263" t="s">
        <v>38</v>
      </c>
      <c r="C27" s="265">
        <f>'The Table'!D92</f>
        <v>425771.88</v>
      </c>
      <c r="D27" s="876" t="e">
        <f t="shared" si="35"/>
        <v>#REF!</v>
      </c>
      <c r="E27" s="877" t="e">
        <f t="shared" si="36"/>
        <v>#REF!</v>
      </c>
      <c r="F27" s="876" t="e">
        <f t="shared" si="37"/>
        <v>#REF!</v>
      </c>
      <c r="G27" s="877" t="e">
        <f t="shared" si="38"/>
        <v>#REF!</v>
      </c>
      <c r="H27" s="876" t="e">
        <f t="shared" si="39"/>
        <v>#REF!</v>
      </c>
      <c r="I27" s="877" t="e">
        <f t="shared" si="40"/>
        <v>#REF!</v>
      </c>
      <c r="J27" s="901" t="e">
        <f t="shared" si="41"/>
        <v>#REF!</v>
      </c>
      <c r="K27" s="877" t="e">
        <f>'The Table'!#REF!</f>
        <v>#REF!</v>
      </c>
      <c r="L27" s="871" t="e">
        <f t="shared" si="42"/>
        <v>#REF!</v>
      </c>
      <c r="M27" s="877" t="e">
        <f>'The Table'!#REF!</f>
        <v>#REF!</v>
      </c>
      <c r="N27" s="871" t="e">
        <f t="shared" si="43"/>
        <v>#REF!</v>
      </c>
      <c r="O27" s="877" t="e">
        <f>'The Table'!#REF!</f>
        <v>#REF!</v>
      </c>
      <c r="P27" s="871" t="e">
        <f t="shared" si="44"/>
        <v>#REF!</v>
      </c>
      <c r="Q27" s="877" t="e">
        <f>'The Table'!#REF!</f>
        <v>#REF!</v>
      </c>
      <c r="R27" s="876" t="e">
        <f t="shared" si="45"/>
        <v>#REF!</v>
      </c>
      <c r="S27" s="877" t="e">
        <f>'The Table'!#REF!</f>
        <v>#REF!</v>
      </c>
      <c r="T27" s="876" t="e">
        <f t="shared" si="46"/>
        <v>#REF!</v>
      </c>
      <c r="U27" s="877" t="e">
        <f>'The Table'!#REF!</f>
        <v>#REF!</v>
      </c>
      <c r="V27" s="871" t="e">
        <f t="shared" si="47"/>
        <v>#REF!</v>
      </c>
      <c r="W27" s="877" t="e">
        <f>'The Table'!#REF!</f>
        <v>#REF!</v>
      </c>
      <c r="X27" s="873" t="e">
        <f t="shared" si="48"/>
        <v>#REF!</v>
      </c>
      <c r="Y27" s="874" t="e">
        <f t="shared" si="49"/>
        <v>#REF!</v>
      </c>
      <c r="Z27" s="879" t="e">
        <f>'The Table'!#REF!</f>
        <v>#REF!</v>
      </c>
      <c r="AA27" s="878" t="e">
        <f t="shared" si="50"/>
        <v>#REF!</v>
      </c>
    </row>
    <row r="28" spans="1:27" ht="15.75" customHeight="1" x14ac:dyDescent="0.25">
      <c r="A28" s="244"/>
      <c r="B28" s="263" t="s">
        <v>39</v>
      </c>
      <c r="C28" s="265">
        <f>'The Table'!D95</f>
        <v>23403.333333333332</v>
      </c>
      <c r="D28" s="876" t="e">
        <f t="shared" si="35"/>
        <v>#REF!</v>
      </c>
      <c r="E28" s="877" t="e">
        <f t="shared" si="36"/>
        <v>#REF!</v>
      </c>
      <c r="F28" s="876" t="e">
        <f t="shared" si="37"/>
        <v>#REF!</v>
      </c>
      <c r="G28" s="877" t="e">
        <f t="shared" si="38"/>
        <v>#REF!</v>
      </c>
      <c r="H28" s="876" t="e">
        <f t="shared" si="39"/>
        <v>#REF!</v>
      </c>
      <c r="I28" s="877" t="e">
        <f t="shared" si="40"/>
        <v>#REF!</v>
      </c>
      <c r="J28" s="901" t="e">
        <f t="shared" si="41"/>
        <v>#REF!</v>
      </c>
      <c r="K28" s="877" t="e">
        <f>'The Table'!#REF!</f>
        <v>#REF!</v>
      </c>
      <c r="L28" s="871" t="e">
        <f t="shared" si="42"/>
        <v>#REF!</v>
      </c>
      <c r="M28" s="877" t="e">
        <f>'The Table'!#REF!</f>
        <v>#REF!</v>
      </c>
      <c r="N28" s="871" t="e">
        <f t="shared" si="43"/>
        <v>#REF!</v>
      </c>
      <c r="O28" s="877" t="e">
        <f>'The Table'!#REF!</f>
        <v>#REF!</v>
      </c>
      <c r="P28" s="871" t="e">
        <f t="shared" si="44"/>
        <v>#REF!</v>
      </c>
      <c r="Q28" s="877" t="e">
        <f>'The Table'!#REF!</f>
        <v>#REF!</v>
      </c>
      <c r="R28" s="876" t="e">
        <f t="shared" si="45"/>
        <v>#REF!</v>
      </c>
      <c r="S28" s="877" t="e">
        <f>'The Table'!#REF!</f>
        <v>#REF!</v>
      </c>
      <c r="T28" s="876" t="e">
        <f t="shared" si="46"/>
        <v>#REF!</v>
      </c>
      <c r="U28" s="877" t="e">
        <f>'The Table'!#REF!</f>
        <v>#REF!</v>
      </c>
      <c r="V28" s="871" t="e">
        <f t="shared" si="47"/>
        <v>#REF!</v>
      </c>
      <c r="W28" s="877" t="e">
        <f>'The Table'!#REF!</f>
        <v>#REF!</v>
      </c>
      <c r="X28" s="873" t="e">
        <f t="shared" si="48"/>
        <v>#REF!</v>
      </c>
      <c r="Y28" s="874" t="e">
        <f t="shared" si="49"/>
        <v>#REF!</v>
      </c>
      <c r="Z28" s="879" t="e">
        <f>'The Table'!#REF!</f>
        <v>#REF!</v>
      </c>
      <c r="AA28" s="878" t="e">
        <f t="shared" si="50"/>
        <v>#REF!</v>
      </c>
    </row>
    <row r="29" spans="1:27" ht="15.75" customHeight="1" x14ac:dyDescent="0.25">
      <c r="A29" s="244"/>
      <c r="B29" s="263" t="s">
        <v>40</v>
      </c>
      <c r="C29" s="265">
        <f>'The Table'!D99</f>
        <v>205479.55</v>
      </c>
      <c r="D29" s="876" t="e">
        <f t="shared" si="35"/>
        <v>#REF!</v>
      </c>
      <c r="E29" s="877" t="e">
        <f t="shared" si="36"/>
        <v>#REF!</v>
      </c>
      <c r="F29" s="876" t="e">
        <f t="shared" si="37"/>
        <v>#REF!</v>
      </c>
      <c r="G29" s="877" t="e">
        <f t="shared" si="38"/>
        <v>#REF!</v>
      </c>
      <c r="H29" s="876" t="e">
        <f t="shared" si="39"/>
        <v>#REF!</v>
      </c>
      <c r="I29" s="877" t="e">
        <f t="shared" si="40"/>
        <v>#REF!</v>
      </c>
      <c r="J29" s="901" t="e">
        <f t="shared" si="41"/>
        <v>#REF!</v>
      </c>
      <c r="K29" s="877" t="e">
        <f>'The Table'!#REF!</f>
        <v>#REF!</v>
      </c>
      <c r="L29" s="871" t="e">
        <f t="shared" si="42"/>
        <v>#REF!</v>
      </c>
      <c r="M29" s="877" t="e">
        <f>'The Table'!#REF!</f>
        <v>#REF!</v>
      </c>
      <c r="N29" s="871" t="e">
        <f t="shared" si="43"/>
        <v>#REF!</v>
      </c>
      <c r="O29" s="877" t="e">
        <f>'The Table'!#REF!</f>
        <v>#REF!</v>
      </c>
      <c r="P29" s="871" t="e">
        <f t="shared" si="44"/>
        <v>#REF!</v>
      </c>
      <c r="Q29" s="877" t="e">
        <f>'The Table'!#REF!</f>
        <v>#REF!</v>
      </c>
      <c r="R29" s="876" t="e">
        <f t="shared" si="45"/>
        <v>#REF!</v>
      </c>
      <c r="S29" s="877" t="e">
        <f>'The Table'!#REF!</f>
        <v>#REF!</v>
      </c>
      <c r="T29" s="876" t="e">
        <f t="shared" si="46"/>
        <v>#REF!</v>
      </c>
      <c r="U29" s="877" t="e">
        <f>'The Table'!#REF!</f>
        <v>#REF!</v>
      </c>
      <c r="V29" s="871" t="e">
        <f t="shared" si="47"/>
        <v>#REF!</v>
      </c>
      <c r="W29" s="877" t="e">
        <f>'The Table'!#REF!</f>
        <v>#REF!</v>
      </c>
      <c r="X29" s="873" t="e">
        <f t="shared" si="48"/>
        <v>#REF!</v>
      </c>
      <c r="Y29" s="874" t="e">
        <f t="shared" si="49"/>
        <v>#REF!</v>
      </c>
      <c r="Z29" s="879" t="e">
        <f>'The Table'!#REF!</f>
        <v>#REF!</v>
      </c>
      <c r="AA29" s="878" t="e">
        <f t="shared" si="50"/>
        <v>#REF!</v>
      </c>
    </row>
    <row r="30" spans="1:27" ht="15.75" customHeight="1" x14ac:dyDescent="0.25">
      <c r="A30" s="244"/>
      <c r="B30" s="263" t="s">
        <v>421</v>
      </c>
      <c r="C30" s="265">
        <f>'The Table'!D106</f>
        <v>624683.04666666663</v>
      </c>
      <c r="D30" s="876" t="e">
        <f t="shared" si="35"/>
        <v>#REF!</v>
      </c>
      <c r="E30" s="877" t="e">
        <f>'The Table'!#REF!</f>
        <v>#REF!</v>
      </c>
      <c r="F30" s="876" t="e">
        <f t="shared" si="37"/>
        <v>#REF!</v>
      </c>
      <c r="G30" s="877" t="e">
        <f>'The Table'!#REF!</f>
        <v>#REF!</v>
      </c>
      <c r="H30" s="876" t="e">
        <f t="shared" si="39"/>
        <v>#REF!</v>
      </c>
      <c r="I30" s="877" t="e">
        <f>'The Table'!#REF!</f>
        <v>#REF!</v>
      </c>
      <c r="J30" s="901" t="e">
        <f t="shared" si="41"/>
        <v>#REF!</v>
      </c>
      <c r="K30" s="877" t="e">
        <f>'The Table'!#REF!</f>
        <v>#REF!</v>
      </c>
      <c r="L30" s="871" t="e">
        <f t="shared" si="42"/>
        <v>#REF!</v>
      </c>
      <c r="M30" s="877" t="e">
        <f>'The Table'!#REF!</f>
        <v>#REF!</v>
      </c>
      <c r="N30" s="871" t="e">
        <f t="shared" si="43"/>
        <v>#REF!</v>
      </c>
      <c r="O30" s="877" t="e">
        <f>'The Table'!#REF!</f>
        <v>#REF!</v>
      </c>
      <c r="P30" s="871" t="e">
        <f t="shared" si="44"/>
        <v>#REF!</v>
      </c>
      <c r="Q30" s="877" t="e">
        <f>'The Table'!#REF!</f>
        <v>#REF!</v>
      </c>
      <c r="R30" s="876" t="e">
        <f t="shared" si="45"/>
        <v>#REF!</v>
      </c>
      <c r="S30" s="877" t="e">
        <f>'The Table'!#REF!</f>
        <v>#REF!</v>
      </c>
      <c r="T30" s="876" t="e">
        <f t="shared" si="46"/>
        <v>#REF!</v>
      </c>
      <c r="U30" s="877" t="e">
        <f>'The Table'!#REF!</f>
        <v>#REF!</v>
      </c>
      <c r="V30" s="871" t="e">
        <f t="shared" si="47"/>
        <v>#REF!</v>
      </c>
      <c r="W30" s="877" t="e">
        <f>'The Table'!#REF!</f>
        <v>#REF!</v>
      </c>
      <c r="X30" s="873" t="e">
        <f t="shared" si="48"/>
        <v>#REF!</v>
      </c>
      <c r="Y30" s="874" t="e">
        <f t="shared" si="49"/>
        <v>#REF!</v>
      </c>
      <c r="Z30" s="879" t="e">
        <f>'The Table'!#REF!</f>
        <v>#REF!</v>
      </c>
      <c r="AA30" s="878" t="e">
        <f t="shared" si="50"/>
        <v>#REF!</v>
      </c>
    </row>
    <row r="31" spans="1:27" ht="15.75" customHeight="1" x14ac:dyDescent="0.25">
      <c r="A31" s="244"/>
      <c r="B31" s="263" t="s">
        <v>249</v>
      </c>
      <c r="C31" s="265">
        <f>'The Table'!D112</f>
        <v>4213</v>
      </c>
      <c r="D31" s="876" t="e">
        <f t="shared" si="35"/>
        <v>#REF!</v>
      </c>
      <c r="E31" s="877" t="e">
        <f>'The Table'!#REF!</f>
        <v>#REF!</v>
      </c>
      <c r="F31" s="876" t="e">
        <f t="shared" si="37"/>
        <v>#REF!</v>
      </c>
      <c r="G31" s="877" t="e">
        <f>'The Table'!#REF!</f>
        <v>#REF!</v>
      </c>
      <c r="H31" s="876" t="e">
        <f t="shared" si="39"/>
        <v>#REF!</v>
      </c>
      <c r="I31" s="877" t="e">
        <f>'The Table'!#REF!</f>
        <v>#REF!</v>
      </c>
      <c r="J31" s="901" t="e">
        <f t="shared" si="41"/>
        <v>#REF!</v>
      </c>
      <c r="K31" s="877" t="e">
        <f>'The Table'!#REF!</f>
        <v>#REF!</v>
      </c>
      <c r="L31" s="871" t="e">
        <f t="shared" si="42"/>
        <v>#REF!</v>
      </c>
      <c r="M31" s="877" t="e">
        <f>'The Table'!#REF!</f>
        <v>#REF!</v>
      </c>
      <c r="N31" s="871" t="e">
        <f t="shared" si="43"/>
        <v>#REF!</v>
      </c>
      <c r="O31" s="877" t="e">
        <f>'The Table'!#REF!</f>
        <v>#REF!</v>
      </c>
      <c r="P31" s="871" t="e">
        <f t="shared" si="44"/>
        <v>#REF!</v>
      </c>
      <c r="Q31" s="877" t="e">
        <f>'The Table'!#REF!</f>
        <v>#REF!</v>
      </c>
      <c r="R31" s="876" t="e">
        <f t="shared" si="45"/>
        <v>#REF!</v>
      </c>
      <c r="S31" s="877" t="e">
        <f>'The Table'!#REF!</f>
        <v>#REF!</v>
      </c>
      <c r="T31" s="876" t="e">
        <f t="shared" si="46"/>
        <v>#REF!</v>
      </c>
      <c r="U31" s="877" t="e">
        <f>'The Table'!#REF!</f>
        <v>#REF!</v>
      </c>
      <c r="V31" s="871" t="e">
        <f t="shared" si="47"/>
        <v>#REF!</v>
      </c>
      <c r="W31" s="877" t="e">
        <f>'The Table'!#REF!</f>
        <v>#REF!</v>
      </c>
      <c r="X31" s="873" t="e">
        <f t="shared" si="48"/>
        <v>#REF!</v>
      </c>
      <c r="Y31" s="874" t="e">
        <f t="shared" si="49"/>
        <v>#REF!</v>
      </c>
      <c r="Z31" s="879" t="e">
        <f>'The Table'!#REF!</f>
        <v>#REF!</v>
      </c>
      <c r="AA31" s="878" t="e">
        <f t="shared" si="50"/>
        <v>#REF!</v>
      </c>
    </row>
    <row r="32" spans="1:27" ht="15.75" customHeight="1" x14ac:dyDescent="0.25">
      <c r="A32" s="244"/>
      <c r="B32" s="263" t="s">
        <v>250</v>
      </c>
      <c r="C32" s="265">
        <f>'The Table'!D114</f>
        <v>45828</v>
      </c>
      <c r="D32" s="876" t="e">
        <f t="shared" si="35"/>
        <v>#REF!</v>
      </c>
      <c r="E32" s="877" t="e">
        <f>'The Table'!#REF!</f>
        <v>#REF!</v>
      </c>
      <c r="F32" s="876" t="e">
        <f t="shared" si="37"/>
        <v>#REF!</v>
      </c>
      <c r="G32" s="877" t="e">
        <f>'The Table'!#REF!</f>
        <v>#REF!</v>
      </c>
      <c r="H32" s="876" t="e">
        <f t="shared" si="39"/>
        <v>#REF!</v>
      </c>
      <c r="I32" s="877" t="e">
        <f>'The Table'!#REF!</f>
        <v>#REF!</v>
      </c>
      <c r="J32" s="901" t="e">
        <f t="shared" si="41"/>
        <v>#REF!</v>
      </c>
      <c r="K32" s="877" t="e">
        <f>'The Table'!#REF!</f>
        <v>#REF!</v>
      </c>
      <c r="L32" s="871" t="e">
        <f t="shared" si="42"/>
        <v>#REF!</v>
      </c>
      <c r="M32" s="877" t="e">
        <f>'The Table'!#REF!</f>
        <v>#REF!</v>
      </c>
      <c r="N32" s="871" t="e">
        <f t="shared" si="43"/>
        <v>#REF!</v>
      </c>
      <c r="O32" s="877" t="e">
        <f>'The Table'!#REF!</f>
        <v>#REF!</v>
      </c>
      <c r="P32" s="871" t="e">
        <f t="shared" si="44"/>
        <v>#REF!</v>
      </c>
      <c r="Q32" s="877" t="e">
        <f>'The Table'!#REF!</f>
        <v>#REF!</v>
      </c>
      <c r="R32" s="876" t="e">
        <f t="shared" si="45"/>
        <v>#REF!</v>
      </c>
      <c r="S32" s="877" t="e">
        <f>'The Table'!#REF!</f>
        <v>#REF!</v>
      </c>
      <c r="T32" s="876" t="e">
        <f t="shared" si="46"/>
        <v>#REF!</v>
      </c>
      <c r="U32" s="877" t="e">
        <f>'The Table'!#REF!</f>
        <v>#REF!</v>
      </c>
      <c r="V32" s="871" t="e">
        <f t="shared" si="47"/>
        <v>#REF!</v>
      </c>
      <c r="W32" s="877" t="e">
        <f>'The Table'!#REF!</f>
        <v>#REF!</v>
      </c>
      <c r="X32" s="873" t="e">
        <f t="shared" si="48"/>
        <v>#REF!</v>
      </c>
      <c r="Y32" s="874" t="e">
        <f t="shared" si="49"/>
        <v>#REF!</v>
      </c>
      <c r="Z32" s="879" t="e">
        <f>'The Table'!#REF!</f>
        <v>#REF!</v>
      </c>
      <c r="AA32" s="878" t="e">
        <f t="shared" si="50"/>
        <v>#REF!</v>
      </c>
    </row>
    <row r="33" spans="1:27" ht="15.75" customHeight="1" x14ac:dyDescent="0.25">
      <c r="A33" s="244"/>
      <c r="B33" s="263" t="s">
        <v>252</v>
      </c>
      <c r="C33" s="265">
        <f>'The Table'!D116</f>
        <v>15700</v>
      </c>
      <c r="D33" s="876" t="e">
        <f t="shared" si="35"/>
        <v>#REF!</v>
      </c>
      <c r="E33" s="877" t="e">
        <f>'The Table'!#REF!</f>
        <v>#REF!</v>
      </c>
      <c r="F33" s="876" t="e">
        <f t="shared" si="37"/>
        <v>#REF!</v>
      </c>
      <c r="G33" s="877" t="e">
        <f>'The Table'!#REF!</f>
        <v>#REF!</v>
      </c>
      <c r="H33" s="876" t="e">
        <f t="shared" si="39"/>
        <v>#REF!</v>
      </c>
      <c r="I33" s="877" t="e">
        <f>'The Table'!#REF!</f>
        <v>#REF!</v>
      </c>
      <c r="J33" s="901" t="e">
        <f t="shared" si="41"/>
        <v>#REF!</v>
      </c>
      <c r="K33" s="877" t="e">
        <f>'The Table'!#REF!</f>
        <v>#REF!</v>
      </c>
      <c r="L33" s="871" t="e">
        <f t="shared" si="42"/>
        <v>#REF!</v>
      </c>
      <c r="M33" s="877" t="e">
        <f>'The Table'!#REF!</f>
        <v>#REF!</v>
      </c>
      <c r="N33" s="871" t="e">
        <f t="shared" si="43"/>
        <v>#REF!</v>
      </c>
      <c r="O33" s="877" t="e">
        <f>'The Table'!#REF!</f>
        <v>#REF!</v>
      </c>
      <c r="P33" s="871" t="e">
        <f t="shared" si="44"/>
        <v>#REF!</v>
      </c>
      <c r="Q33" s="877" t="e">
        <f>'The Table'!#REF!</f>
        <v>#REF!</v>
      </c>
      <c r="R33" s="876" t="e">
        <f t="shared" si="45"/>
        <v>#REF!</v>
      </c>
      <c r="S33" s="877" t="e">
        <f>'The Table'!#REF!</f>
        <v>#REF!</v>
      </c>
      <c r="T33" s="876" t="e">
        <f t="shared" si="46"/>
        <v>#REF!</v>
      </c>
      <c r="U33" s="877" t="e">
        <f>'The Table'!#REF!</f>
        <v>#REF!</v>
      </c>
      <c r="V33" s="871" t="e">
        <f t="shared" si="47"/>
        <v>#REF!</v>
      </c>
      <c r="W33" s="877" t="e">
        <f>'The Table'!#REF!</f>
        <v>#REF!</v>
      </c>
      <c r="X33" s="873" t="e">
        <f t="shared" si="48"/>
        <v>#REF!</v>
      </c>
      <c r="Y33" s="874" t="e">
        <f t="shared" si="49"/>
        <v>#REF!</v>
      </c>
      <c r="Z33" s="879" t="e">
        <f>'The Table'!#REF!</f>
        <v>#REF!</v>
      </c>
      <c r="AA33" s="878" t="e">
        <f t="shared" si="50"/>
        <v>#REF!</v>
      </c>
    </row>
    <row r="34" spans="1:27" ht="15.75" customHeight="1" x14ac:dyDescent="0.25">
      <c r="A34" s="244"/>
      <c r="B34" s="263" t="s">
        <v>280</v>
      </c>
      <c r="C34" s="265">
        <f>'The Table'!D118</f>
        <v>43464</v>
      </c>
      <c r="D34" s="876" t="e">
        <f t="shared" si="35"/>
        <v>#REF!</v>
      </c>
      <c r="E34" s="877" t="e">
        <f>'The Table'!#REF!</f>
        <v>#REF!</v>
      </c>
      <c r="F34" s="876" t="e">
        <f t="shared" si="37"/>
        <v>#REF!</v>
      </c>
      <c r="G34" s="877" t="e">
        <f>'The Table'!#REF!</f>
        <v>#REF!</v>
      </c>
      <c r="H34" s="876" t="e">
        <f t="shared" si="39"/>
        <v>#REF!</v>
      </c>
      <c r="I34" s="877" t="e">
        <f>'The Table'!#REF!</f>
        <v>#REF!</v>
      </c>
      <c r="J34" s="901" t="e">
        <f t="shared" si="41"/>
        <v>#REF!</v>
      </c>
      <c r="K34" s="877" t="e">
        <f>'The Table'!#REF!</f>
        <v>#REF!</v>
      </c>
      <c r="L34" s="871" t="e">
        <f t="shared" si="42"/>
        <v>#REF!</v>
      </c>
      <c r="M34" s="877" t="e">
        <f>'The Table'!#REF!</f>
        <v>#REF!</v>
      </c>
      <c r="N34" s="871" t="e">
        <f t="shared" si="43"/>
        <v>#REF!</v>
      </c>
      <c r="O34" s="877" t="e">
        <f>'The Table'!#REF!</f>
        <v>#REF!</v>
      </c>
      <c r="P34" s="871" t="e">
        <f t="shared" si="44"/>
        <v>#REF!</v>
      </c>
      <c r="Q34" s="877" t="e">
        <f>'The Table'!#REF!</f>
        <v>#REF!</v>
      </c>
      <c r="R34" s="876" t="e">
        <f t="shared" si="45"/>
        <v>#REF!</v>
      </c>
      <c r="S34" s="877" t="e">
        <f>'The Table'!#REF!</f>
        <v>#REF!</v>
      </c>
      <c r="T34" s="876" t="e">
        <f t="shared" si="46"/>
        <v>#REF!</v>
      </c>
      <c r="U34" s="877" t="e">
        <f>'The Table'!#REF!</f>
        <v>#REF!</v>
      </c>
      <c r="V34" s="871" t="e">
        <f t="shared" si="47"/>
        <v>#REF!</v>
      </c>
      <c r="W34" s="877" t="e">
        <f>'The Table'!#REF!</f>
        <v>#REF!</v>
      </c>
      <c r="X34" s="873" t="e">
        <f t="shared" si="48"/>
        <v>#REF!</v>
      </c>
      <c r="Y34" s="874" t="e">
        <f t="shared" si="49"/>
        <v>#REF!</v>
      </c>
      <c r="Z34" s="879" t="e">
        <f>'The Table'!#REF!</f>
        <v>#REF!</v>
      </c>
      <c r="AA34" s="878" t="e">
        <f t="shared" si="50"/>
        <v>#REF!</v>
      </c>
    </row>
    <row r="35" spans="1:27" ht="15.75" customHeight="1" x14ac:dyDescent="0.25">
      <c r="A35" s="244"/>
      <c r="B35" s="263" t="s">
        <v>422</v>
      </c>
      <c r="C35" s="265">
        <f>'The Table'!D120</f>
        <v>224198</v>
      </c>
      <c r="D35" s="876" t="e">
        <f t="shared" si="35"/>
        <v>#REF!</v>
      </c>
      <c r="E35" s="877" t="e">
        <f>'The Table'!#REF!</f>
        <v>#REF!</v>
      </c>
      <c r="F35" s="876" t="e">
        <f t="shared" si="37"/>
        <v>#REF!</v>
      </c>
      <c r="G35" s="914" t="e">
        <f>'The Table'!#REF!</f>
        <v>#REF!</v>
      </c>
      <c r="H35" s="876" t="e">
        <f t="shared" si="39"/>
        <v>#REF!</v>
      </c>
      <c r="I35" s="877" t="e">
        <f>'The Table'!#REF!</f>
        <v>#REF!</v>
      </c>
      <c r="J35" s="901" t="e">
        <f t="shared" si="41"/>
        <v>#REF!</v>
      </c>
      <c r="K35" s="877" t="e">
        <f>'The Table'!#REF!</f>
        <v>#REF!</v>
      </c>
      <c r="L35" s="871" t="e">
        <f t="shared" si="42"/>
        <v>#REF!</v>
      </c>
      <c r="M35" s="877" t="e">
        <f>'The Table'!#REF!</f>
        <v>#REF!</v>
      </c>
      <c r="N35" s="871" t="e">
        <f t="shared" si="43"/>
        <v>#REF!</v>
      </c>
      <c r="O35" s="877" t="e">
        <f>'The Table'!#REF!</f>
        <v>#REF!</v>
      </c>
      <c r="P35" s="871" t="e">
        <f t="shared" si="44"/>
        <v>#REF!</v>
      </c>
      <c r="Q35" s="877" t="e">
        <f>'The Table'!#REF!</f>
        <v>#REF!</v>
      </c>
      <c r="R35" s="876" t="e">
        <f t="shared" si="45"/>
        <v>#REF!</v>
      </c>
      <c r="S35" s="877" t="e">
        <f>'The Table'!#REF!</f>
        <v>#REF!</v>
      </c>
      <c r="T35" s="876" t="e">
        <f t="shared" si="46"/>
        <v>#REF!</v>
      </c>
      <c r="U35" s="877" t="e">
        <f>'The Table'!#REF!</f>
        <v>#REF!</v>
      </c>
      <c r="V35" s="871" t="e">
        <f t="shared" si="47"/>
        <v>#REF!</v>
      </c>
      <c r="W35" s="877" t="e">
        <f>'The Table'!#REF!</f>
        <v>#REF!</v>
      </c>
      <c r="X35" s="873" t="e">
        <f t="shared" si="48"/>
        <v>#REF!</v>
      </c>
      <c r="Y35" s="874" t="e">
        <f t="shared" si="49"/>
        <v>#REF!</v>
      </c>
      <c r="Z35" s="915">
        <v>0</v>
      </c>
      <c r="AA35" s="878">
        <v>0</v>
      </c>
    </row>
    <row r="36" spans="1:27" ht="15.75" customHeight="1" x14ac:dyDescent="0.25">
      <c r="A36" s="244"/>
      <c r="B36" s="263" t="s">
        <v>41</v>
      </c>
      <c r="C36" s="265">
        <f>'Summary Sheet - April 2026'!O27</f>
        <v>8260</v>
      </c>
      <c r="D36" s="876" t="e">
        <f t="shared" si="35"/>
        <v>#REF!</v>
      </c>
      <c r="E36" s="914">
        <v>0</v>
      </c>
      <c r="F36" s="876" t="e">
        <f t="shared" si="37"/>
        <v>#REF!</v>
      </c>
      <c r="G36" s="914">
        <v>0</v>
      </c>
      <c r="H36" s="876" t="e">
        <f t="shared" si="39"/>
        <v>#REF!</v>
      </c>
      <c r="I36" s="914" t="e">
        <f t="shared" ref="I36:I37" si="51">#REF!</f>
        <v>#REF!</v>
      </c>
      <c r="J36" s="901" t="e">
        <f t="shared" si="41"/>
        <v>#REF!</v>
      </c>
      <c r="K36" s="914" t="e">
        <f t="shared" ref="K36:K37" si="52">#REF!</f>
        <v>#REF!</v>
      </c>
      <c r="L36" s="871" t="e">
        <f t="shared" si="42"/>
        <v>#REF!</v>
      </c>
      <c r="M36" s="914" t="e">
        <f t="shared" ref="M36:M37" si="53">#REF!</f>
        <v>#REF!</v>
      </c>
      <c r="N36" s="871" t="e">
        <f t="shared" si="43"/>
        <v>#REF!</v>
      </c>
      <c r="O36" s="914" t="e">
        <f>#REF!</f>
        <v>#REF!</v>
      </c>
      <c r="P36" s="871" t="e">
        <f t="shared" si="44"/>
        <v>#REF!</v>
      </c>
      <c r="Q36" s="914" t="e">
        <f>#REF!</f>
        <v>#REF!</v>
      </c>
      <c r="R36" s="871" t="e">
        <f t="shared" ref="R36:R37" si="54">Q36/$O$12</f>
        <v>#REF!</v>
      </c>
      <c r="S36" s="914" t="e">
        <f>#REF!</f>
        <v>#REF!</v>
      </c>
      <c r="T36" s="876" t="e">
        <f t="shared" si="46"/>
        <v>#REF!</v>
      </c>
      <c r="U36" s="877"/>
      <c r="V36" s="871" t="e">
        <f t="shared" si="47"/>
        <v>#REF!</v>
      </c>
      <c r="W36" s="877" t="e">
        <f>'The Table'!#REF!</f>
        <v>#REF!</v>
      </c>
      <c r="X36" s="873" t="e">
        <f t="shared" si="48"/>
        <v>#REF!</v>
      </c>
      <c r="Y36" s="874" t="e">
        <f t="shared" si="49"/>
        <v>#REF!</v>
      </c>
      <c r="Z36" s="915">
        <v>0</v>
      </c>
      <c r="AA36" s="878">
        <v>0</v>
      </c>
    </row>
    <row r="37" spans="1:27" ht="15.75" customHeight="1" x14ac:dyDescent="0.25">
      <c r="A37" s="244"/>
      <c r="B37" s="274" t="s">
        <v>42</v>
      </c>
      <c r="C37" s="276">
        <f>'The Table'!D126</f>
        <v>0</v>
      </c>
      <c r="D37" s="880" t="e">
        <f t="shared" si="35"/>
        <v>#REF!</v>
      </c>
      <c r="E37" s="881" t="e">
        <f>#REF!</f>
        <v>#REF!</v>
      </c>
      <c r="F37" s="876" t="e">
        <f t="shared" si="37"/>
        <v>#REF!</v>
      </c>
      <c r="G37" s="881">
        <v>0</v>
      </c>
      <c r="H37" s="876" t="e">
        <f t="shared" si="39"/>
        <v>#REF!</v>
      </c>
      <c r="I37" s="881" t="e">
        <f t="shared" si="51"/>
        <v>#REF!</v>
      </c>
      <c r="J37" s="901" t="e">
        <f t="shared" si="41"/>
        <v>#REF!</v>
      </c>
      <c r="K37" s="881" t="e">
        <f t="shared" si="52"/>
        <v>#REF!</v>
      </c>
      <c r="L37" s="871" t="e">
        <f t="shared" si="42"/>
        <v>#REF!</v>
      </c>
      <c r="M37" s="881" t="e">
        <f t="shared" si="53"/>
        <v>#REF!</v>
      </c>
      <c r="N37" s="871" t="e">
        <f t="shared" si="43"/>
        <v>#REF!</v>
      </c>
      <c r="O37" s="881">
        <v>0</v>
      </c>
      <c r="P37" s="871" t="e">
        <f t="shared" si="44"/>
        <v>#REF!</v>
      </c>
      <c r="Q37" s="881">
        <v>0</v>
      </c>
      <c r="R37" s="871" t="e">
        <f t="shared" si="54"/>
        <v>#REF!</v>
      </c>
      <c r="S37" s="881">
        <v>0</v>
      </c>
      <c r="T37" s="876" t="e">
        <f t="shared" si="46"/>
        <v>#REF!</v>
      </c>
      <c r="U37" s="882" t="e">
        <f>'The Table'!#REF!</f>
        <v>#REF!</v>
      </c>
      <c r="V37" s="871" t="e">
        <f t="shared" si="47"/>
        <v>#REF!</v>
      </c>
      <c r="W37" s="884">
        <v>0</v>
      </c>
      <c r="X37" s="873" t="e">
        <f t="shared" si="48"/>
        <v>#REF!</v>
      </c>
      <c r="Y37" s="874" t="e">
        <f t="shared" si="49"/>
        <v>#REF!</v>
      </c>
      <c r="Z37" s="916"/>
      <c r="AA37" s="878">
        <v>0</v>
      </c>
    </row>
    <row r="38" spans="1:27" ht="15.75" customHeight="1" x14ac:dyDescent="0.25">
      <c r="A38" s="244"/>
      <c r="B38" s="866" t="s">
        <v>43</v>
      </c>
      <c r="C38" s="886">
        <f>SUM(C22:C37)</f>
        <v>9675194.4366666693</v>
      </c>
      <c r="D38" s="887" t="e">
        <f t="shared" si="35"/>
        <v>#REF!</v>
      </c>
      <c r="E38" s="906" t="e">
        <f>SUM(E22:E37)</f>
        <v>#REF!</v>
      </c>
      <c r="F38" s="887" t="e">
        <f>E38/E12</f>
        <v>#REF!</v>
      </c>
      <c r="G38" s="906" t="e">
        <f>SUM(G22:G37)</f>
        <v>#REF!</v>
      </c>
      <c r="H38" s="888" t="e">
        <f>G38/G12</f>
        <v>#REF!</v>
      </c>
      <c r="I38" s="906" t="e">
        <f>SUM(I22:I37)</f>
        <v>#REF!</v>
      </c>
      <c r="J38" s="888" t="e">
        <f>I38/I12</f>
        <v>#REF!</v>
      </c>
      <c r="K38" s="906" t="e">
        <f>SUM(K22:K37)</f>
        <v>#REF!</v>
      </c>
      <c r="L38" s="913"/>
      <c r="M38" s="906" t="e">
        <f>SUM(M22:M37)</f>
        <v>#REF!</v>
      </c>
      <c r="N38" s="887" t="e">
        <f t="shared" si="43"/>
        <v>#REF!</v>
      </c>
      <c r="O38" s="906" t="e">
        <f>SUM(O22:O37)</f>
        <v>#REF!</v>
      </c>
      <c r="P38" s="887" t="e">
        <f>O38/O12</f>
        <v>#REF!</v>
      </c>
      <c r="Q38" s="906" t="e">
        <f>SUM(Q22:Q37)</f>
        <v>#REF!</v>
      </c>
      <c r="R38" s="887" t="e">
        <f>Q38/Q12</f>
        <v>#REF!</v>
      </c>
      <c r="S38" s="906" t="e">
        <f>SUM(S22:S37)</f>
        <v>#REF!</v>
      </c>
      <c r="T38" s="887" t="e">
        <f>S38/S12</f>
        <v>#REF!</v>
      </c>
      <c r="U38" s="906" t="e">
        <f>SUM(U22:U37)</f>
        <v>#REF!</v>
      </c>
      <c r="V38" s="887" t="e">
        <f>U38/U12</f>
        <v>#REF!</v>
      </c>
      <c r="W38" s="906" t="e">
        <f>SUM(W22:W37)</f>
        <v>#REF!</v>
      </c>
      <c r="X38" s="888" t="e">
        <f>W38/W12</f>
        <v>#REF!</v>
      </c>
      <c r="Y38" s="889" t="e">
        <f t="shared" ref="Y38:Z38" si="55">SUM(Y22:Y37)</f>
        <v>#REF!</v>
      </c>
      <c r="Z38" s="889" t="e">
        <f t="shared" si="55"/>
        <v>#REF!</v>
      </c>
      <c r="AA38" s="890" t="e">
        <f>Y38/Z38</f>
        <v>#REF!</v>
      </c>
    </row>
    <row r="39" spans="1:27" ht="15.75" customHeight="1" x14ac:dyDescent="0.25">
      <c r="A39" s="244"/>
      <c r="B39" s="300"/>
      <c r="C39" s="294"/>
      <c r="D39" s="907"/>
      <c r="E39" s="908"/>
      <c r="F39" s="907"/>
      <c r="G39" s="908"/>
      <c r="H39" s="907"/>
      <c r="I39" s="917"/>
      <c r="J39" s="918"/>
      <c r="K39" s="908"/>
      <c r="L39" s="907"/>
      <c r="M39" s="908"/>
      <c r="N39" s="907"/>
      <c r="O39" s="908"/>
      <c r="P39" s="907"/>
      <c r="Q39" s="908"/>
      <c r="R39" s="907"/>
      <c r="S39" s="908"/>
      <c r="T39" s="907"/>
      <c r="U39" s="908"/>
      <c r="V39" s="907"/>
      <c r="W39" s="917"/>
      <c r="X39" s="918"/>
      <c r="Y39" s="911"/>
      <c r="Z39" s="911"/>
      <c r="AA39" s="912"/>
    </row>
    <row r="40" spans="1:27" ht="15.75" customHeight="1" x14ac:dyDescent="0.25">
      <c r="A40" s="244"/>
      <c r="B40" s="866" t="s">
        <v>44</v>
      </c>
      <c r="C40" s="886" t="e">
        <f>C20-C38</f>
        <v>#REF!</v>
      </c>
      <c r="D40" s="887" t="e">
        <f>C40/$C$12</f>
        <v>#REF!</v>
      </c>
      <c r="E40" s="906" t="e">
        <f>E20-E38</f>
        <v>#REF!</v>
      </c>
      <c r="F40" s="887" t="e">
        <f>E40/E12</f>
        <v>#REF!</v>
      </c>
      <c r="G40" s="906" t="e">
        <f>G20-G38</f>
        <v>#REF!</v>
      </c>
      <c r="H40" s="888" t="e">
        <f>G40/G12</f>
        <v>#REF!</v>
      </c>
      <c r="I40" s="919" t="e">
        <f>I20-I38</f>
        <v>#REF!</v>
      </c>
      <c r="J40" s="888" t="e">
        <f>I40/I12</f>
        <v>#REF!</v>
      </c>
      <c r="K40" s="906" t="e">
        <f>K20-K38</f>
        <v>#REF!</v>
      </c>
      <c r="L40" s="913"/>
      <c r="M40" s="906" t="e">
        <f>M20-M38</f>
        <v>#REF!</v>
      </c>
      <c r="N40" s="887" t="e">
        <f>M40/$M$12</f>
        <v>#REF!</v>
      </c>
      <c r="O40" s="906" t="e">
        <f>O20-O38</f>
        <v>#REF!</v>
      </c>
      <c r="P40" s="887" t="e">
        <f>O40/O12</f>
        <v>#REF!</v>
      </c>
      <c r="Q40" s="906" t="e">
        <f>Q20-Q38</f>
        <v>#REF!</v>
      </c>
      <c r="R40" s="887" t="e">
        <f>Q40/Q12</f>
        <v>#REF!</v>
      </c>
      <c r="S40" s="906" t="e">
        <f>S20-S38</f>
        <v>#REF!</v>
      </c>
      <c r="T40" s="887" t="e">
        <f>S40/S12</f>
        <v>#REF!</v>
      </c>
      <c r="U40" s="906" t="e">
        <f>U20-U38</f>
        <v>#REF!</v>
      </c>
      <c r="V40" s="887" t="e">
        <f>U40/U12</f>
        <v>#REF!</v>
      </c>
      <c r="W40" s="906" t="e">
        <f>W20-W38</f>
        <v>#REF!</v>
      </c>
      <c r="X40" s="887" t="e">
        <f>W40/W12</f>
        <v>#REF!</v>
      </c>
      <c r="Y40" s="889" t="e">
        <f t="shared" ref="Y40:Z40" si="56">Y20-Y38</f>
        <v>#REF!</v>
      </c>
      <c r="Z40" s="889" t="e">
        <f t="shared" si="56"/>
        <v>#REF!</v>
      </c>
      <c r="AA40" s="890" t="e">
        <f>Y40/Z40</f>
        <v>#REF!</v>
      </c>
    </row>
    <row r="41" spans="1:27" ht="15.75" customHeight="1" x14ac:dyDescent="0.25">
      <c r="A41" s="244"/>
      <c r="B41" s="244"/>
      <c r="C41" s="863"/>
      <c r="D41" s="863"/>
      <c r="E41" s="863"/>
      <c r="F41" s="863"/>
      <c r="G41" s="863"/>
      <c r="H41" s="863"/>
      <c r="I41" s="863"/>
      <c r="J41" s="863"/>
      <c r="K41" s="863"/>
      <c r="L41" s="863"/>
      <c r="M41" s="863"/>
      <c r="N41" s="863"/>
      <c r="O41" s="863"/>
      <c r="P41" s="863"/>
      <c r="Q41" s="863"/>
      <c r="R41" s="863"/>
      <c r="S41" s="863"/>
      <c r="T41" s="863"/>
      <c r="U41" s="863"/>
      <c r="V41" s="863"/>
      <c r="W41" s="863"/>
      <c r="X41" s="863"/>
      <c r="Y41" s="864"/>
      <c r="Z41" s="864"/>
      <c r="AA41" s="863"/>
    </row>
    <row r="42" spans="1:27" ht="15.75" customHeight="1" x14ac:dyDescent="0.25">
      <c r="A42" s="244"/>
      <c r="B42" s="244"/>
      <c r="C42" s="920">
        <f>'The Table'!D132</f>
        <v>3740422.0555803739</v>
      </c>
      <c r="D42" s="920"/>
      <c r="E42" s="920">
        <v>966774.52898454387</v>
      </c>
      <c r="F42" s="920"/>
      <c r="G42" s="920" t="e">
        <f>'The Table'!#REF!</f>
        <v>#REF!</v>
      </c>
      <c r="H42" s="920"/>
      <c r="I42" s="920" t="e">
        <f>'The Table'!#REF!</f>
        <v>#REF!</v>
      </c>
      <c r="J42" s="920"/>
      <c r="K42" s="920" t="e">
        <f>'The Table'!#REF!</f>
        <v>#REF!</v>
      </c>
      <c r="L42" s="920"/>
      <c r="M42" s="920" t="e">
        <f>'The Table'!#REF!</f>
        <v>#REF!</v>
      </c>
      <c r="N42" s="920"/>
      <c r="O42" s="920" t="e">
        <f>'The Table'!#REF!</f>
        <v>#REF!</v>
      </c>
      <c r="P42" s="920"/>
      <c r="Q42" s="920" t="e">
        <f>'The Table'!#REF!</f>
        <v>#REF!</v>
      </c>
      <c r="R42" s="920"/>
      <c r="S42" s="920" t="e">
        <f>'The Table'!#REF!</f>
        <v>#REF!</v>
      </c>
      <c r="T42" s="920"/>
      <c r="U42" s="920" t="e">
        <f>'The Table'!#REF!</f>
        <v>#REF!</v>
      </c>
      <c r="V42" s="920"/>
      <c r="W42" s="920" t="e">
        <f>'The Table'!#REF!</f>
        <v>#REF!</v>
      </c>
      <c r="X42" s="920"/>
      <c r="Y42" s="921"/>
      <c r="Z42" s="921"/>
      <c r="AA42" s="920"/>
    </row>
    <row r="43" spans="1:27" ht="15.75" customHeight="1" x14ac:dyDescent="0.25">
      <c r="A43" s="244"/>
      <c r="B43" s="244"/>
      <c r="C43" s="922" t="e">
        <f>+C40-C42</f>
        <v>#REF!</v>
      </c>
      <c r="D43" s="863"/>
      <c r="E43" s="922" t="e">
        <f>+E40-E42</f>
        <v>#REF!</v>
      </c>
      <c r="F43" s="863"/>
      <c r="G43" s="922" t="e">
        <f>+G40-G42</f>
        <v>#REF!</v>
      </c>
      <c r="H43" s="863"/>
      <c r="I43" s="922" t="e">
        <f>+I40-I42</f>
        <v>#REF!</v>
      </c>
      <c r="J43" s="863"/>
      <c r="K43" s="922" t="e">
        <f>+K40-K42</f>
        <v>#REF!</v>
      </c>
      <c r="L43" s="863"/>
      <c r="M43" s="920" t="e">
        <f>+M40-M42</f>
        <v>#REF!</v>
      </c>
      <c r="N43" s="863"/>
      <c r="O43" s="920" t="e">
        <f>+O40-O42</f>
        <v>#REF!</v>
      </c>
      <c r="P43" s="863"/>
      <c r="Q43" s="920" t="e">
        <f>+Q40-Q42</f>
        <v>#REF!</v>
      </c>
      <c r="R43" s="863"/>
      <c r="S43" s="920" t="e">
        <f>+S40-S42</f>
        <v>#REF!</v>
      </c>
      <c r="T43" s="863"/>
      <c r="U43" s="920" t="e">
        <f>+U40-U42</f>
        <v>#REF!</v>
      </c>
      <c r="V43" s="863"/>
      <c r="W43" s="920" t="e">
        <f>+W40-W42</f>
        <v>#REF!</v>
      </c>
      <c r="X43" s="863"/>
      <c r="Y43" s="923"/>
      <c r="Z43" s="864"/>
      <c r="AA43" s="863"/>
    </row>
    <row r="44" spans="1:27" ht="15.75" customHeight="1" x14ac:dyDescent="0.25">
      <c r="A44" s="244"/>
      <c r="B44" s="244"/>
      <c r="C44" s="863"/>
      <c r="D44" s="863"/>
      <c r="E44" s="863"/>
      <c r="F44" s="863"/>
      <c r="G44" s="863"/>
      <c r="H44" s="863"/>
      <c r="I44" s="863"/>
      <c r="J44" s="863"/>
      <c r="K44" s="863"/>
      <c r="L44" s="863"/>
      <c r="M44" s="863"/>
      <c r="N44" s="863"/>
      <c r="O44" s="863"/>
      <c r="P44" s="863"/>
      <c r="Q44" s="863"/>
      <c r="R44" s="863"/>
      <c r="S44" s="863"/>
      <c r="T44" s="863"/>
      <c r="U44" s="863"/>
      <c r="V44" s="863"/>
      <c r="W44" s="863"/>
      <c r="X44" s="863"/>
      <c r="Y44" s="864"/>
      <c r="Z44" s="864"/>
      <c r="AA44" s="863"/>
    </row>
    <row r="45" spans="1:27" ht="15.75" customHeight="1" x14ac:dyDescent="0.25">
      <c r="A45" s="244"/>
      <c r="B45" s="244"/>
      <c r="C45" s="863"/>
      <c r="D45" s="863"/>
      <c r="E45" s="863"/>
      <c r="F45" s="863"/>
      <c r="G45" s="863"/>
      <c r="H45" s="863"/>
      <c r="I45" s="863"/>
      <c r="J45" s="863"/>
      <c r="K45" s="863"/>
      <c r="L45" s="863"/>
      <c r="M45" s="863"/>
      <c r="N45" s="863"/>
      <c r="O45" s="863"/>
      <c r="P45" s="863"/>
      <c r="Q45" s="863"/>
      <c r="R45" s="863"/>
      <c r="S45" s="863"/>
      <c r="T45" s="863"/>
      <c r="U45" s="863"/>
      <c r="V45" s="863"/>
      <c r="W45" s="863"/>
      <c r="X45" s="863"/>
      <c r="Y45" s="864"/>
      <c r="Z45" s="864"/>
      <c r="AA45" s="863"/>
    </row>
    <row r="46" spans="1:27" ht="15.75" customHeight="1" x14ac:dyDescent="0.25">
      <c r="A46" s="244"/>
      <c r="B46" s="244"/>
      <c r="C46" s="863"/>
      <c r="D46" s="863"/>
      <c r="E46" s="863"/>
      <c r="F46" s="863"/>
      <c r="G46" s="863"/>
      <c r="H46" s="863"/>
      <c r="I46" s="863"/>
      <c r="J46" s="863"/>
      <c r="K46" s="863"/>
      <c r="L46" s="863"/>
      <c r="M46" s="863"/>
      <c r="N46" s="863"/>
      <c r="O46" s="863"/>
      <c r="P46" s="863"/>
      <c r="Q46" s="863"/>
      <c r="R46" s="863"/>
      <c r="S46" s="863"/>
      <c r="T46" s="863"/>
      <c r="U46" s="863"/>
      <c r="V46" s="863"/>
      <c r="W46" s="863"/>
      <c r="X46" s="863"/>
      <c r="Y46" s="864"/>
      <c r="Z46" s="864"/>
      <c r="AA46" s="863"/>
    </row>
    <row r="47" spans="1:27" ht="15.75" customHeight="1" x14ac:dyDescent="0.25">
      <c r="A47" s="244"/>
      <c r="B47" s="244"/>
      <c r="C47" s="863"/>
      <c r="D47" s="863"/>
      <c r="E47" s="863"/>
      <c r="F47" s="863"/>
      <c r="G47" s="863"/>
      <c r="H47" s="863"/>
      <c r="I47" s="863"/>
      <c r="J47" s="863"/>
      <c r="K47" s="863"/>
      <c r="L47" s="863"/>
      <c r="M47" s="863"/>
      <c r="N47" s="863"/>
      <c r="O47" s="863"/>
      <c r="P47" s="863"/>
      <c r="Q47" s="863"/>
      <c r="R47" s="863"/>
      <c r="S47" s="863"/>
      <c r="T47" s="863"/>
      <c r="U47" s="863"/>
      <c r="V47" s="863"/>
      <c r="W47" s="863"/>
      <c r="X47" s="863"/>
      <c r="Y47" s="864"/>
      <c r="Z47" s="864"/>
      <c r="AA47" s="863"/>
    </row>
    <row r="48" spans="1:27" ht="15.75" customHeight="1" x14ac:dyDescent="0.25">
      <c r="A48" s="244"/>
      <c r="B48" s="244"/>
      <c r="C48" s="863"/>
      <c r="D48" s="863"/>
      <c r="E48" s="863"/>
      <c r="F48" s="863"/>
      <c r="G48" s="863"/>
      <c r="H48" s="863"/>
      <c r="I48" s="863"/>
      <c r="J48" s="863"/>
      <c r="K48" s="863"/>
      <c r="L48" s="863"/>
      <c r="M48" s="863"/>
      <c r="N48" s="863"/>
      <c r="O48" s="863"/>
      <c r="P48" s="863"/>
      <c r="Q48" s="863"/>
      <c r="R48" s="863"/>
      <c r="S48" s="863"/>
      <c r="T48" s="863"/>
      <c r="U48" s="863"/>
      <c r="V48" s="863"/>
      <c r="W48" s="863"/>
      <c r="X48" s="863"/>
      <c r="Y48" s="864"/>
      <c r="Z48" s="864"/>
      <c r="AA48" s="863"/>
    </row>
    <row r="49" spans="1:27" ht="15.75" customHeight="1" x14ac:dyDescent="0.25">
      <c r="A49" s="244"/>
      <c r="B49" s="244"/>
      <c r="C49" s="863"/>
      <c r="D49" s="863"/>
      <c r="E49" s="863"/>
      <c r="F49" s="863"/>
      <c r="G49" s="863"/>
      <c r="H49" s="863"/>
      <c r="I49" s="863"/>
      <c r="J49" s="863"/>
      <c r="K49" s="863"/>
      <c r="L49" s="863"/>
      <c r="M49" s="863"/>
      <c r="N49" s="863"/>
      <c r="O49" s="863"/>
      <c r="P49" s="863"/>
      <c r="Q49" s="863"/>
      <c r="R49" s="863"/>
      <c r="S49" s="863"/>
      <c r="T49" s="863"/>
      <c r="U49" s="863"/>
      <c r="V49" s="863"/>
      <c r="W49" s="863"/>
      <c r="X49" s="863"/>
      <c r="Y49" s="864"/>
      <c r="Z49" s="864"/>
      <c r="AA49" s="863"/>
    </row>
    <row r="50" spans="1:27" ht="15.75" customHeight="1" x14ac:dyDescent="0.25">
      <c r="A50" s="244"/>
      <c r="B50" s="244"/>
      <c r="C50" s="863"/>
      <c r="D50" s="863"/>
      <c r="E50" s="863"/>
      <c r="F50" s="863"/>
      <c r="G50" s="863"/>
      <c r="H50" s="863"/>
      <c r="I50" s="863"/>
      <c r="J50" s="863"/>
      <c r="K50" s="863"/>
      <c r="L50" s="863"/>
      <c r="M50" s="863"/>
      <c r="N50" s="863"/>
      <c r="O50" s="863"/>
      <c r="P50" s="863"/>
      <c r="Q50" s="863"/>
      <c r="R50" s="863"/>
      <c r="S50" s="863"/>
      <c r="T50" s="863"/>
      <c r="U50" s="863"/>
      <c r="V50" s="863"/>
      <c r="W50" s="863"/>
      <c r="X50" s="863"/>
      <c r="Y50" s="864"/>
      <c r="Z50" s="864"/>
      <c r="AA50" s="863"/>
    </row>
    <row r="51" spans="1:27" ht="15.75" customHeight="1" x14ac:dyDescent="0.25">
      <c r="A51" s="244"/>
      <c r="B51" s="244"/>
      <c r="C51" s="863"/>
      <c r="D51" s="863"/>
      <c r="E51" s="863"/>
      <c r="F51" s="863"/>
      <c r="G51" s="863"/>
      <c r="H51" s="863"/>
      <c r="I51" s="863"/>
      <c r="J51" s="863"/>
      <c r="K51" s="863"/>
      <c r="L51" s="863"/>
      <c r="M51" s="863"/>
      <c r="N51" s="863"/>
      <c r="O51" s="863"/>
      <c r="P51" s="863"/>
      <c r="Q51" s="863"/>
      <c r="R51" s="863"/>
      <c r="S51" s="863"/>
      <c r="T51" s="863"/>
      <c r="U51" s="863"/>
      <c r="V51" s="863"/>
      <c r="W51" s="863"/>
      <c r="X51" s="863"/>
      <c r="Y51" s="864"/>
      <c r="Z51" s="864"/>
      <c r="AA51" s="863"/>
    </row>
    <row r="52" spans="1:27" ht="15.75" customHeight="1" x14ac:dyDescent="0.25">
      <c r="A52" s="244"/>
      <c r="B52" s="244"/>
      <c r="C52" s="863"/>
      <c r="D52" s="863"/>
      <c r="E52" s="863"/>
      <c r="F52" s="863"/>
      <c r="G52" s="863"/>
      <c r="H52" s="863"/>
      <c r="I52" s="863"/>
      <c r="J52" s="863"/>
      <c r="K52" s="863"/>
      <c r="L52" s="863"/>
      <c r="M52" s="863"/>
      <c r="N52" s="863"/>
      <c r="O52" s="863"/>
      <c r="P52" s="863"/>
      <c r="Q52" s="863"/>
      <c r="R52" s="863"/>
      <c r="S52" s="863"/>
      <c r="T52" s="863"/>
      <c r="U52" s="863"/>
      <c r="V52" s="863"/>
      <c r="W52" s="863"/>
      <c r="X52" s="863"/>
      <c r="Y52" s="864"/>
      <c r="Z52" s="864"/>
      <c r="AA52" s="863"/>
    </row>
    <row r="53" spans="1:27" ht="15.75" customHeight="1" x14ac:dyDescent="0.25">
      <c r="A53" s="244"/>
      <c r="B53" s="244"/>
      <c r="C53" s="863"/>
      <c r="D53" s="863"/>
      <c r="E53" s="863"/>
      <c r="F53" s="863"/>
      <c r="G53" s="863"/>
      <c r="H53" s="863"/>
      <c r="I53" s="863"/>
      <c r="J53" s="863"/>
      <c r="K53" s="863"/>
      <c r="L53" s="863"/>
      <c r="M53" s="863"/>
      <c r="N53" s="863"/>
      <c r="O53" s="863"/>
      <c r="P53" s="863"/>
      <c r="Q53" s="863"/>
      <c r="R53" s="863"/>
      <c r="S53" s="863"/>
      <c r="T53" s="863"/>
      <c r="U53" s="863"/>
      <c r="V53" s="863"/>
      <c r="W53" s="863"/>
      <c r="X53" s="863"/>
      <c r="Y53" s="864"/>
      <c r="Z53" s="864"/>
      <c r="AA53" s="863"/>
    </row>
    <row r="54" spans="1:27" ht="15.75" customHeight="1" x14ac:dyDescent="0.25">
      <c r="A54" s="244"/>
      <c r="B54" s="244"/>
      <c r="C54" s="863"/>
      <c r="D54" s="863"/>
      <c r="E54" s="863"/>
      <c r="F54" s="863"/>
      <c r="G54" s="863"/>
      <c r="H54" s="863"/>
      <c r="I54" s="863"/>
      <c r="J54" s="863"/>
      <c r="K54" s="863"/>
      <c r="L54" s="863"/>
      <c r="M54" s="863"/>
      <c r="N54" s="863"/>
      <c r="O54" s="863"/>
      <c r="P54" s="863"/>
      <c r="Q54" s="863"/>
      <c r="R54" s="863"/>
      <c r="S54" s="863"/>
      <c r="T54" s="863"/>
      <c r="U54" s="863"/>
      <c r="V54" s="863"/>
      <c r="W54" s="863"/>
      <c r="X54" s="863"/>
      <c r="Y54" s="864"/>
      <c r="Z54" s="864"/>
      <c r="AA54" s="863"/>
    </row>
    <row r="55" spans="1:27" ht="15.75" customHeight="1" x14ac:dyDescent="0.25">
      <c r="A55" s="244"/>
      <c r="B55" s="244"/>
      <c r="C55" s="863"/>
      <c r="D55" s="863"/>
      <c r="E55" s="863"/>
      <c r="F55" s="863"/>
      <c r="G55" s="863"/>
      <c r="H55" s="863"/>
      <c r="I55" s="863"/>
      <c r="J55" s="863"/>
      <c r="K55" s="863"/>
      <c r="L55" s="863"/>
      <c r="M55" s="863"/>
      <c r="N55" s="863"/>
      <c r="O55" s="863"/>
      <c r="P55" s="863"/>
      <c r="Q55" s="863"/>
      <c r="R55" s="863"/>
      <c r="S55" s="863"/>
      <c r="T55" s="863"/>
      <c r="U55" s="863"/>
      <c r="V55" s="863"/>
      <c r="W55" s="863"/>
      <c r="X55" s="863"/>
      <c r="Y55" s="864"/>
      <c r="Z55" s="864"/>
      <c r="AA55" s="863"/>
    </row>
    <row r="56" spans="1:27" ht="15.75" customHeight="1" x14ac:dyDescent="0.25">
      <c r="A56" s="244"/>
      <c r="B56" s="244"/>
      <c r="C56" s="863"/>
      <c r="D56" s="863"/>
      <c r="E56" s="863"/>
      <c r="F56" s="863"/>
      <c r="G56" s="863"/>
      <c r="H56" s="863"/>
      <c r="I56" s="863"/>
      <c r="J56" s="863"/>
      <c r="K56" s="863"/>
      <c r="L56" s="863"/>
      <c r="M56" s="863"/>
      <c r="N56" s="863"/>
      <c r="O56" s="863"/>
      <c r="P56" s="863"/>
      <c r="Q56" s="863"/>
      <c r="R56" s="863"/>
      <c r="S56" s="863"/>
      <c r="T56" s="863"/>
      <c r="U56" s="863"/>
      <c r="V56" s="863"/>
      <c r="W56" s="863"/>
      <c r="X56" s="863"/>
      <c r="Y56" s="864"/>
      <c r="Z56" s="864"/>
      <c r="AA56" s="863"/>
    </row>
    <row r="57" spans="1:27" ht="15.75" customHeight="1" x14ac:dyDescent="0.25">
      <c r="A57" s="244"/>
      <c r="B57" s="244"/>
      <c r="C57" s="863"/>
      <c r="D57" s="863"/>
      <c r="E57" s="863"/>
      <c r="F57" s="863"/>
      <c r="G57" s="863"/>
      <c r="H57" s="863"/>
      <c r="I57" s="863"/>
      <c r="J57" s="863"/>
      <c r="K57" s="863"/>
      <c r="L57" s="863"/>
      <c r="M57" s="863"/>
      <c r="N57" s="863"/>
      <c r="O57" s="863"/>
      <c r="P57" s="863"/>
      <c r="Q57" s="863"/>
      <c r="R57" s="863"/>
      <c r="S57" s="863"/>
      <c r="T57" s="863"/>
      <c r="U57" s="863"/>
      <c r="V57" s="863"/>
      <c r="W57" s="863"/>
      <c r="X57" s="863"/>
      <c r="Y57" s="864"/>
      <c r="Z57" s="864"/>
      <c r="AA57" s="863"/>
    </row>
    <row r="58" spans="1:27" ht="15.75" customHeight="1" x14ac:dyDescent="0.25">
      <c r="A58" s="244"/>
      <c r="B58" s="244"/>
      <c r="C58" s="863"/>
      <c r="D58" s="863"/>
      <c r="E58" s="863"/>
      <c r="F58" s="863"/>
      <c r="G58" s="863"/>
      <c r="H58" s="863"/>
      <c r="I58" s="863"/>
      <c r="J58" s="863"/>
      <c r="K58" s="863"/>
      <c r="L58" s="863"/>
      <c r="M58" s="863"/>
      <c r="N58" s="863"/>
      <c r="O58" s="863"/>
      <c r="P58" s="863"/>
      <c r="Q58" s="863"/>
      <c r="R58" s="863"/>
      <c r="S58" s="863"/>
      <c r="T58" s="863"/>
      <c r="U58" s="863"/>
      <c r="V58" s="863"/>
      <c r="W58" s="863"/>
      <c r="X58" s="863"/>
      <c r="Y58" s="864"/>
      <c r="Z58" s="864"/>
      <c r="AA58" s="863"/>
    </row>
    <row r="59" spans="1:27" ht="15.75" customHeight="1" x14ac:dyDescent="0.25">
      <c r="A59" s="244"/>
      <c r="B59" s="244"/>
      <c r="C59" s="863"/>
      <c r="D59" s="863"/>
      <c r="E59" s="863"/>
      <c r="F59" s="863"/>
      <c r="G59" s="863"/>
      <c r="H59" s="863"/>
      <c r="I59" s="863"/>
      <c r="J59" s="863"/>
      <c r="K59" s="863"/>
      <c r="L59" s="863"/>
      <c r="M59" s="863"/>
      <c r="N59" s="863"/>
      <c r="O59" s="863"/>
      <c r="P59" s="863"/>
      <c r="Q59" s="863"/>
      <c r="R59" s="863"/>
      <c r="S59" s="863"/>
      <c r="T59" s="863"/>
      <c r="U59" s="863"/>
      <c r="V59" s="863"/>
      <c r="W59" s="863"/>
      <c r="X59" s="863"/>
      <c r="Y59" s="864"/>
      <c r="Z59" s="864"/>
      <c r="AA59" s="863"/>
    </row>
    <row r="60" spans="1:27" ht="15.75" customHeight="1" x14ac:dyDescent="0.25">
      <c r="A60" s="244"/>
      <c r="B60" s="244"/>
      <c r="C60" s="863"/>
      <c r="D60" s="863"/>
      <c r="E60" s="863"/>
      <c r="F60" s="863"/>
      <c r="G60" s="863"/>
      <c r="H60" s="863"/>
      <c r="I60" s="863"/>
      <c r="J60" s="863"/>
      <c r="K60" s="863"/>
      <c r="L60" s="863"/>
      <c r="M60" s="863"/>
      <c r="N60" s="863"/>
      <c r="O60" s="863"/>
      <c r="P60" s="863"/>
      <c r="Q60" s="863"/>
      <c r="R60" s="863"/>
      <c r="S60" s="863"/>
      <c r="T60" s="863"/>
      <c r="U60" s="863"/>
      <c r="V60" s="863"/>
      <c r="W60" s="863"/>
      <c r="X60" s="863"/>
      <c r="Y60" s="864"/>
      <c r="Z60" s="864"/>
      <c r="AA60" s="863"/>
    </row>
    <row r="61" spans="1:27" ht="15.75" customHeight="1" x14ac:dyDescent="0.25">
      <c r="A61" s="244"/>
      <c r="B61" s="244"/>
      <c r="C61" s="863"/>
      <c r="D61" s="863"/>
      <c r="E61" s="863"/>
      <c r="F61" s="863"/>
      <c r="G61" s="863"/>
      <c r="H61" s="863"/>
      <c r="I61" s="863"/>
      <c r="J61" s="863"/>
      <c r="K61" s="863"/>
      <c r="L61" s="863"/>
      <c r="M61" s="863"/>
      <c r="N61" s="863"/>
      <c r="O61" s="863"/>
      <c r="P61" s="863"/>
      <c r="Q61" s="863"/>
      <c r="R61" s="863"/>
      <c r="S61" s="863"/>
      <c r="T61" s="863"/>
      <c r="U61" s="863"/>
      <c r="V61" s="863"/>
      <c r="W61" s="863"/>
      <c r="X61" s="863"/>
      <c r="Y61" s="864"/>
      <c r="Z61" s="864"/>
      <c r="AA61" s="863"/>
    </row>
    <row r="62" spans="1:27" ht="15.75" customHeight="1" x14ac:dyDescent="0.25">
      <c r="A62" s="244"/>
      <c r="B62" s="244"/>
      <c r="C62" s="863"/>
      <c r="D62" s="863"/>
      <c r="E62" s="863"/>
      <c r="F62" s="863"/>
      <c r="G62" s="863"/>
      <c r="H62" s="863"/>
      <c r="I62" s="863"/>
      <c r="J62" s="863"/>
      <c r="K62" s="863"/>
      <c r="L62" s="863"/>
      <c r="M62" s="863"/>
      <c r="N62" s="863"/>
      <c r="O62" s="863"/>
      <c r="P62" s="863"/>
      <c r="Q62" s="863"/>
      <c r="R62" s="863"/>
      <c r="S62" s="863"/>
      <c r="T62" s="863"/>
      <c r="U62" s="863"/>
      <c r="V62" s="863"/>
      <c r="W62" s="863"/>
      <c r="X62" s="863"/>
      <c r="Y62" s="864"/>
      <c r="Z62" s="864"/>
      <c r="AA62" s="863"/>
    </row>
    <row r="63" spans="1:27" ht="15.75" customHeight="1" x14ac:dyDescent="0.25">
      <c r="A63" s="244"/>
      <c r="B63" s="244"/>
      <c r="C63" s="863"/>
      <c r="D63" s="863"/>
      <c r="E63" s="863"/>
      <c r="F63" s="863"/>
      <c r="G63" s="863"/>
      <c r="H63" s="863"/>
      <c r="I63" s="863"/>
      <c r="J63" s="863"/>
      <c r="K63" s="863"/>
      <c r="L63" s="863"/>
      <c r="M63" s="863"/>
      <c r="N63" s="863"/>
      <c r="O63" s="863"/>
      <c r="P63" s="863"/>
      <c r="Q63" s="863"/>
      <c r="R63" s="863"/>
      <c r="S63" s="863"/>
      <c r="T63" s="863"/>
      <c r="U63" s="863"/>
      <c r="V63" s="863"/>
      <c r="W63" s="863"/>
      <c r="X63" s="863"/>
      <c r="Y63" s="864"/>
      <c r="Z63" s="864"/>
      <c r="AA63" s="863"/>
    </row>
    <row r="64" spans="1:27" ht="15.75" customHeight="1" x14ac:dyDescent="0.25">
      <c r="A64" s="244"/>
      <c r="B64" s="244"/>
      <c r="C64" s="863"/>
      <c r="D64" s="863"/>
      <c r="E64" s="863"/>
      <c r="F64" s="863"/>
      <c r="G64" s="863"/>
      <c r="H64" s="863"/>
      <c r="I64" s="863"/>
      <c r="J64" s="863"/>
      <c r="K64" s="863"/>
      <c r="L64" s="863"/>
      <c r="M64" s="863"/>
      <c r="N64" s="863"/>
      <c r="O64" s="863"/>
      <c r="P64" s="863"/>
      <c r="Q64" s="863"/>
      <c r="R64" s="863"/>
      <c r="S64" s="863"/>
      <c r="T64" s="863"/>
      <c r="U64" s="863"/>
      <c r="V64" s="863"/>
      <c r="W64" s="863"/>
      <c r="X64" s="863"/>
      <c r="Y64" s="864"/>
      <c r="Z64" s="864"/>
      <c r="AA64" s="863"/>
    </row>
    <row r="65" spans="1:27" ht="15.75" customHeight="1" x14ac:dyDescent="0.25">
      <c r="A65" s="244"/>
      <c r="B65" s="244"/>
      <c r="C65" s="863"/>
      <c r="D65" s="863"/>
      <c r="E65" s="863"/>
      <c r="F65" s="863"/>
      <c r="G65" s="863"/>
      <c r="H65" s="863"/>
      <c r="I65" s="863"/>
      <c r="J65" s="863"/>
      <c r="K65" s="863"/>
      <c r="L65" s="863"/>
      <c r="M65" s="863"/>
      <c r="N65" s="863"/>
      <c r="O65" s="863"/>
      <c r="P65" s="863"/>
      <c r="Q65" s="863"/>
      <c r="R65" s="863"/>
      <c r="S65" s="863"/>
      <c r="T65" s="863"/>
      <c r="U65" s="863"/>
      <c r="V65" s="863"/>
      <c r="W65" s="863"/>
      <c r="X65" s="863"/>
      <c r="Y65" s="864"/>
      <c r="Z65" s="864"/>
      <c r="AA65" s="863"/>
    </row>
    <row r="66" spans="1:27" ht="15.75" customHeight="1" x14ac:dyDescent="0.25">
      <c r="A66" s="244"/>
      <c r="B66" s="244"/>
      <c r="C66" s="863"/>
      <c r="D66" s="863"/>
      <c r="E66" s="863"/>
      <c r="F66" s="863"/>
      <c r="G66" s="863"/>
      <c r="H66" s="863"/>
      <c r="I66" s="863"/>
      <c r="J66" s="863"/>
      <c r="K66" s="863"/>
      <c r="L66" s="863"/>
      <c r="M66" s="863"/>
      <c r="N66" s="863"/>
      <c r="O66" s="863"/>
      <c r="P66" s="863"/>
      <c r="Q66" s="863"/>
      <c r="R66" s="863"/>
      <c r="S66" s="863"/>
      <c r="T66" s="863"/>
      <c r="U66" s="863"/>
      <c r="V66" s="863"/>
      <c r="W66" s="863"/>
      <c r="X66" s="863"/>
      <c r="Y66" s="864"/>
      <c r="Z66" s="864"/>
      <c r="AA66" s="863"/>
    </row>
    <row r="67" spans="1:27" ht="15.75" customHeight="1" x14ac:dyDescent="0.25">
      <c r="A67" s="244"/>
      <c r="B67" s="244"/>
      <c r="C67" s="863"/>
      <c r="D67" s="863"/>
      <c r="E67" s="863"/>
      <c r="F67" s="863"/>
      <c r="G67" s="863"/>
      <c r="H67" s="863"/>
      <c r="I67" s="863"/>
      <c r="J67" s="863"/>
      <c r="K67" s="863"/>
      <c r="L67" s="863"/>
      <c r="M67" s="863"/>
      <c r="N67" s="863"/>
      <c r="O67" s="863"/>
      <c r="P67" s="863"/>
      <c r="Q67" s="863"/>
      <c r="R67" s="863"/>
      <c r="S67" s="863"/>
      <c r="T67" s="863"/>
      <c r="U67" s="863"/>
      <c r="V67" s="863"/>
      <c r="W67" s="863"/>
      <c r="X67" s="863"/>
      <c r="Y67" s="864"/>
      <c r="Z67" s="864"/>
      <c r="AA67" s="863"/>
    </row>
    <row r="68" spans="1:27" ht="15.75" customHeight="1" x14ac:dyDescent="0.25">
      <c r="A68" s="244"/>
      <c r="B68" s="244"/>
      <c r="C68" s="863"/>
      <c r="D68" s="863"/>
      <c r="E68" s="863"/>
      <c r="F68" s="863"/>
      <c r="G68" s="863"/>
      <c r="H68" s="863"/>
      <c r="I68" s="863"/>
      <c r="J68" s="863"/>
      <c r="K68" s="863"/>
      <c r="L68" s="863"/>
      <c r="M68" s="863"/>
      <c r="N68" s="863"/>
      <c r="O68" s="863"/>
      <c r="P68" s="863"/>
      <c r="Q68" s="863"/>
      <c r="R68" s="863"/>
      <c r="S68" s="863"/>
      <c r="T68" s="863"/>
      <c r="U68" s="863"/>
      <c r="V68" s="863"/>
      <c r="W68" s="863"/>
      <c r="X68" s="863"/>
      <c r="Y68" s="864"/>
      <c r="Z68" s="864"/>
      <c r="AA68" s="863"/>
    </row>
    <row r="69" spans="1:27" ht="15.75" customHeight="1" x14ac:dyDescent="0.25">
      <c r="A69" s="244"/>
      <c r="B69" s="244"/>
      <c r="C69" s="863"/>
      <c r="D69" s="863"/>
      <c r="E69" s="863"/>
      <c r="F69" s="863"/>
      <c r="G69" s="863"/>
      <c r="H69" s="863"/>
      <c r="I69" s="863"/>
      <c r="J69" s="863"/>
      <c r="K69" s="863"/>
      <c r="L69" s="863"/>
      <c r="M69" s="863"/>
      <c r="N69" s="863"/>
      <c r="O69" s="863"/>
      <c r="P69" s="863"/>
      <c r="Q69" s="863"/>
      <c r="R69" s="863"/>
      <c r="S69" s="863"/>
      <c r="T69" s="863"/>
      <c r="U69" s="863"/>
      <c r="V69" s="863"/>
      <c r="W69" s="863"/>
      <c r="X69" s="863"/>
      <c r="Y69" s="864"/>
      <c r="Z69" s="864"/>
      <c r="AA69" s="863"/>
    </row>
    <row r="70" spans="1:27" ht="15.75" customHeight="1" x14ac:dyDescent="0.25">
      <c r="A70" s="244"/>
      <c r="B70" s="244"/>
      <c r="C70" s="863"/>
      <c r="D70" s="863"/>
      <c r="E70" s="863"/>
      <c r="F70" s="863"/>
      <c r="G70" s="863"/>
      <c r="H70" s="863"/>
      <c r="I70" s="863"/>
      <c r="J70" s="863"/>
      <c r="K70" s="863"/>
      <c r="L70" s="863"/>
      <c r="M70" s="863"/>
      <c r="N70" s="863"/>
      <c r="O70" s="863"/>
      <c r="P70" s="863"/>
      <c r="Q70" s="863"/>
      <c r="R70" s="863"/>
      <c r="S70" s="863"/>
      <c r="T70" s="863"/>
      <c r="U70" s="863"/>
      <c r="V70" s="863"/>
      <c r="W70" s="863"/>
      <c r="X70" s="863"/>
      <c r="Y70" s="864"/>
      <c r="Z70" s="864"/>
      <c r="AA70" s="863"/>
    </row>
    <row r="71" spans="1:27" ht="15.75" customHeight="1" x14ac:dyDescent="0.25">
      <c r="A71" s="244"/>
      <c r="B71" s="244"/>
      <c r="C71" s="863"/>
      <c r="D71" s="863"/>
      <c r="E71" s="863"/>
      <c r="F71" s="863"/>
      <c r="G71" s="863"/>
      <c r="H71" s="863"/>
      <c r="I71" s="863"/>
      <c r="J71" s="863"/>
      <c r="K71" s="863"/>
      <c r="L71" s="863"/>
      <c r="M71" s="863"/>
      <c r="N71" s="863"/>
      <c r="O71" s="863"/>
      <c r="P71" s="863"/>
      <c r="Q71" s="863"/>
      <c r="R71" s="863"/>
      <c r="S71" s="863"/>
      <c r="T71" s="863"/>
      <c r="U71" s="863"/>
      <c r="V71" s="863"/>
      <c r="W71" s="863"/>
      <c r="X71" s="863"/>
      <c r="Y71" s="864"/>
      <c r="Z71" s="864"/>
      <c r="AA71" s="863"/>
    </row>
    <row r="72" spans="1:27" ht="15.75" customHeight="1" x14ac:dyDescent="0.25">
      <c r="A72" s="244"/>
      <c r="B72" s="244"/>
      <c r="C72" s="863"/>
      <c r="D72" s="863"/>
      <c r="E72" s="863"/>
      <c r="F72" s="863"/>
      <c r="G72" s="863"/>
      <c r="H72" s="863"/>
      <c r="I72" s="863"/>
      <c r="J72" s="863"/>
      <c r="K72" s="863"/>
      <c r="L72" s="863"/>
      <c r="M72" s="863"/>
      <c r="N72" s="863"/>
      <c r="O72" s="863"/>
      <c r="P72" s="863"/>
      <c r="Q72" s="863"/>
      <c r="R72" s="863"/>
      <c r="S72" s="863"/>
      <c r="T72" s="863"/>
      <c r="U72" s="863"/>
      <c r="V72" s="863"/>
      <c r="W72" s="863"/>
      <c r="X72" s="863"/>
      <c r="Y72" s="864"/>
      <c r="Z72" s="864"/>
      <c r="AA72" s="863"/>
    </row>
    <row r="73" spans="1:27" ht="15.75" customHeight="1" x14ac:dyDescent="0.25">
      <c r="A73" s="244"/>
      <c r="B73" s="244"/>
      <c r="C73" s="863"/>
      <c r="D73" s="863"/>
      <c r="E73" s="863"/>
      <c r="F73" s="863"/>
      <c r="G73" s="863"/>
      <c r="H73" s="863"/>
      <c r="I73" s="863"/>
      <c r="J73" s="863"/>
      <c r="K73" s="863"/>
      <c r="L73" s="863"/>
      <c r="M73" s="863"/>
      <c r="N73" s="863"/>
      <c r="O73" s="863"/>
      <c r="P73" s="863"/>
      <c r="Q73" s="863"/>
      <c r="R73" s="863"/>
      <c r="S73" s="863"/>
      <c r="T73" s="863"/>
      <c r="U73" s="863"/>
      <c r="V73" s="863"/>
      <c r="W73" s="863"/>
      <c r="X73" s="863"/>
      <c r="Y73" s="864"/>
      <c r="Z73" s="864"/>
      <c r="AA73" s="863"/>
    </row>
    <row r="74" spans="1:27" ht="15.75" customHeight="1" x14ac:dyDescent="0.25">
      <c r="A74" s="244"/>
      <c r="B74" s="244"/>
      <c r="C74" s="863"/>
      <c r="D74" s="863"/>
      <c r="E74" s="863"/>
      <c r="F74" s="863"/>
      <c r="G74" s="863"/>
      <c r="H74" s="863"/>
      <c r="I74" s="863"/>
      <c r="J74" s="863"/>
      <c r="K74" s="863"/>
      <c r="L74" s="863"/>
      <c r="M74" s="863"/>
      <c r="N74" s="863"/>
      <c r="O74" s="863"/>
      <c r="P74" s="863"/>
      <c r="Q74" s="863"/>
      <c r="R74" s="863"/>
      <c r="S74" s="863"/>
      <c r="T74" s="863"/>
      <c r="U74" s="863"/>
      <c r="V74" s="863"/>
      <c r="W74" s="863"/>
      <c r="X74" s="863"/>
      <c r="Y74" s="864"/>
      <c r="Z74" s="864"/>
      <c r="AA74" s="863"/>
    </row>
    <row r="75" spans="1:27" ht="15.75" customHeight="1" x14ac:dyDescent="0.25">
      <c r="A75" s="244"/>
      <c r="B75" s="244"/>
      <c r="C75" s="863"/>
      <c r="D75" s="863"/>
      <c r="E75" s="863"/>
      <c r="F75" s="863"/>
      <c r="G75" s="863"/>
      <c r="H75" s="863"/>
      <c r="I75" s="863"/>
      <c r="J75" s="863"/>
      <c r="K75" s="863"/>
      <c r="L75" s="863"/>
      <c r="M75" s="863"/>
      <c r="N75" s="863"/>
      <c r="O75" s="863"/>
      <c r="P75" s="863"/>
      <c r="Q75" s="863"/>
      <c r="R75" s="863"/>
      <c r="S75" s="863"/>
      <c r="T75" s="863"/>
      <c r="U75" s="863"/>
      <c r="V75" s="863"/>
      <c r="W75" s="863"/>
      <c r="X75" s="863"/>
      <c r="Y75" s="864"/>
      <c r="Z75" s="864"/>
      <c r="AA75" s="863"/>
    </row>
    <row r="76" spans="1:27" ht="15.75" customHeight="1" x14ac:dyDescent="0.25">
      <c r="A76" s="244"/>
      <c r="B76" s="244"/>
      <c r="C76" s="863"/>
      <c r="D76" s="863"/>
      <c r="E76" s="863"/>
      <c r="F76" s="863"/>
      <c r="G76" s="863"/>
      <c r="H76" s="863"/>
      <c r="I76" s="863"/>
      <c r="J76" s="863"/>
      <c r="K76" s="863"/>
      <c r="L76" s="863"/>
      <c r="M76" s="863"/>
      <c r="N76" s="863"/>
      <c r="O76" s="863"/>
      <c r="P76" s="863"/>
      <c r="Q76" s="863"/>
      <c r="R76" s="863"/>
      <c r="S76" s="863"/>
      <c r="T76" s="863"/>
      <c r="U76" s="863"/>
      <c r="V76" s="863"/>
      <c r="W76" s="863"/>
      <c r="X76" s="863"/>
      <c r="Y76" s="864"/>
      <c r="Z76" s="864"/>
      <c r="AA76" s="863"/>
    </row>
    <row r="77" spans="1:27" ht="15.75" customHeight="1" x14ac:dyDescent="0.25">
      <c r="A77" s="244"/>
      <c r="B77" s="244"/>
      <c r="C77" s="863"/>
      <c r="D77" s="863"/>
      <c r="E77" s="863"/>
      <c r="F77" s="863"/>
      <c r="G77" s="863"/>
      <c r="H77" s="863"/>
      <c r="I77" s="863"/>
      <c r="J77" s="863"/>
      <c r="K77" s="863"/>
      <c r="L77" s="863"/>
      <c r="M77" s="863"/>
      <c r="N77" s="863"/>
      <c r="O77" s="863"/>
      <c r="P77" s="863"/>
      <c r="Q77" s="863"/>
      <c r="R77" s="863"/>
      <c r="S77" s="863"/>
      <c r="T77" s="863"/>
      <c r="U77" s="863"/>
      <c r="V77" s="863"/>
      <c r="W77" s="863"/>
      <c r="X77" s="863"/>
      <c r="Y77" s="864"/>
      <c r="Z77" s="864"/>
      <c r="AA77" s="863"/>
    </row>
    <row r="78" spans="1:27" ht="15.75" customHeight="1" x14ac:dyDescent="0.25">
      <c r="A78" s="244"/>
      <c r="B78" s="244"/>
      <c r="C78" s="863"/>
      <c r="D78" s="863"/>
      <c r="E78" s="863"/>
      <c r="F78" s="863"/>
      <c r="G78" s="863"/>
      <c r="H78" s="863"/>
      <c r="I78" s="863"/>
      <c r="J78" s="863"/>
      <c r="K78" s="863"/>
      <c r="L78" s="863"/>
      <c r="M78" s="863"/>
      <c r="N78" s="863"/>
      <c r="O78" s="863"/>
      <c r="P78" s="863"/>
      <c r="Q78" s="863"/>
      <c r="R78" s="863"/>
      <c r="S78" s="863"/>
      <c r="T78" s="863"/>
      <c r="U78" s="863"/>
      <c r="V78" s="863"/>
      <c r="W78" s="863"/>
      <c r="X78" s="863"/>
      <c r="Y78" s="864"/>
      <c r="Z78" s="864"/>
      <c r="AA78" s="863"/>
    </row>
    <row r="79" spans="1:27" ht="15.75" customHeight="1" x14ac:dyDescent="0.25">
      <c r="A79" s="244"/>
      <c r="B79" s="244"/>
      <c r="C79" s="863"/>
      <c r="D79" s="863"/>
      <c r="E79" s="863"/>
      <c r="F79" s="863"/>
      <c r="G79" s="863"/>
      <c r="H79" s="863"/>
      <c r="I79" s="863"/>
      <c r="J79" s="863"/>
      <c r="K79" s="863"/>
      <c r="L79" s="863"/>
      <c r="M79" s="863"/>
      <c r="N79" s="863"/>
      <c r="O79" s="863"/>
      <c r="P79" s="863"/>
      <c r="Q79" s="863"/>
      <c r="R79" s="863"/>
      <c r="S79" s="863"/>
      <c r="T79" s="863"/>
      <c r="U79" s="863"/>
      <c r="V79" s="863"/>
      <c r="W79" s="863"/>
      <c r="X79" s="863"/>
      <c r="Y79" s="864"/>
      <c r="Z79" s="864"/>
      <c r="AA79" s="863"/>
    </row>
    <row r="80" spans="1:27" ht="15.75" customHeight="1" x14ac:dyDescent="0.25">
      <c r="A80" s="244"/>
      <c r="B80" s="244"/>
      <c r="C80" s="863"/>
      <c r="D80" s="863"/>
      <c r="E80" s="863"/>
      <c r="F80" s="863"/>
      <c r="G80" s="863"/>
      <c r="H80" s="863"/>
      <c r="I80" s="863"/>
      <c r="J80" s="863"/>
      <c r="K80" s="863"/>
      <c r="L80" s="863"/>
      <c r="M80" s="863"/>
      <c r="N80" s="863"/>
      <c r="O80" s="863"/>
      <c r="P80" s="863"/>
      <c r="Q80" s="863"/>
      <c r="R80" s="863"/>
      <c r="S80" s="863"/>
      <c r="T80" s="863"/>
      <c r="U80" s="863"/>
      <c r="V80" s="863"/>
      <c r="W80" s="863"/>
      <c r="X80" s="863"/>
      <c r="Y80" s="864"/>
      <c r="Z80" s="864"/>
      <c r="AA80" s="863"/>
    </row>
    <row r="81" spans="1:27" ht="15.75" customHeight="1" x14ac:dyDescent="0.25">
      <c r="A81" s="244"/>
      <c r="B81" s="244"/>
      <c r="C81" s="863"/>
      <c r="D81" s="863"/>
      <c r="E81" s="863"/>
      <c r="F81" s="863"/>
      <c r="G81" s="863"/>
      <c r="H81" s="863"/>
      <c r="I81" s="863"/>
      <c r="J81" s="863"/>
      <c r="K81" s="863"/>
      <c r="L81" s="863"/>
      <c r="M81" s="863"/>
      <c r="N81" s="863"/>
      <c r="O81" s="863"/>
      <c r="P81" s="863"/>
      <c r="Q81" s="863"/>
      <c r="R81" s="863"/>
      <c r="S81" s="863"/>
      <c r="T81" s="863"/>
      <c r="U81" s="863"/>
      <c r="V81" s="863"/>
      <c r="W81" s="863"/>
      <c r="X81" s="863"/>
      <c r="Y81" s="864"/>
      <c r="Z81" s="864"/>
      <c r="AA81" s="863"/>
    </row>
    <row r="82" spans="1:27" ht="15.75" customHeight="1" x14ac:dyDescent="0.25">
      <c r="A82" s="244"/>
      <c r="B82" s="244"/>
      <c r="C82" s="863"/>
      <c r="D82" s="863"/>
      <c r="E82" s="863"/>
      <c r="F82" s="863"/>
      <c r="G82" s="863"/>
      <c r="H82" s="863"/>
      <c r="I82" s="863"/>
      <c r="J82" s="863"/>
      <c r="K82" s="863"/>
      <c r="L82" s="863"/>
      <c r="M82" s="863"/>
      <c r="N82" s="863"/>
      <c r="O82" s="863"/>
      <c r="P82" s="863"/>
      <c r="Q82" s="863"/>
      <c r="R82" s="863"/>
      <c r="S82" s="863"/>
      <c r="T82" s="863"/>
      <c r="U82" s="863"/>
      <c r="V82" s="863"/>
      <c r="W82" s="863"/>
      <c r="X82" s="863"/>
      <c r="Y82" s="864"/>
      <c r="Z82" s="864"/>
      <c r="AA82" s="863"/>
    </row>
    <row r="83" spans="1:27" ht="15.75" customHeight="1" x14ac:dyDescent="0.25">
      <c r="A83" s="244"/>
      <c r="B83" s="244"/>
      <c r="C83" s="863"/>
      <c r="D83" s="863"/>
      <c r="E83" s="863"/>
      <c r="F83" s="863"/>
      <c r="G83" s="863"/>
      <c r="H83" s="863"/>
      <c r="I83" s="863"/>
      <c r="J83" s="863"/>
      <c r="K83" s="863"/>
      <c r="L83" s="863"/>
      <c r="M83" s="863"/>
      <c r="N83" s="863"/>
      <c r="O83" s="863"/>
      <c r="P83" s="863"/>
      <c r="Q83" s="863"/>
      <c r="R83" s="863"/>
      <c r="S83" s="863"/>
      <c r="T83" s="863"/>
      <c r="U83" s="863"/>
      <c r="V83" s="863"/>
      <c r="W83" s="863"/>
      <c r="X83" s="863"/>
      <c r="Y83" s="864"/>
      <c r="Z83" s="864"/>
      <c r="AA83" s="863"/>
    </row>
    <row r="84" spans="1:27" ht="15.75" customHeight="1" x14ac:dyDescent="0.25">
      <c r="A84" s="244"/>
      <c r="B84" s="244"/>
      <c r="C84" s="863"/>
      <c r="D84" s="863"/>
      <c r="E84" s="863"/>
      <c r="F84" s="863"/>
      <c r="G84" s="863"/>
      <c r="H84" s="863"/>
      <c r="I84" s="863"/>
      <c r="J84" s="863"/>
      <c r="K84" s="863"/>
      <c r="L84" s="863"/>
      <c r="M84" s="863"/>
      <c r="N84" s="863"/>
      <c r="O84" s="863"/>
      <c r="P84" s="863"/>
      <c r="Q84" s="863"/>
      <c r="R84" s="863"/>
      <c r="S84" s="863"/>
      <c r="T84" s="863"/>
      <c r="U84" s="863"/>
      <c r="V84" s="863"/>
      <c r="W84" s="863"/>
      <c r="X84" s="863"/>
      <c r="Y84" s="864"/>
      <c r="Z84" s="864"/>
      <c r="AA84" s="863"/>
    </row>
    <row r="85" spans="1:27" ht="15.75" customHeight="1" x14ac:dyDescent="0.25">
      <c r="A85" s="244"/>
      <c r="B85" s="244"/>
      <c r="C85" s="863"/>
      <c r="D85" s="863"/>
      <c r="E85" s="863"/>
      <c r="F85" s="863"/>
      <c r="G85" s="863"/>
      <c r="H85" s="863"/>
      <c r="I85" s="863"/>
      <c r="J85" s="863"/>
      <c r="K85" s="863"/>
      <c r="L85" s="863"/>
      <c r="M85" s="863"/>
      <c r="N85" s="863"/>
      <c r="O85" s="863"/>
      <c r="P85" s="863"/>
      <c r="Q85" s="863"/>
      <c r="R85" s="863"/>
      <c r="S85" s="863"/>
      <c r="T85" s="863"/>
      <c r="U85" s="863"/>
      <c r="V85" s="863"/>
      <c r="W85" s="863"/>
      <c r="X85" s="863"/>
      <c r="Y85" s="864"/>
      <c r="Z85" s="864"/>
      <c r="AA85" s="863"/>
    </row>
    <row r="86" spans="1:27" ht="15.75" customHeight="1" x14ac:dyDescent="0.25">
      <c r="A86" s="244"/>
      <c r="B86" s="244"/>
      <c r="C86" s="863"/>
      <c r="D86" s="863"/>
      <c r="E86" s="863"/>
      <c r="F86" s="863"/>
      <c r="G86" s="863"/>
      <c r="H86" s="863"/>
      <c r="I86" s="863"/>
      <c r="J86" s="863"/>
      <c r="K86" s="863"/>
      <c r="L86" s="863"/>
      <c r="M86" s="863"/>
      <c r="N86" s="863"/>
      <c r="O86" s="863"/>
      <c r="P86" s="863"/>
      <c r="Q86" s="863"/>
      <c r="R86" s="863"/>
      <c r="S86" s="863"/>
      <c r="T86" s="863"/>
      <c r="U86" s="863"/>
      <c r="V86" s="863"/>
      <c r="W86" s="863"/>
      <c r="X86" s="863"/>
      <c r="Y86" s="864"/>
      <c r="Z86" s="864"/>
      <c r="AA86" s="863"/>
    </row>
    <row r="87" spans="1:27" ht="15.75" customHeight="1" x14ac:dyDescent="0.25">
      <c r="A87" s="244"/>
      <c r="B87" s="244"/>
      <c r="C87" s="863"/>
      <c r="D87" s="863"/>
      <c r="E87" s="863"/>
      <c r="F87" s="863"/>
      <c r="G87" s="863"/>
      <c r="H87" s="863"/>
      <c r="I87" s="863"/>
      <c r="J87" s="863"/>
      <c r="K87" s="863"/>
      <c r="L87" s="863"/>
      <c r="M87" s="863"/>
      <c r="N87" s="863"/>
      <c r="O87" s="863"/>
      <c r="P87" s="863"/>
      <c r="Q87" s="863"/>
      <c r="R87" s="863"/>
      <c r="S87" s="863"/>
      <c r="T87" s="863"/>
      <c r="U87" s="863"/>
      <c r="V87" s="863"/>
      <c r="W87" s="863"/>
      <c r="X87" s="863"/>
      <c r="Y87" s="864"/>
      <c r="Z87" s="864"/>
      <c r="AA87" s="863"/>
    </row>
    <row r="88" spans="1:27" ht="15.75" customHeight="1" x14ac:dyDescent="0.25">
      <c r="A88" s="244"/>
      <c r="B88" s="244"/>
      <c r="C88" s="863"/>
      <c r="D88" s="863"/>
      <c r="E88" s="863"/>
      <c r="F88" s="863"/>
      <c r="G88" s="863"/>
      <c r="H88" s="863"/>
      <c r="I88" s="863"/>
      <c r="J88" s="863"/>
      <c r="K88" s="863"/>
      <c r="L88" s="863"/>
      <c r="M88" s="863"/>
      <c r="N88" s="863"/>
      <c r="O88" s="863"/>
      <c r="P88" s="863"/>
      <c r="Q88" s="863"/>
      <c r="R88" s="863"/>
      <c r="S88" s="863"/>
      <c r="T88" s="863"/>
      <c r="U88" s="863"/>
      <c r="V88" s="863"/>
      <c r="W88" s="863"/>
      <c r="X88" s="863"/>
      <c r="Y88" s="864"/>
      <c r="Z88" s="864"/>
      <c r="AA88" s="863"/>
    </row>
    <row r="89" spans="1:27" ht="15.75" customHeight="1" x14ac:dyDescent="0.25">
      <c r="A89" s="244"/>
      <c r="B89" s="244"/>
      <c r="C89" s="863"/>
      <c r="D89" s="863"/>
      <c r="E89" s="863"/>
      <c r="F89" s="863"/>
      <c r="G89" s="863"/>
      <c r="H89" s="863"/>
      <c r="I89" s="863"/>
      <c r="J89" s="863"/>
      <c r="K89" s="863"/>
      <c r="L89" s="863"/>
      <c r="M89" s="863"/>
      <c r="N89" s="863"/>
      <c r="O89" s="863"/>
      <c r="P89" s="863"/>
      <c r="Q89" s="863"/>
      <c r="R89" s="863"/>
      <c r="S89" s="863"/>
      <c r="T89" s="863"/>
      <c r="U89" s="863"/>
      <c r="V89" s="863"/>
      <c r="W89" s="863"/>
      <c r="X89" s="863"/>
      <c r="Y89" s="864"/>
      <c r="Z89" s="864"/>
      <c r="AA89" s="863"/>
    </row>
    <row r="90" spans="1:27" ht="15.75" customHeight="1" x14ac:dyDescent="0.25">
      <c r="A90" s="244"/>
      <c r="B90" s="244"/>
      <c r="C90" s="863"/>
      <c r="D90" s="863"/>
      <c r="E90" s="863"/>
      <c r="F90" s="863"/>
      <c r="G90" s="863"/>
      <c r="H90" s="863"/>
      <c r="I90" s="863"/>
      <c r="J90" s="863"/>
      <c r="K90" s="863"/>
      <c r="L90" s="863"/>
      <c r="M90" s="863"/>
      <c r="N90" s="863"/>
      <c r="O90" s="863"/>
      <c r="P90" s="863"/>
      <c r="Q90" s="863"/>
      <c r="R90" s="863"/>
      <c r="S90" s="863"/>
      <c r="T90" s="863"/>
      <c r="U90" s="863"/>
      <c r="V90" s="863"/>
      <c r="W90" s="863"/>
      <c r="X90" s="863"/>
      <c r="Y90" s="864"/>
      <c r="Z90" s="864"/>
      <c r="AA90" s="863"/>
    </row>
    <row r="91" spans="1:27" ht="15.75" customHeight="1" x14ac:dyDescent="0.25">
      <c r="A91" s="244"/>
      <c r="B91" s="24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4"/>
      <c r="Z91" s="864"/>
      <c r="AA91" s="863"/>
    </row>
    <row r="92" spans="1:27" ht="15.75" customHeight="1" x14ac:dyDescent="0.25">
      <c r="A92" s="244"/>
      <c r="B92" s="244"/>
      <c r="C92" s="863"/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4"/>
      <c r="Z92" s="864"/>
      <c r="AA92" s="863"/>
    </row>
    <row r="93" spans="1:27" ht="15.75" customHeight="1" x14ac:dyDescent="0.25">
      <c r="A93" s="244"/>
      <c r="B93" s="244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4"/>
      <c r="Z93" s="864"/>
      <c r="AA93" s="863"/>
    </row>
    <row r="94" spans="1:27" ht="15.75" customHeight="1" x14ac:dyDescent="0.25">
      <c r="A94" s="244"/>
      <c r="B94" s="244"/>
      <c r="C94" s="863"/>
      <c r="D94" s="863"/>
      <c r="E94" s="863"/>
      <c r="F94" s="863"/>
      <c r="G94" s="863"/>
      <c r="H94" s="863"/>
      <c r="I94" s="863"/>
      <c r="J94" s="863"/>
      <c r="K94" s="863"/>
      <c r="L94" s="863"/>
      <c r="M94" s="863"/>
      <c r="N94" s="863"/>
      <c r="O94" s="863"/>
      <c r="P94" s="863"/>
      <c r="Q94" s="863"/>
      <c r="R94" s="863"/>
      <c r="S94" s="863"/>
      <c r="T94" s="863"/>
      <c r="U94" s="863"/>
      <c r="V94" s="863"/>
      <c r="W94" s="863"/>
      <c r="X94" s="863"/>
      <c r="Y94" s="864"/>
      <c r="Z94" s="864"/>
      <c r="AA94" s="863"/>
    </row>
    <row r="95" spans="1:27" ht="15.75" customHeight="1" x14ac:dyDescent="0.25">
      <c r="A95" s="244"/>
      <c r="B95" s="244"/>
      <c r="C95" s="863"/>
      <c r="D95" s="863"/>
      <c r="E95" s="863"/>
      <c r="F95" s="863"/>
      <c r="G95" s="863"/>
      <c r="H95" s="863"/>
      <c r="I95" s="863"/>
      <c r="J95" s="863"/>
      <c r="K95" s="863"/>
      <c r="L95" s="863"/>
      <c r="M95" s="863"/>
      <c r="N95" s="863"/>
      <c r="O95" s="863"/>
      <c r="P95" s="863"/>
      <c r="Q95" s="863"/>
      <c r="R95" s="863"/>
      <c r="S95" s="863"/>
      <c r="T95" s="863"/>
      <c r="U95" s="863"/>
      <c r="V95" s="863"/>
      <c r="W95" s="863"/>
      <c r="X95" s="863"/>
      <c r="Y95" s="864"/>
      <c r="Z95" s="864"/>
      <c r="AA95" s="863"/>
    </row>
    <row r="96" spans="1:27" ht="15.75" customHeight="1" x14ac:dyDescent="0.25">
      <c r="A96" s="244"/>
      <c r="B96" s="244"/>
      <c r="C96" s="863"/>
      <c r="D96" s="863"/>
      <c r="E96" s="863"/>
      <c r="F96" s="863"/>
      <c r="G96" s="863"/>
      <c r="H96" s="863"/>
      <c r="I96" s="863"/>
      <c r="J96" s="863"/>
      <c r="K96" s="863"/>
      <c r="L96" s="863"/>
      <c r="M96" s="863"/>
      <c r="N96" s="863"/>
      <c r="O96" s="863"/>
      <c r="P96" s="863"/>
      <c r="Q96" s="863"/>
      <c r="R96" s="863"/>
      <c r="S96" s="863"/>
      <c r="T96" s="863"/>
      <c r="U96" s="863"/>
      <c r="V96" s="863"/>
      <c r="W96" s="863"/>
      <c r="X96" s="863"/>
      <c r="Y96" s="864"/>
      <c r="Z96" s="864"/>
      <c r="AA96" s="863"/>
    </row>
    <row r="97" spans="1:27" ht="15.75" customHeight="1" x14ac:dyDescent="0.25">
      <c r="A97" s="244"/>
      <c r="B97" s="244"/>
      <c r="C97" s="863"/>
      <c r="D97" s="863"/>
      <c r="E97" s="863"/>
      <c r="F97" s="863"/>
      <c r="G97" s="863"/>
      <c r="H97" s="863"/>
      <c r="I97" s="863"/>
      <c r="J97" s="863"/>
      <c r="K97" s="863"/>
      <c r="L97" s="863"/>
      <c r="M97" s="863"/>
      <c r="N97" s="863"/>
      <c r="O97" s="863"/>
      <c r="P97" s="863"/>
      <c r="Q97" s="863"/>
      <c r="R97" s="863"/>
      <c r="S97" s="863"/>
      <c r="T97" s="863"/>
      <c r="U97" s="863"/>
      <c r="V97" s="863"/>
      <c r="W97" s="863"/>
      <c r="X97" s="863"/>
      <c r="Y97" s="864"/>
      <c r="Z97" s="864"/>
      <c r="AA97" s="863"/>
    </row>
    <row r="98" spans="1:27" ht="15.75" customHeight="1" x14ac:dyDescent="0.25">
      <c r="A98" s="244"/>
      <c r="B98" s="244"/>
      <c r="C98" s="863"/>
      <c r="D98" s="863"/>
      <c r="E98" s="863"/>
      <c r="F98" s="863"/>
      <c r="G98" s="863"/>
      <c r="H98" s="863"/>
      <c r="I98" s="863"/>
      <c r="J98" s="863"/>
      <c r="K98" s="863"/>
      <c r="L98" s="863"/>
      <c r="M98" s="863"/>
      <c r="N98" s="863"/>
      <c r="O98" s="863"/>
      <c r="P98" s="863"/>
      <c r="Q98" s="863"/>
      <c r="R98" s="863"/>
      <c r="S98" s="863"/>
      <c r="T98" s="863"/>
      <c r="U98" s="863"/>
      <c r="V98" s="863"/>
      <c r="W98" s="863"/>
      <c r="X98" s="863"/>
      <c r="Y98" s="864"/>
      <c r="Z98" s="864"/>
      <c r="AA98" s="863"/>
    </row>
    <row r="99" spans="1:27" ht="15.75" customHeight="1" x14ac:dyDescent="0.25">
      <c r="A99" s="244"/>
      <c r="B99" s="244"/>
      <c r="C99" s="863"/>
      <c r="D99" s="863"/>
      <c r="E99" s="863"/>
      <c r="F99" s="863"/>
      <c r="G99" s="863"/>
      <c r="H99" s="863"/>
      <c r="I99" s="863"/>
      <c r="J99" s="863"/>
      <c r="K99" s="863"/>
      <c r="L99" s="863"/>
      <c r="M99" s="863"/>
      <c r="N99" s="863"/>
      <c r="O99" s="863"/>
      <c r="P99" s="863"/>
      <c r="Q99" s="863"/>
      <c r="R99" s="863"/>
      <c r="S99" s="863"/>
      <c r="T99" s="863"/>
      <c r="U99" s="863"/>
      <c r="V99" s="863"/>
      <c r="W99" s="863"/>
      <c r="X99" s="863"/>
      <c r="Y99" s="864"/>
      <c r="Z99" s="864"/>
      <c r="AA99" s="863"/>
    </row>
    <row r="100" spans="1:27" ht="15.75" customHeight="1" x14ac:dyDescent="0.25">
      <c r="A100" s="244"/>
      <c r="B100" s="244"/>
      <c r="C100" s="863"/>
      <c r="D100" s="863"/>
      <c r="E100" s="863"/>
      <c r="F100" s="863"/>
      <c r="G100" s="863"/>
      <c r="H100" s="863"/>
      <c r="I100" s="863"/>
      <c r="J100" s="863"/>
      <c r="K100" s="863"/>
      <c r="L100" s="863"/>
      <c r="M100" s="863"/>
      <c r="N100" s="863"/>
      <c r="O100" s="863"/>
      <c r="P100" s="863"/>
      <c r="Q100" s="863"/>
      <c r="R100" s="863"/>
      <c r="S100" s="863"/>
      <c r="T100" s="863"/>
      <c r="U100" s="863"/>
      <c r="V100" s="863"/>
      <c r="W100" s="863"/>
      <c r="X100" s="863"/>
      <c r="Y100" s="864"/>
      <c r="Z100" s="864"/>
      <c r="AA100" s="863"/>
    </row>
    <row r="101" spans="1:27" ht="15.75" customHeight="1" x14ac:dyDescent="0.25">
      <c r="A101" s="244"/>
      <c r="B101" s="244"/>
      <c r="C101" s="863"/>
      <c r="D101" s="863"/>
      <c r="E101" s="863"/>
      <c r="F101" s="863"/>
      <c r="G101" s="863"/>
      <c r="H101" s="863"/>
      <c r="I101" s="863"/>
      <c r="J101" s="863"/>
      <c r="K101" s="863"/>
      <c r="L101" s="863"/>
      <c r="M101" s="863"/>
      <c r="N101" s="863"/>
      <c r="O101" s="863"/>
      <c r="P101" s="863"/>
      <c r="Q101" s="863"/>
      <c r="R101" s="863"/>
      <c r="S101" s="863"/>
      <c r="T101" s="863"/>
      <c r="U101" s="863"/>
      <c r="V101" s="863"/>
      <c r="W101" s="863"/>
      <c r="X101" s="863"/>
      <c r="Y101" s="864"/>
      <c r="Z101" s="864"/>
      <c r="AA101" s="863"/>
    </row>
    <row r="102" spans="1:27" ht="15.75" customHeight="1" x14ac:dyDescent="0.25">
      <c r="A102" s="244"/>
      <c r="B102" s="244"/>
      <c r="C102" s="863"/>
      <c r="D102" s="863"/>
      <c r="E102" s="863"/>
      <c r="F102" s="863"/>
      <c r="G102" s="863"/>
      <c r="H102" s="863"/>
      <c r="I102" s="863"/>
      <c r="J102" s="863"/>
      <c r="K102" s="863"/>
      <c r="L102" s="863"/>
      <c r="M102" s="863"/>
      <c r="N102" s="863"/>
      <c r="O102" s="863"/>
      <c r="P102" s="863"/>
      <c r="Q102" s="863"/>
      <c r="R102" s="863"/>
      <c r="S102" s="863"/>
      <c r="T102" s="863"/>
      <c r="U102" s="863"/>
      <c r="V102" s="863"/>
      <c r="W102" s="863"/>
      <c r="X102" s="863"/>
      <c r="Y102" s="864"/>
      <c r="Z102" s="864"/>
      <c r="AA102" s="863"/>
    </row>
    <row r="103" spans="1:27" ht="15.75" customHeight="1" x14ac:dyDescent="0.25">
      <c r="A103" s="244"/>
      <c r="B103" s="244"/>
      <c r="C103" s="863"/>
      <c r="D103" s="863"/>
      <c r="E103" s="863"/>
      <c r="F103" s="863"/>
      <c r="G103" s="863"/>
      <c r="H103" s="863"/>
      <c r="I103" s="863"/>
      <c r="J103" s="863"/>
      <c r="K103" s="863"/>
      <c r="L103" s="863"/>
      <c r="M103" s="863"/>
      <c r="N103" s="863"/>
      <c r="O103" s="863"/>
      <c r="P103" s="863"/>
      <c r="Q103" s="863"/>
      <c r="R103" s="863"/>
      <c r="S103" s="863"/>
      <c r="T103" s="863"/>
      <c r="U103" s="863"/>
      <c r="V103" s="863"/>
      <c r="W103" s="863"/>
      <c r="X103" s="863"/>
      <c r="Y103" s="864"/>
      <c r="Z103" s="864"/>
      <c r="AA103" s="863"/>
    </row>
    <row r="104" spans="1:27" ht="15.75" customHeight="1" x14ac:dyDescent="0.25">
      <c r="A104" s="244"/>
      <c r="B104" s="244"/>
      <c r="C104" s="863"/>
      <c r="D104" s="863"/>
      <c r="E104" s="863"/>
      <c r="F104" s="863"/>
      <c r="G104" s="863"/>
      <c r="H104" s="863"/>
      <c r="I104" s="863"/>
      <c r="J104" s="863"/>
      <c r="K104" s="863"/>
      <c r="L104" s="863"/>
      <c r="M104" s="863"/>
      <c r="N104" s="863"/>
      <c r="O104" s="863"/>
      <c r="P104" s="863"/>
      <c r="Q104" s="863"/>
      <c r="R104" s="863"/>
      <c r="S104" s="863"/>
      <c r="T104" s="863"/>
      <c r="U104" s="863"/>
      <c r="V104" s="863"/>
      <c r="W104" s="863"/>
      <c r="X104" s="863"/>
      <c r="Y104" s="864"/>
      <c r="Z104" s="864"/>
      <c r="AA104" s="863"/>
    </row>
    <row r="105" spans="1:27" ht="15.75" customHeight="1" x14ac:dyDescent="0.25">
      <c r="A105" s="244"/>
      <c r="B105" s="244"/>
      <c r="C105" s="863"/>
      <c r="D105" s="863"/>
      <c r="E105" s="863"/>
      <c r="F105" s="863"/>
      <c r="G105" s="863"/>
      <c r="H105" s="863"/>
      <c r="I105" s="863"/>
      <c r="J105" s="863"/>
      <c r="K105" s="863"/>
      <c r="L105" s="863"/>
      <c r="M105" s="863"/>
      <c r="N105" s="863"/>
      <c r="O105" s="863"/>
      <c r="P105" s="863"/>
      <c r="Q105" s="863"/>
      <c r="R105" s="863"/>
      <c r="S105" s="863"/>
      <c r="T105" s="863"/>
      <c r="U105" s="863"/>
      <c r="V105" s="863"/>
      <c r="W105" s="863"/>
      <c r="X105" s="863"/>
      <c r="Y105" s="864"/>
      <c r="Z105" s="864"/>
      <c r="AA105" s="863"/>
    </row>
    <row r="106" spans="1:27" ht="15.75" customHeight="1" x14ac:dyDescent="0.25">
      <c r="A106" s="244"/>
      <c r="B106" s="244"/>
      <c r="C106" s="863"/>
      <c r="D106" s="863"/>
      <c r="E106" s="863"/>
      <c r="F106" s="863"/>
      <c r="G106" s="863"/>
      <c r="H106" s="863"/>
      <c r="I106" s="863"/>
      <c r="J106" s="863"/>
      <c r="K106" s="863"/>
      <c r="L106" s="863"/>
      <c r="M106" s="863"/>
      <c r="N106" s="863"/>
      <c r="O106" s="863"/>
      <c r="P106" s="863"/>
      <c r="Q106" s="863"/>
      <c r="R106" s="863"/>
      <c r="S106" s="863"/>
      <c r="T106" s="863"/>
      <c r="U106" s="863"/>
      <c r="V106" s="863"/>
      <c r="W106" s="863"/>
      <c r="X106" s="863"/>
      <c r="Y106" s="864"/>
      <c r="Z106" s="864"/>
      <c r="AA106" s="863"/>
    </row>
    <row r="107" spans="1:27" ht="15.75" customHeight="1" x14ac:dyDescent="0.25">
      <c r="A107" s="244"/>
      <c r="B107" s="244"/>
      <c r="C107" s="863"/>
      <c r="D107" s="863"/>
      <c r="E107" s="863"/>
      <c r="F107" s="863"/>
      <c r="G107" s="863"/>
      <c r="H107" s="863"/>
      <c r="I107" s="863"/>
      <c r="J107" s="863"/>
      <c r="K107" s="863"/>
      <c r="L107" s="863"/>
      <c r="M107" s="863"/>
      <c r="N107" s="863"/>
      <c r="O107" s="863"/>
      <c r="P107" s="863"/>
      <c r="Q107" s="863"/>
      <c r="R107" s="863"/>
      <c r="S107" s="863"/>
      <c r="T107" s="863"/>
      <c r="U107" s="863"/>
      <c r="V107" s="863"/>
      <c r="W107" s="863"/>
      <c r="X107" s="863"/>
      <c r="Y107" s="864"/>
      <c r="Z107" s="864"/>
      <c r="AA107" s="863"/>
    </row>
    <row r="108" spans="1:27" ht="15.75" customHeight="1" x14ac:dyDescent="0.25">
      <c r="A108" s="244"/>
      <c r="B108" s="244"/>
      <c r="C108" s="863"/>
      <c r="D108" s="863"/>
      <c r="E108" s="863"/>
      <c r="F108" s="863"/>
      <c r="G108" s="863"/>
      <c r="H108" s="863"/>
      <c r="I108" s="863"/>
      <c r="J108" s="863"/>
      <c r="K108" s="863"/>
      <c r="L108" s="863"/>
      <c r="M108" s="863"/>
      <c r="N108" s="863"/>
      <c r="O108" s="863"/>
      <c r="P108" s="863"/>
      <c r="Q108" s="863"/>
      <c r="R108" s="863"/>
      <c r="S108" s="863"/>
      <c r="T108" s="863"/>
      <c r="U108" s="863"/>
      <c r="V108" s="863"/>
      <c r="W108" s="863"/>
      <c r="X108" s="863"/>
      <c r="Y108" s="864"/>
      <c r="Z108" s="864"/>
      <c r="AA108" s="863"/>
    </row>
    <row r="109" spans="1:27" ht="15.75" customHeight="1" x14ac:dyDescent="0.25">
      <c r="A109" s="244"/>
      <c r="B109" s="244"/>
      <c r="C109" s="863"/>
      <c r="D109" s="863"/>
      <c r="E109" s="863"/>
      <c r="F109" s="863"/>
      <c r="G109" s="863"/>
      <c r="H109" s="863"/>
      <c r="I109" s="863"/>
      <c r="J109" s="863"/>
      <c r="K109" s="863"/>
      <c r="L109" s="863"/>
      <c r="M109" s="863"/>
      <c r="N109" s="863"/>
      <c r="O109" s="863"/>
      <c r="P109" s="863"/>
      <c r="Q109" s="863"/>
      <c r="R109" s="863"/>
      <c r="S109" s="863"/>
      <c r="T109" s="863"/>
      <c r="U109" s="863"/>
      <c r="V109" s="863"/>
      <c r="W109" s="863"/>
      <c r="X109" s="863"/>
      <c r="Y109" s="864"/>
      <c r="Z109" s="864"/>
      <c r="AA109" s="863"/>
    </row>
    <row r="110" spans="1:27" ht="15.75" customHeight="1" x14ac:dyDescent="0.25">
      <c r="A110" s="244"/>
      <c r="B110" s="244"/>
      <c r="C110" s="863"/>
      <c r="D110" s="863"/>
      <c r="E110" s="863"/>
      <c r="F110" s="863"/>
      <c r="G110" s="863"/>
      <c r="H110" s="863"/>
      <c r="I110" s="863"/>
      <c r="J110" s="863"/>
      <c r="K110" s="863"/>
      <c r="L110" s="863"/>
      <c r="M110" s="863"/>
      <c r="N110" s="863"/>
      <c r="O110" s="863"/>
      <c r="P110" s="863"/>
      <c r="Q110" s="863"/>
      <c r="R110" s="863"/>
      <c r="S110" s="863"/>
      <c r="T110" s="863"/>
      <c r="U110" s="863"/>
      <c r="V110" s="863"/>
      <c r="W110" s="863"/>
      <c r="X110" s="863"/>
      <c r="Y110" s="864"/>
      <c r="Z110" s="864"/>
      <c r="AA110" s="863"/>
    </row>
    <row r="111" spans="1:27" ht="15.75" customHeight="1" x14ac:dyDescent="0.25">
      <c r="A111" s="244"/>
      <c r="B111" s="244"/>
      <c r="C111" s="863"/>
      <c r="D111" s="863"/>
      <c r="E111" s="863"/>
      <c r="F111" s="863"/>
      <c r="G111" s="863"/>
      <c r="H111" s="863"/>
      <c r="I111" s="863"/>
      <c r="J111" s="863"/>
      <c r="K111" s="863"/>
      <c r="L111" s="863"/>
      <c r="M111" s="863"/>
      <c r="N111" s="863"/>
      <c r="O111" s="863"/>
      <c r="P111" s="863"/>
      <c r="Q111" s="863"/>
      <c r="R111" s="863"/>
      <c r="S111" s="863"/>
      <c r="T111" s="863"/>
      <c r="U111" s="863"/>
      <c r="V111" s="863"/>
      <c r="W111" s="863"/>
      <c r="X111" s="863"/>
      <c r="Y111" s="864"/>
      <c r="Z111" s="864"/>
      <c r="AA111" s="863"/>
    </row>
    <row r="112" spans="1:27" ht="15.75" customHeight="1" x14ac:dyDescent="0.25">
      <c r="A112" s="244"/>
      <c r="B112" s="244"/>
      <c r="C112" s="863"/>
      <c r="D112" s="863"/>
      <c r="E112" s="863"/>
      <c r="F112" s="863"/>
      <c r="G112" s="863"/>
      <c r="H112" s="863"/>
      <c r="I112" s="863"/>
      <c r="J112" s="863"/>
      <c r="K112" s="863"/>
      <c r="L112" s="863"/>
      <c r="M112" s="863"/>
      <c r="N112" s="863"/>
      <c r="O112" s="863"/>
      <c r="P112" s="863"/>
      <c r="Q112" s="863"/>
      <c r="R112" s="863"/>
      <c r="S112" s="863"/>
      <c r="T112" s="863"/>
      <c r="U112" s="863"/>
      <c r="V112" s="863"/>
      <c r="W112" s="863"/>
      <c r="X112" s="863"/>
      <c r="Y112" s="864"/>
      <c r="Z112" s="864"/>
      <c r="AA112" s="863"/>
    </row>
    <row r="113" spans="1:27" ht="15.75" customHeight="1" x14ac:dyDescent="0.25">
      <c r="A113" s="244"/>
      <c r="B113" s="244"/>
      <c r="C113" s="863"/>
      <c r="D113" s="863"/>
      <c r="E113" s="863"/>
      <c r="F113" s="863"/>
      <c r="G113" s="863"/>
      <c r="H113" s="863"/>
      <c r="I113" s="863"/>
      <c r="J113" s="863"/>
      <c r="K113" s="863"/>
      <c r="L113" s="863"/>
      <c r="M113" s="863"/>
      <c r="N113" s="863"/>
      <c r="O113" s="863"/>
      <c r="P113" s="863"/>
      <c r="Q113" s="863"/>
      <c r="R113" s="863"/>
      <c r="S113" s="863"/>
      <c r="T113" s="863"/>
      <c r="U113" s="863"/>
      <c r="V113" s="863"/>
      <c r="W113" s="863"/>
      <c r="X113" s="863"/>
      <c r="Y113" s="864"/>
      <c r="Z113" s="864"/>
      <c r="AA113" s="863"/>
    </row>
    <row r="114" spans="1:27" ht="15.75" customHeight="1" x14ac:dyDescent="0.25">
      <c r="A114" s="244"/>
      <c r="B114" s="244"/>
      <c r="C114" s="863"/>
      <c r="D114" s="863"/>
      <c r="E114" s="863"/>
      <c r="F114" s="863"/>
      <c r="G114" s="863"/>
      <c r="H114" s="863"/>
      <c r="I114" s="863"/>
      <c r="J114" s="863"/>
      <c r="K114" s="863"/>
      <c r="L114" s="863"/>
      <c r="M114" s="863"/>
      <c r="N114" s="863"/>
      <c r="O114" s="863"/>
      <c r="P114" s="863"/>
      <c r="Q114" s="863"/>
      <c r="R114" s="863"/>
      <c r="S114" s="863"/>
      <c r="T114" s="863"/>
      <c r="U114" s="863"/>
      <c r="V114" s="863"/>
      <c r="W114" s="863"/>
      <c r="X114" s="863"/>
      <c r="Y114" s="864"/>
      <c r="Z114" s="864"/>
      <c r="AA114" s="863"/>
    </row>
    <row r="115" spans="1:27" ht="15.75" customHeight="1" x14ac:dyDescent="0.25">
      <c r="A115" s="244"/>
      <c r="B115" s="244"/>
      <c r="C115" s="863"/>
      <c r="D115" s="863"/>
      <c r="E115" s="863"/>
      <c r="F115" s="863"/>
      <c r="G115" s="863"/>
      <c r="H115" s="863"/>
      <c r="I115" s="863"/>
      <c r="J115" s="863"/>
      <c r="K115" s="863"/>
      <c r="L115" s="863"/>
      <c r="M115" s="863"/>
      <c r="N115" s="863"/>
      <c r="O115" s="863"/>
      <c r="P115" s="863"/>
      <c r="Q115" s="863"/>
      <c r="R115" s="863"/>
      <c r="S115" s="863"/>
      <c r="T115" s="863"/>
      <c r="U115" s="863"/>
      <c r="V115" s="863"/>
      <c r="W115" s="863"/>
      <c r="X115" s="863"/>
      <c r="Y115" s="864"/>
      <c r="Z115" s="864"/>
      <c r="AA115" s="863"/>
    </row>
    <row r="116" spans="1:27" ht="15.75" customHeight="1" x14ac:dyDescent="0.25">
      <c r="A116" s="244"/>
      <c r="B116" s="244"/>
      <c r="C116" s="863"/>
      <c r="D116" s="863"/>
      <c r="E116" s="863"/>
      <c r="F116" s="863"/>
      <c r="G116" s="863"/>
      <c r="H116" s="863"/>
      <c r="I116" s="863"/>
      <c r="J116" s="863"/>
      <c r="K116" s="863"/>
      <c r="L116" s="863"/>
      <c r="M116" s="863"/>
      <c r="N116" s="863"/>
      <c r="O116" s="863"/>
      <c r="P116" s="863"/>
      <c r="Q116" s="863"/>
      <c r="R116" s="863"/>
      <c r="S116" s="863"/>
      <c r="T116" s="863"/>
      <c r="U116" s="863"/>
      <c r="V116" s="863"/>
      <c r="W116" s="863"/>
      <c r="X116" s="863"/>
      <c r="Y116" s="864"/>
      <c r="Z116" s="864"/>
      <c r="AA116" s="863"/>
    </row>
    <row r="117" spans="1:27" ht="15.75" customHeight="1" x14ac:dyDescent="0.25">
      <c r="A117" s="244"/>
      <c r="B117" s="244"/>
      <c r="C117" s="863"/>
      <c r="D117" s="863"/>
      <c r="E117" s="863"/>
      <c r="F117" s="863"/>
      <c r="G117" s="863"/>
      <c r="H117" s="863"/>
      <c r="I117" s="863"/>
      <c r="J117" s="863"/>
      <c r="K117" s="863"/>
      <c r="L117" s="863"/>
      <c r="M117" s="863"/>
      <c r="N117" s="863"/>
      <c r="O117" s="863"/>
      <c r="P117" s="863"/>
      <c r="Q117" s="863"/>
      <c r="R117" s="863"/>
      <c r="S117" s="863"/>
      <c r="T117" s="863"/>
      <c r="U117" s="863"/>
      <c r="V117" s="863"/>
      <c r="W117" s="863"/>
      <c r="X117" s="863"/>
      <c r="Y117" s="864"/>
      <c r="Z117" s="864"/>
      <c r="AA117" s="863"/>
    </row>
    <row r="118" spans="1:27" ht="15.75" customHeight="1" x14ac:dyDescent="0.25">
      <c r="A118" s="244"/>
      <c r="B118" s="244"/>
      <c r="C118" s="863"/>
      <c r="D118" s="863"/>
      <c r="E118" s="863"/>
      <c r="F118" s="863"/>
      <c r="G118" s="863"/>
      <c r="H118" s="863"/>
      <c r="I118" s="863"/>
      <c r="J118" s="863"/>
      <c r="K118" s="863"/>
      <c r="L118" s="863"/>
      <c r="M118" s="863"/>
      <c r="N118" s="863"/>
      <c r="O118" s="863"/>
      <c r="P118" s="863"/>
      <c r="Q118" s="863"/>
      <c r="R118" s="863"/>
      <c r="S118" s="863"/>
      <c r="T118" s="863"/>
      <c r="U118" s="863"/>
      <c r="V118" s="863"/>
      <c r="W118" s="863"/>
      <c r="X118" s="863"/>
      <c r="Y118" s="864"/>
      <c r="Z118" s="864"/>
      <c r="AA118" s="863"/>
    </row>
    <row r="119" spans="1:27" ht="15.75" customHeight="1" x14ac:dyDescent="0.25">
      <c r="A119" s="244"/>
      <c r="B119" s="244"/>
      <c r="C119" s="863"/>
      <c r="D119" s="863"/>
      <c r="E119" s="863"/>
      <c r="F119" s="863"/>
      <c r="G119" s="863"/>
      <c r="H119" s="863"/>
      <c r="I119" s="863"/>
      <c r="J119" s="863"/>
      <c r="K119" s="863"/>
      <c r="L119" s="863"/>
      <c r="M119" s="863"/>
      <c r="N119" s="863"/>
      <c r="O119" s="863"/>
      <c r="P119" s="863"/>
      <c r="Q119" s="863"/>
      <c r="R119" s="863"/>
      <c r="S119" s="863"/>
      <c r="T119" s="863"/>
      <c r="U119" s="863"/>
      <c r="V119" s="863"/>
      <c r="W119" s="863"/>
      <c r="X119" s="863"/>
      <c r="Y119" s="864"/>
      <c r="Z119" s="864"/>
      <c r="AA119" s="863"/>
    </row>
    <row r="120" spans="1:27" ht="15.75" customHeight="1" x14ac:dyDescent="0.25">
      <c r="A120" s="244"/>
      <c r="B120" s="244"/>
      <c r="C120" s="863"/>
      <c r="D120" s="863"/>
      <c r="E120" s="863"/>
      <c r="F120" s="863"/>
      <c r="G120" s="863"/>
      <c r="H120" s="863"/>
      <c r="I120" s="863"/>
      <c r="J120" s="863"/>
      <c r="K120" s="863"/>
      <c r="L120" s="863"/>
      <c r="M120" s="863"/>
      <c r="N120" s="863"/>
      <c r="O120" s="863"/>
      <c r="P120" s="863"/>
      <c r="Q120" s="863"/>
      <c r="R120" s="863"/>
      <c r="S120" s="863"/>
      <c r="T120" s="863"/>
      <c r="U120" s="863"/>
      <c r="V120" s="863"/>
      <c r="W120" s="863"/>
      <c r="X120" s="863"/>
      <c r="Y120" s="864"/>
      <c r="Z120" s="864"/>
      <c r="AA120" s="863"/>
    </row>
    <row r="121" spans="1:27" ht="15.75" customHeight="1" x14ac:dyDescent="0.25">
      <c r="A121" s="244"/>
      <c r="B121" s="244"/>
      <c r="C121" s="863"/>
      <c r="D121" s="863"/>
      <c r="E121" s="863"/>
      <c r="F121" s="863"/>
      <c r="G121" s="863"/>
      <c r="H121" s="863"/>
      <c r="I121" s="863"/>
      <c r="J121" s="863"/>
      <c r="K121" s="863"/>
      <c r="L121" s="863"/>
      <c r="M121" s="863"/>
      <c r="N121" s="863"/>
      <c r="O121" s="863"/>
      <c r="P121" s="863"/>
      <c r="Q121" s="863"/>
      <c r="R121" s="863"/>
      <c r="S121" s="863"/>
      <c r="T121" s="863"/>
      <c r="U121" s="863"/>
      <c r="V121" s="863"/>
      <c r="W121" s="863"/>
      <c r="X121" s="863"/>
      <c r="Y121" s="864"/>
      <c r="Z121" s="864"/>
      <c r="AA121" s="863"/>
    </row>
    <row r="122" spans="1:27" ht="15.75" customHeight="1" x14ac:dyDescent="0.25">
      <c r="A122" s="244"/>
      <c r="B122" s="244"/>
      <c r="C122" s="863"/>
      <c r="D122" s="863"/>
      <c r="E122" s="863"/>
      <c r="F122" s="863"/>
      <c r="G122" s="863"/>
      <c r="H122" s="863"/>
      <c r="I122" s="863"/>
      <c r="J122" s="863"/>
      <c r="K122" s="863"/>
      <c r="L122" s="863"/>
      <c r="M122" s="863"/>
      <c r="N122" s="863"/>
      <c r="O122" s="863"/>
      <c r="P122" s="863"/>
      <c r="Q122" s="863"/>
      <c r="R122" s="863"/>
      <c r="S122" s="863"/>
      <c r="T122" s="863"/>
      <c r="U122" s="863"/>
      <c r="V122" s="863"/>
      <c r="W122" s="863"/>
      <c r="X122" s="863"/>
      <c r="Y122" s="864"/>
      <c r="Z122" s="864"/>
      <c r="AA122" s="863"/>
    </row>
    <row r="123" spans="1:27" ht="15.75" customHeight="1" x14ac:dyDescent="0.25">
      <c r="A123" s="244"/>
      <c r="B123" s="244"/>
      <c r="C123" s="863"/>
      <c r="D123" s="863"/>
      <c r="E123" s="863"/>
      <c r="F123" s="863"/>
      <c r="G123" s="863"/>
      <c r="H123" s="863"/>
      <c r="I123" s="863"/>
      <c r="J123" s="863"/>
      <c r="K123" s="863"/>
      <c r="L123" s="863"/>
      <c r="M123" s="863"/>
      <c r="N123" s="863"/>
      <c r="O123" s="863"/>
      <c r="P123" s="863"/>
      <c r="Q123" s="863"/>
      <c r="R123" s="863"/>
      <c r="S123" s="863"/>
      <c r="T123" s="863"/>
      <c r="U123" s="863"/>
      <c r="V123" s="863"/>
      <c r="W123" s="863"/>
      <c r="X123" s="863"/>
      <c r="Y123" s="864"/>
      <c r="Z123" s="864"/>
      <c r="AA123" s="863"/>
    </row>
    <row r="124" spans="1:27" ht="15.75" customHeight="1" x14ac:dyDescent="0.25">
      <c r="A124" s="244"/>
      <c r="B124" s="244"/>
      <c r="C124" s="863"/>
      <c r="D124" s="863"/>
      <c r="E124" s="863"/>
      <c r="F124" s="863"/>
      <c r="G124" s="863"/>
      <c r="H124" s="863"/>
      <c r="I124" s="863"/>
      <c r="J124" s="863"/>
      <c r="K124" s="863"/>
      <c r="L124" s="863"/>
      <c r="M124" s="863"/>
      <c r="N124" s="863"/>
      <c r="O124" s="863"/>
      <c r="P124" s="863"/>
      <c r="Q124" s="863"/>
      <c r="R124" s="863"/>
      <c r="S124" s="863"/>
      <c r="T124" s="863"/>
      <c r="U124" s="863"/>
      <c r="V124" s="863"/>
      <c r="W124" s="863"/>
      <c r="X124" s="863"/>
      <c r="Y124" s="864"/>
      <c r="Z124" s="864"/>
      <c r="AA124" s="863"/>
    </row>
    <row r="125" spans="1:27" ht="15.75" customHeight="1" x14ac:dyDescent="0.25">
      <c r="A125" s="244"/>
      <c r="B125" s="244"/>
      <c r="C125" s="863"/>
      <c r="D125" s="863"/>
      <c r="E125" s="863"/>
      <c r="F125" s="863"/>
      <c r="G125" s="863"/>
      <c r="H125" s="863"/>
      <c r="I125" s="863"/>
      <c r="J125" s="863"/>
      <c r="K125" s="863"/>
      <c r="L125" s="863"/>
      <c r="M125" s="863"/>
      <c r="N125" s="863"/>
      <c r="O125" s="863"/>
      <c r="P125" s="863"/>
      <c r="Q125" s="863"/>
      <c r="R125" s="863"/>
      <c r="S125" s="863"/>
      <c r="T125" s="863"/>
      <c r="U125" s="863"/>
      <c r="V125" s="863"/>
      <c r="W125" s="863"/>
      <c r="X125" s="863"/>
      <c r="Y125" s="864"/>
      <c r="Z125" s="864"/>
      <c r="AA125" s="863"/>
    </row>
    <row r="126" spans="1:27" ht="15.75" customHeight="1" x14ac:dyDescent="0.25">
      <c r="A126" s="244"/>
      <c r="B126" s="244"/>
      <c r="C126" s="863"/>
      <c r="D126" s="863"/>
      <c r="E126" s="863"/>
      <c r="F126" s="863"/>
      <c r="G126" s="863"/>
      <c r="H126" s="863"/>
      <c r="I126" s="863"/>
      <c r="J126" s="863"/>
      <c r="K126" s="863"/>
      <c r="L126" s="863"/>
      <c r="M126" s="863"/>
      <c r="N126" s="863"/>
      <c r="O126" s="863"/>
      <c r="P126" s="863"/>
      <c r="Q126" s="863"/>
      <c r="R126" s="863"/>
      <c r="S126" s="863"/>
      <c r="T126" s="863"/>
      <c r="U126" s="863"/>
      <c r="V126" s="863"/>
      <c r="W126" s="863"/>
      <c r="X126" s="863"/>
      <c r="Y126" s="864"/>
      <c r="Z126" s="864"/>
      <c r="AA126" s="863"/>
    </row>
    <row r="127" spans="1:27" ht="15.75" customHeight="1" x14ac:dyDescent="0.25">
      <c r="A127" s="244"/>
      <c r="B127" s="244"/>
      <c r="C127" s="863"/>
      <c r="D127" s="863"/>
      <c r="E127" s="863"/>
      <c r="F127" s="863"/>
      <c r="G127" s="863"/>
      <c r="H127" s="863"/>
      <c r="I127" s="863"/>
      <c r="J127" s="863"/>
      <c r="K127" s="863"/>
      <c r="L127" s="863"/>
      <c r="M127" s="863"/>
      <c r="N127" s="863"/>
      <c r="O127" s="863"/>
      <c r="P127" s="863"/>
      <c r="Q127" s="863"/>
      <c r="R127" s="863"/>
      <c r="S127" s="863"/>
      <c r="T127" s="863"/>
      <c r="U127" s="863"/>
      <c r="V127" s="863"/>
      <c r="W127" s="863"/>
      <c r="X127" s="863"/>
      <c r="Y127" s="864"/>
      <c r="Z127" s="864"/>
      <c r="AA127" s="863"/>
    </row>
    <row r="128" spans="1:27" ht="15.75" customHeight="1" x14ac:dyDescent="0.25">
      <c r="A128" s="244"/>
      <c r="B128" s="244"/>
      <c r="C128" s="863"/>
      <c r="D128" s="863"/>
      <c r="E128" s="863"/>
      <c r="F128" s="863"/>
      <c r="G128" s="863"/>
      <c r="H128" s="863"/>
      <c r="I128" s="863"/>
      <c r="J128" s="863"/>
      <c r="K128" s="863"/>
      <c r="L128" s="863"/>
      <c r="M128" s="863"/>
      <c r="N128" s="863"/>
      <c r="O128" s="863"/>
      <c r="P128" s="863"/>
      <c r="Q128" s="863"/>
      <c r="R128" s="863"/>
      <c r="S128" s="863"/>
      <c r="T128" s="863"/>
      <c r="U128" s="863"/>
      <c r="V128" s="863"/>
      <c r="W128" s="863"/>
      <c r="X128" s="863"/>
      <c r="Y128" s="864"/>
      <c r="Z128" s="864"/>
      <c r="AA128" s="863"/>
    </row>
    <row r="129" spans="1:27" ht="15.75" customHeight="1" x14ac:dyDescent="0.25">
      <c r="A129" s="244"/>
      <c r="B129" s="244"/>
      <c r="C129" s="863"/>
      <c r="D129" s="863"/>
      <c r="E129" s="863"/>
      <c r="F129" s="863"/>
      <c r="G129" s="863"/>
      <c r="H129" s="863"/>
      <c r="I129" s="863"/>
      <c r="J129" s="863"/>
      <c r="K129" s="863"/>
      <c r="L129" s="863"/>
      <c r="M129" s="863"/>
      <c r="N129" s="863"/>
      <c r="O129" s="863"/>
      <c r="P129" s="863"/>
      <c r="Q129" s="863"/>
      <c r="R129" s="863"/>
      <c r="S129" s="863"/>
      <c r="T129" s="863"/>
      <c r="U129" s="863"/>
      <c r="V129" s="863"/>
      <c r="W129" s="863"/>
      <c r="X129" s="863"/>
      <c r="Y129" s="864"/>
      <c r="Z129" s="864"/>
      <c r="AA129" s="863"/>
    </row>
    <row r="130" spans="1:27" ht="15.75" customHeight="1" x14ac:dyDescent="0.25">
      <c r="A130" s="244"/>
      <c r="B130" s="244"/>
      <c r="C130" s="863"/>
      <c r="D130" s="863"/>
      <c r="E130" s="863"/>
      <c r="F130" s="863"/>
      <c r="G130" s="863"/>
      <c r="H130" s="863"/>
      <c r="I130" s="863"/>
      <c r="J130" s="863"/>
      <c r="K130" s="863"/>
      <c r="L130" s="863"/>
      <c r="M130" s="863"/>
      <c r="N130" s="863"/>
      <c r="O130" s="863"/>
      <c r="P130" s="863"/>
      <c r="Q130" s="863"/>
      <c r="R130" s="863"/>
      <c r="S130" s="863"/>
      <c r="T130" s="863"/>
      <c r="U130" s="863"/>
      <c r="V130" s="863"/>
      <c r="W130" s="863"/>
      <c r="X130" s="863"/>
      <c r="Y130" s="864"/>
      <c r="Z130" s="864"/>
      <c r="AA130" s="863"/>
    </row>
    <row r="131" spans="1:27" ht="15.75" customHeight="1" x14ac:dyDescent="0.25">
      <c r="A131" s="244"/>
      <c r="B131" s="244"/>
      <c r="C131" s="863"/>
      <c r="D131" s="863"/>
      <c r="E131" s="863"/>
      <c r="F131" s="863"/>
      <c r="G131" s="863"/>
      <c r="H131" s="863"/>
      <c r="I131" s="863"/>
      <c r="J131" s="863"/>
      <c r="K131" s="863"/>
      <c r="L131" s="863"/>
      <c r="M131" s="863"/>
      <c r="N131" s="863"/>
      <c r="O131" s="863"/>
      <c r="P131" s="863"/>
      <c r="Q131" s="863"/>
      <c r="R131" s="863"/>
      <c r="S131" s="863"/>
      <c r="T131" s="863"/>
      <c r="U131" s="863"/>
      <c r="V131" s="863"/>
      <c r="W131" s="863"/>
      <c r="X131" s="863"/>
      <c r="Y131" s="864"/>
      <c r="Z131" s="864"/>
      <c r="AA131" s="863"/>
    </row>
    <row r="132" spans="1:27" ht="15.75" customHeight="1" x14ac:dyDescent="0.25">
      <c r="A132" s="244"/>
      <c r="B132" s="244"/>
      <c r="C132" s="863"/>
      <c r="D132" s="863"/>
      <c r="E132" s="863"/>
      <c r="F132" s="863"/>
      <c r="G132" s="863"/>
      <c r="H132" s="863"/>
      <c r="I132" s="863"/>
      <c r="J132" s="863"/>
      <c r="K132" s="863"/>
      <c r="L132" s="863"/>
      <c r="M132" s="863"/>
      <c r="N132" s="863"/>
      <c r="O132" s="863"/>
      <c r="P132" s="863"/>
      <c r="Q132" s="863"/>
      <c r="R132" s="863"/>
      <c r="S132" s="863"/>
      <c r="T132" s="863"/>
      <c r="U132" s="863"/>
      <c r="V132" s="863"/>
      <c r="W132" s="863"/>
      <c r="X132" s="863"/>
      <c r="Y132" s="864"/>
      <c r="Z132" s="864"/>
      <c r="AA132" s="863"/>
    </row>
    <row r="133" spans="1:27" ht="15.75" customHeight="1" x14ac:dyDescent="0.25">
      <c r="A133" s="244"/>
      <c r="B133" s="244"/>
      <c r="C133" s="863"/>
      <c r="D133" s="863"/>
      <c r="E133" s="863"/>
      <c r="F133" s="863"/>
      <c r="G133" s="863"/>
      <c r="H133" s="863"/>
      <c r="I133" s="863"/>
      <c r="J133" s="863"/>
      <c r="K133" s="863"/>
      <c r="L133" s="863"/>
      <c r="M133" s="863"/>
      <c r="N133" s="863"/>
      <c r="O133" s="863"/>
      <c r="P133" s="863"/>
      <c r="Q133" s="863"/>
      <c r="R133" s="863"/>
      <c r="S133" s="863"/>
      <c r="T133" s="863"/>
      <c r="U133" s="863"/>
      <c r="V133" s="863"/>
      <c r="W133" s="863"/>
      <c r="X133" s="863"/>
      <c r="Y133" s="864"/>
      <c r="Z133" s="864"/>
      <c r="AA133" s="863"/>
    </row>
    <row r="134" spans="1:27" ht="15.75" customHeight="1" x14ac:dyDescent="0.25">
      <c r="A134" s="244"/>
      <c r="B134" s="244"/>
      <c r="C134" s="863"/>
      <c r="D134" s="863"/>
      <c r="E134" s="863"/>
      <c r="F134" s="863"/>
      <c r="G134" s="863"/>
      <c r="H134" s="863"/>
      <c r="I134" s="863"/>
      <c r="J134" s="863"/>
      <c r="K134" s="863"/>
      <c r="L134" s="863"/>
      <c r="M134" s="863"/>
      <c r="N134" s="863"/>
      <c r="O134" s="863"/>
      <c r="P134" s="863"/>
      <c r="Q134" s="863"/>
      <c r="R134" s="863"/>
      <c r="S134" s="863"/>
      <c r="T134" s="863"/>
      <c r="U134" s="863"/>
      <c r="V134" s="863"/>
      <c r="W134" s="863"/>
      <c r="X134" s="863"/>
      <c r="Y134" s="864"/>
      <c r="Z134" s="864"/>
      <c r="AA134" s="863"/>
    </row>
    <row r="135" spans="1:27" ht="15.75" customHeight="1" x14ac:dyDescent="0.25">
      <c r="A135" s="244"/>
      <c r="B135" s="244"/>
      <c r="C135" s="863"/>
      <c r="D135" s="863"/>
      <c r="E135" s="863"/>
      <c r="F135" s="863"/>
      <c r="G135" s="863"/>
      <c r="H135" s="863"/>
      <c r="I135" s="863"/>
      <c r="J135" s="863"/>
      <c r="K135" s="863"/>
      <c r="L135" s="863"/>
      <c r="M135" s="863"/>
      <c r="N135" s="863"/>
      <c r="O135" s="863"/>
      <c r="P135" s="863"/>
      <c r="Q135" s="863"/>
      <c r="R135" s="863"/>
      <c r="S135" s="863"/>
      <c r="T135" s="863"/>
      <c r="U135" s="863"/>
      <c r="V135" s="863"/>
      <c r="W135" s="863"/>
      <c r="X135" s="863"/>
      <c r="Y135" s="864"/>
      <c r="Z135" s="864"/>
      <c r="AA135" s="863"/>
    </row>
    <row r="136" spans="1:27" ht="15.75" customHeight="1" x14ac:dyDescent="0.25">
      <c r="A136" s="244"/>
      <c r="B136" s="244"/>
      <c r="C136" s="863"/>
      <c r="D136" s="863"/>
      <c r="E136" s="863"/>
      <c r="F136" s="863"/>
      <c r="G136" s="863"/>
      <c r="H136" s="863"/>
      <c r="I136" s="863"/>
      <c r="J136" s="863"/>
      <c r="K136" s="863"/>
      <c r="L136" s="863"/>
      <c r="M136" s="863"/>
      <c r="N136" s="863"/>
      <c r="O136" s="863"/>
      <c r="P136" s="863"/>
      <c r="Q136" s="863"/>
      <c r="R136" s="863"/>
      <c r="S136" s="863"/>
      <c r="T136" s="863"/>
      <c r="U136" s="863"/>
      <c r="V136" s="863"/>
      <c r="W136" s="863"/>
      <c r="X136" s="863"/>
      <c r="Y136" s="864"/>
      <c r="Z136" s="864"/>
      <c r="AA136" s="863"/>
    </row>
    <row r="137" spans="1:27" ht="15.75" customHeight="1" x14ac:dyDescent="0.25">
      <c r="A137" s="244"/>
      <c r="B137" s="244"/>
      <c r="C137" s="863"/>
      <c r="D137" s="863"/>
      <c r="E137" s="863"/>
      <c r="F137" s="863"/>
      <c r="G137" s="863"/>
      <c r="H137" s="863"/>
      <c r="I137" s="863"/>
      <c r="J137" s="863"/>
      <c r="K137" s="863"/>
      <c r="L137" s="863"/>
      <c r="M137" s="863"/>
      <c r="N137" s="863"/>
      <c r="O137" s="863"/>
      <c r="P137" s="863"/>
      <c r="Q137" s="863"/>
      <c r="R137" s="863"/>
      <c r="S137" s="863"/>
      <c r="T137" s="863"/>
      <c r="U137" s="863"/>
      <c r="V137" s="863"/>
      <c r="W137" s="863"/>
      <c r="X137" s="863"/>
      <c r="Y137" s="864"/>
      <c r="Z137" s="864"/>
      <c r="AA137" s="863"/>
    </row>
    <row r="138" spans="1:27" ht="15.75" customHeight="1" x14ac:dyDescent="0.25">
      <c r="A138" s="244"/>
      <c r="B138" s="244"/>
      <c r="C138" s="863"/>
      <c r="D138" s="863"/>
      <c r="E138" s="863"/>
      <c r="F138" s="863"/>
      <c r="G138" s="863"/>
      <c r="H138" s="863"/>
      <c r="I138" s="863"/>
      <c r="J138" s="863"/>
      <c r="K138" s="863"/>
      <c r="L138" s="863"/>
      <c r="M138" s="863"/>
      <c r="N138" s="863"/>
      <c r="O138" s="863"/>
      <c r="P138" s="863"/>
      <c r="Q138" s="863"/>
      <c r="R138" s="863"/>
      <c r="S138" s="863"/>
      <c r="T138" s="863"/>
      <c r="U138" s="863"/>
      <c r="V138" s="863"/>
      <c r="W138" s="863"/>
      <c r="X138" s="863"/>
      <c r="Y138" s="864"/>
      <c r="Z138" s="864"/>
      <c r="AA138" s="863"/>
    </row>
    <row r="139" spans="1:27" ht="15.75" customHeight="1" x14ac:dyDescent="0.25">
      <c r="A139" s="244"/>
      <c r="B139" s="244"/>
      <c r="C139" s="863"/>
      <c r="D139" s="863"/>
      <c r="E139" s="863"/>
      <c r="F139" s="863"/>
      <c r="G139" s="863"/>
      <c r="H139" s="863"/>
      <c r="I139" s="863"/>
      <c r="J139" s="863"/>
      <c r="K139" s="863"/>
      <c r="L139" s="863"/>
      <c r="M139" s="863"/>
      <c r="N139" s="863"/>
      <c r="O139" s="863"/>
      <c r="P139" s="863"/>
      <c r="Q139" s="863"/>
      <c r="R139" s="863"/>
      <c r="S139" s="863"/>
      <c r="T139" s="863"/>
      <c r="U139" s="863"/>
      <c r="V139" s="863"/>
      <c r="W139" s="863"/>
      <c r="X139" s="863"/>
      <c r="Y139" s="864"/>
      <c r="Z139" s="864"/>
      <c r="AA139" s="863"/>
    </row>
    <row r="140" spans="1:27" ht="15.75" customHeight="1" x14ac:dyDescent="0.25">
      <c r="A140" s="244"/>
      <c r="B140" s="244"/>
      <c r="C140" s="863"/>
      <c r="D140" s="863"/>
      <c r="E140" s="863"/>
      <c r="F140" s="863"/>
      <c r="G140" s="863"/>
      <c r="H140" s="863"/>
      <c r="I140" s="863"/>
      <c r="J140" s="863"/>
      <c r="K140" s="863"/>
      <c r="L140" s="863"/>
      <c r="M140" s="863"/>
      <c r="N140" s="863"/>
      <c r="O140" s="863"/>
      <c r="P140" s="863"/>
      <c r="Q140" s="863"/>
      <c r="R140" s="863"/>
      <c r="S140" s="863"/>
      <c r="T140" s="863"/>
      <c r="U140" s="863"/>
      <c r="V140" s="863"/>
      <c r="W140" s="863"/>
      <c r="X140" s="863"/>
      <c r="Y140" s="864"/>
      <c r="Z140" s="864"/>
      <c r="AA140" s="863"/>
    </row>
    <row r="141" spans="1:27" ht="15.75" customHeight="1" x14ac:dyDescent="0.25">
      <c r="A141" s="244"/>
      <c r="B141" s="244"/>
      <c r="C141" s="863"/>
      <c r="D141" s="863"/>
      <c r="E141" s="863"/>
      <c r="F141" s="863"/>
      <c r="G141" s="863"/>
      <c r="H141" s="863"/>
      <c r="I141" s="863"/>
      <c r="J141" s="863"/>
      <c r="K141" s="863"/>
      <c r="L141" s="863"/>
      <c r="M141" s="863"/>
      <c r="N141" s="863"/>
      <c r="O141" s="863"/>
      <c r="P141" s="863"/>
      <c r="Q141" s="863"/>
      <c r="R141" s="863"/>
      <c r="S141" s="863"/>
      <c r="T141" s="863"/>
      <c r="U141" s="863"/>
      <c r="V141" s="863"/>
      <c r="W141" s="863"/>
      <c r="X141" s="863"/>
      <c r="Y141" s="864"/>
      <c r="Z141" s="864"/>
      <c r="AA141" s="863"/>
    </row>
    <row r="142" spans="1:27" ht="15.75" customHeight="1" x14ac:dyDescent="0.25">
      <c r="A142" s="244"/>
      <c r="B142" s="244"/>
      <c r="C142" s="863"/>
      <c r="D142" s="863"/>
      <c r="E142" s="863"/>
      <c r="F142" s="863"/>
      <c r="G142" s="863"/>
      <c r="H142" s="863"/>
      <c r="I142" s="863"/>
      <c r="J142" s="863"/>
      <c r="K142" s="863"/>
      <c r="L142" s="863"/>
      <c r="M142" s="863"/>
      <c r="N142" s="863"/>
      <c r="O142" s="863"/>
      <c r="P142" s="863"/>
      <c r="Q142" s="863"/>
      <c r="R142" s="863"/>
      <c r="S142" s="863"/>
      <c r="T142" s="863"/>
      <c r="U142" s="863"/>
      <c r="V142" s="863"/>
      <c r="W142" s="863"/>
      <c r="X142" s="863"/>
      <c r="Y142" s="864"/>
      <c r="Z142" s="864"/>
      <c r="AA142" s="863"/>
    </row>
    <row r="143" spans="1:27" ht="15.75" customHeight="1" x14ac:dyDescent="0.25">
      <c r="A143" s="244"/>
      <c r="B143" s="244"/>
      <c r="C143" s="863"/>
      <c r="D143" s="863"/>
      <c r="E143" s="863"/>
      <c r="F143" s="863"/>
      <c r="G143" s="863"/>
      <c r="H143" s="863"/>
      <c r="I143" s="863"/>
      <c r="J143" s="863"/>
      <c r="K143" s="863"/>
      <c r="L143" s="863"/>
      <c r="M143" s="863"/>
      <c r="N143" s="863"/>
      <c r="O143" s="863"/>
      <c r="P143" s="863"/>
      <c r="Q143" s="863"/>
      <c r="R143" s="863"/>
      <c r="S143" s="863"/>
      <c r="T143" s="863"/>
      <c r="U143" s="863"/>
      <c r="V143" s="863"/>
      <c r="W143" s="863"/>
      <c r="X143" s="863"/>
      <c r="Y143" s="864"/>
      <c r="Z143" s="864"/>
      <c r="AA143" s="863"/>
    </row>
    <row r="144" spans="1:27" ht="15.75" customHeight="1" x14ac:dyDescent="0.25">
      <c r="A144" s="244"/>
      <c r="B144" s="244"/>
      <c r="C144" s="863"/>
      <c r="D144" s="863"/>
      <c r="E144" s="863"/>
      <c r="F144" s="863"/>
      <c r="G144" s="863"/>
      <c r="H144" s="863"/>
      <c r="I144" s="863"/>
      <c r="J144" s="863"/>
      <c r="K144" s="863"/>
      <c r="L144" s="863"/>
      <c r="M144" s="863"/>
      <c r="N144" s="863"/>
      <c r="O144" s="863"/>
      <c r="P144" s="863"/>
      <c r="Q144" s="863"/>
      <c r="R144" s="863"/>
      <c r="S144" s="863"/>
      <c r="T144" s="863"/>
      <c r="U144" s="863"/>
      <c r="V144" s="863"/>
      <c r="W144" s="863"/>
      <c r="X144" s="863"/>
      <c r="Y144" s="864"/>
      <c r="Z144" s="864"/>
      <c r="AA144" s="863"/>
    </row>
    <row r="145" spans="1:27" ht="15.75" customHeight="1" x14ac:dyDescent="0.25">
      <c r="A145" s="244"/>
      <c r="B145" s="244"/>
      <c r="C145" s="863"/>
      <c r="D145" s="863"/>
      <c r="E145" s="863"/>
      <c r="F145" s="863"/>
      <c r="G145" s="863"/>
      <c r="H145" s="863"/>
      <c r="I145" s="863"/>
      <c r="J145" s="863"/>
      <c r="K145" s="863"/>
      <c r="L145" s="863"/>
      <c r="M145" s="863"/>
      <c r="N145" s="863"/>
      <c r="O145" s="863"/>
      <c r="P145" s="863"/>
      <c r="Q145" s="863"/>
      <c r="R145" s="863"/>
      <c r="S145" s="863"/>
      <c r="T145" s="863"/>
      <c r="U145" s="863"/>
      <c r="V145" s="863"/>
      <c r="W145" s="863"/>
      <c r="X145" s="863"/>
      <c r="Y145" s="864"/>
      <c r="Z145" s="864"/>
      <c r="AA145" s="863"/>
    </row>
    <row r="146" spans="1:27" ht="15.75" customHeight="1" x14ac:dyDescent="0.25">
      <c r="A146" s="244"/>
      <c r="B146" s="244"/>
      <c r="C146" s="863"/>
      <c r="D146" s="863"/>
      <c r="E146" s="863"/>
      <c r="F146" s="863"/>
      <c r="G146" s="863"/>
      <c r="H146" s="863"/>
      <c r="I146" s="863"/>
      <c r="J146" s="863"/>
      <c r="K146" s="863"/>
      <c r="L146" s="863"/>
      <c r="M146" s="863"/>
      <c r="N146" s="863"/>
      <c r="O146" s="863"/>
      <c r="P146" s="863"/>
      <c r="Q146" s="863"/>
      <c r="R146" s="863"/>
      <c r="S146" s="863"/>
      <c r="T146" s="863"/>
      <c r="U146" s="863"/>
      <c r="V146" s="863"/>
      <c r="W146" s="863"/>
      <c r="X146" s="863"/>
      <c r="Y146" s="864"/>
      <c r="Z146" s="864"/>
      <c r="AA146" s="863"/>
    </row>
    <row r="147" spans="1:27" ht="15.75" customHeight="1" x14ac:dyDescent="0.25">
      <c r="A147" s="244"/>
      <c r="B147" s="244"/>
      <c r="C147" s="863"/>
      <c r="D147" s="863"/>
      <c r="E147" s="863"/>
      <c r="F147" s="863"/>
      <c r="G147" s="863"/>
      <c r="H147" s="863"/>
      <c r="I147" s="863"/>
      <c r="J147" s="863"/>
      <c r="K147" s="863"/>
      <c r="L147" s="863"/>
      <c r="M147" s="863"/>
      <c r="N147" s="863"/>
      <c r="O147" s="863"/>
      <c r="P147" s="863"/>
      <c r="Q147" s="863"/>
      <c r="R147" s="863"/>
      <c r="S147" s="863"/>
      <c r="T147" s="863"/>
      <c r="U147" s="863"/>
      <c r="V147" s="863"/>
      <c r="W147" s="863"/>
      <c r="X147" s="863"/>
      <c r="Y147" s="864"/>
      <c r="Z147" s="864"/>
      <c r="AA147" s="863"/>
    </row>
    <row r="148" spans="1:27" ht="15.75" customHeight="1" x14ac:dyDescent="0.25">
      <c r="A148" s="244"/>
      <c r="B148" s="244"/>
      <c r="C148" s="863"/>
      <c r="D148" s="863"/>
      <c r="E148" s="863"/>
      <c r="F148" s="863"/>
      <c r="G148" s="863"/>
      <c r="H148" s="863"/>
      <c r="I148" s="863"/>
      <c r="J148" s="863"/>
      <c r="K148" s="863"/>
      <c r="L148" s="863"/>
      <c r="M148" s="863"/>
      <c r="N148" s="863"/>
      <c r="O148" s="863"/>
      <c r="P148" s="863"/>
      <c r="Q148" s="863"/>
      <c r="R148" s="863"/>
      <c r="S148" s="863"/>
      <c r="T148" s="863"/>
      <c r="U148" s="863"/>
      <c r="V148" s="863"/>
      <c r="W148" s="863"/>
      <c r="X148" s="863"/>
      <c r="Y148" s="864"/>
      <c r="Z148" s="864"/>
      <c r="AA148" s="863"/>
    </row>
    <row r="149" spans="1:27" ht="15.75" customHeight="1" x14ac:dyDescent="0.25">
      <c r="A149" s="244"/>
      <c r="B149" s="244"/>
      <c r="C149" s="863"/>
      <c r="D149" s="863"/>
      <c r="E149" s="863"/>
      <c r="F149" s="863"/>
      <c r="G149" s="863"/>
      <c r="H149" s="863"/>
      <c r="I149" s="863"/>
      <c r="J149" s="863"/>
      <c r="K149" s="863"/>
      <c r="L149" s="863"/>
      <c r="M149" s="863"/>
      <c r="N149" s="863"/>
      <c r="O149" s="863"/>
      <c r="P149" s="863"/>
      <c r="Q149" s="863"/>
      <c r="R149" s="863"/>
      <c r="S149" s="863"/>
      <c r="T149" s="863"/>
      <c r="U149" s="863"/>
      <c r="V149" s="863"/>
      <c r="W149" s="863"/>
      <c r="X149" s="863"/>
      <c r="Y149" s="864"/>
      <c r="Z149" s="864"/>
      <c r="AA149" s="863"/>
    </row>
    <row r="150" spans="1:27" ht="15.75" customHeight="1" x14ac:dyDescent="0.25">
      <c r="A150" s="244"/>
      <c r="B150" s="244"/>
      <c r="C150" s="863"/>
      <c r="D150" s="863"/>
      <c r="E150" s="863"/>
      <c r="F150" s="863"/>
      <c r="G150" s="863"/>
      <c r="H150" s="863"/>
      <c r="I150" s="863"/>
      <c r="J150" s="863"/>
      <c r="K150" s="863"/>
      <c r="L150" s="863"/>
      <c r="M150" s="863"/>
      <c r="N150" s="863"/>
      <c r="O150" s="863"/>
      <c r="P150" s="863"/>
      <c r="Q150" s="863"/>
      <c r="R150" s="863"/>
      <c r="S150" s="863"/>
      <c r="T150" s="863"/>
      <c r="U150" s="863"/>
      <c r="V150" s="863"/>
      <c r="W150" s="863"/>
      <c r="X150" s="863"/>
      <c r="Y150" s="864"/>
      <c r="Z150" s="864"/>
      <c r="AA150" s="863"/>
    </row>
    <row r="151" spans="1:27" ht="15.75" customHeight="1" x14ac:dyDescent="0.25">
      <c r="A151" s="244"/>
      <c r="B151" s="244"/>
      <c r="C151" s="863"/>
      <c r="D151" s="863"/>
      <c r="E151" s="863"/>
      <c r="F151" s="863"/>
      <c r="G151" s="863"/>
      <c r="H151" s="863"/>
      <c r="I151" s="863"/>
      <c r="J151" s="863"/>
      <c r="K151" s="863"/>
      <c r="L151" s="863"/>
      <c r="M151" s="863"/>
      <c r="N151" s="863"/>
      <c r="O151" s="863"/>
      <c r="P151" s="863"/>
      <c r="Q151" s="863"/>
      <c r="R151" s="863"/>
      <c r="S151" s="863"/>
      <c r="T151" s="863"/>
      <c r="U151" s="863"/>
      <c r="V151" s="863"/>
      <c r="W151" s="863"/>
      <c r="X151" s="863"/>
      <c r="Y151" s="864"/>
      <c r="Z151" s="864"/>
      <c r="AA151" s="863"/>
    </row>
    <row r="152" spans="1:27" ht="15.75" customHeight="1" x14ac:dyDescent="0.25">
      <c r="A152" s="244"/>
      <c r="B152" s="244"/>
      <c r="C152" s="863"/>
      <c r="D152" s="863"/>
      <c r="E152" s="863"/>
      <c r="F152" s="863"/>
      <c r="G152" s="863"/>
      <c r="H152" s="863"/>
      <c r="I152" s="863"/>
      <c r="J152" s="863"/>
      <c r="K152" s="863"/>
      <c r="L152" s="863"/>
      <c r="M152" s="863"/>
      <c r="N152" s="863"/>
      <c r="O152" s="863"/>
      <c r="P152" s="863"/>
      <c r="Q152" s="863"/>
      <c r="R152" s="863"/>
      <c r="S152" s="863"/>
      <c r="T152" s="863"/>
      <c r="U152" s="863"/>
      <c r="V152" s="863"/>
      <c r="W152" s="863"/>
      <c r="X152" s="863"/>
      <c r="Y152" s="864"/>
      <c r="Z152" s="864"/>
      <c r="AA152" s="863"/>
    </row>
    <row r="153" spans="1:27" ht="15.75" customHeight="1" x14ac:dyDescent="0.25">
      <c r="A153" s="244"/>
      <c r="B153" s="244"/>
      <c r="C153" s="863"/>
      <c r="D153" s="863"/>
      <c r="E153" s="863"/>
      <c r="F153" s="863"/>
      <c r="G153" s="863"/>
      <c r="H153" s="863"/>
      <c r="I153" s="863"/>
      <c r="J153" s="863"/>
      <c r="K153" s="863"/>
      <c r="L153" s="863"/>
      <c r="M153" s="863"/>
      <c r="N153" s="863"/>
      <c r="O153" s="863"/>
      <c r="P153" s="863"/>
      <c r="Q153" s="863"/>
      <c r="R153" s="863"/>
      <c r="S153" s="863"/>
      <c r="T153" s="863"/>
      <c r="U153" s="863"/>
      <c r="V153" s="863"/>
      <c r="W153" s="863"/>
      <c r="X153" s="863"/>
      <c r="Y153" s="864"/>
      <c r="Z153" s="864"/>
      <c r="AA153" s="863"/>
    </row>
    <row r="154" spans="1:27" ht="15.75" customHeight="1" x14ac:dyDescent="0.25">
      <c r="A154" s="244"/>
      <c r="B154" s="244"/>
      <c r="C154" s="863"/>
      <c r="D154" s="863"/>
      <c r="E154" s="863"/>
      <c r="F154" s="863"/>
      <c r="G154" s="863"/>
      <c r="H154" s="863"/>
      <c r="I154" s="863"/>
      <c r="J154" s="863"/>
      <c r="K154" s="863"/>
      <c r="L154" s="863"/>
      <c r="M154" s="863"/>
      <c r="N154" s="863"/>
      <c r="O154" s="863"/>
      <c r="P154" s="863"/>
      <c r="Q154" s="863"/>
      <c r="R154" s="863"/>
      <c r="S154" s="863"/>
      <c r="T154" s="863"/>
      <c r="U154" s="863"/>
      <c r="V154" s="863"/>
      <c r="W154" s="863"/>
      <c r="X154" s="863"/>
      <c r="Y154" s="864"/>
      <c r="Z154" s="864"/>
      <c r="AA154" s="863"/>
    </row>
    <row r="155" spans="1:27" ht="15.75" customHeight="1" x14ac:dyDescent="0.25">
      <c r="A155" s="244"/>
      <c r="B155" s="244"/>
      <c r="C155" s="863"/>
      <c r="D155" s="863"/>
      <c r="E155" s="863"/>
      <c r="F155" s="863"/>
      <c r="G155" s="863"/>
      <c r="H155" s="863"/>
      <c r="I155" s="863"/>
      <c r="J155" s="863"/>
      <c r="K155" s="863"/>
      <c r="L155" s="863"/>
      <c r="M155" s="863"/>
      <c r="N155" s="863"/>
      <c r="O155" s="863"/>
      <c r="P155" s="863"/>
      <c r="Q155" s="863"/>
      <c r="R155" s="863"/>
      <c r="S155" s="863"/>
      <c r="T155" s="863"/>
      <c r="U155" s="863"/>
      <c r="V155" s="863"/>
      <c r="W155" s="863"/>
      <c r="X155" s="863"/>
      <c r="Y155" s="864"/>
      <c r="Z155" s="864"/>
      <c r="AA155" s="863"/>
    </row>
    <row r="156" spans="1:27" ht="15.75" customHeight="1" x14ac:dyDescent="0.25">
      <c r="A156" s="244"/>
      <c r="B156" s="244"/>
      <c r="C156" s="863"/>
      <c r="D156" s="863"/>
      <c r="E156" s="863"/>
      <c r="F156" s="863"/>
      <c r="G156" s="863"/>
      <c r="H156" s="863"/>
      <c r="I156" s="863"/>
      <c r="J156" s="863"/>
      <c r="K156" s="863"/>
      <c r="L156" s="863"/>
      <c r="M156" s="863"/>
      <c r="N156" s="863"/>
      <c r="O156" s="863"/>
      <c r="P156" s="863"/>
      <c r="Q156" s="863"/>
      <c r="R156" s="863"/>
      <c r="S156" s="863"/>
      <c r="T156" s="863"/>
      <c r="U156" s="863"/>
      <c r="V156" s="863"/>
      <c r="W156" s="863"/>
      <c r="X156" s="863"/>
      <c r="Y156" s="864"/>
      <c r="Z156" s="864"/>
      <c r="AA156" s="863"/>
    </row>
    <row r="157" spans="1:27" ht="15.75" customHeight="1" x14ac:dyDescent="0.25">
      <c r="A157" s="244"/>
      <c r="B157" s="244"/>
      <c r="C157" s="863"/>
      <c r="D157" s="863"/>
      <c r="E157" s="863"/>
      <c r="F157" s="863"/>
      <c r="G157" s="863"/>
      <c r="H157" s="863"/>
      <c r="I157" s="863"/>
      <c r="J157" s="863"/>
      <c r="K157" s="863"/>
      <c r="L157" s="863"/>
      <c r="M157" s="863"/>
      <c r="N157" s="863"/>
      <c r="O157" s="863"/>
      <c r="P157" s="863"/>
      <c r="Q157" s="863"/>
      <c r="R157" s="863"/>
      <c r="S157" s="863"/>
      <c r="T157" s="863"/>
      <c r="U157" s="863"/>
      <c r="V157" s="863"/>
      <c r="W157" s="863"/>
      <c r="X157" s="863"/>
      <c r="Y157" s="864"/>
      <c r="Z157" s="864"/>
      <c r="AA157" s="863"/>
    </row>
    <row r="158" spans="1:27" ht="15.75" customHeight="1" x14ac:dyDescent="0.25">
      <c r="A158" s="244"/>
      <c r="B158" s="244"/>
      <c r="C158" s="863"/>
      <c r="D158" s="863"/>
      <c r="E158" s="863"/>
      <c r="F158" s="863"/>
      <c r="G158" s="863"/>
      <c r="H158" s="863"/>
      <c r="I158" s="863"/>
      <c r="J158" s="863"/>
      <c r="K158" s="863"/>
      <c r="L158" s="863"/>
      <c r="M158" s="863"/>
      <c r="N158" s="863"/>
      <c r="O158" s="863"/>
      <c r="P158" s="863"/>
      <c r="Q158" s="863"/>
      <c r="R158" s="863"/>
      <c r="S158" s="863"/>
      <c r="T158" s="863"/>
      <c r="U158" s="863"/>
      <c r="V158" s="863"/>
      <c r="W158" s="863"/>
      <c r="X158" s="863"/>
      <c r="Y158" s="864"/>
      <c r="Z158" s="864"/>
      <c r="AA158" s="863"/>
    </row>
    <row r="159" spans="1:27" ht="15.75" customHeight="1" x14ac:dyDescent="0.25">
      <c r="A159" s="244"/>
      <c r="B159" s="244"/>
      <c r="C159" s="863"/>
      <c r="D159" s="863"/>
      <c r="E159" s="863"/>
      <c r="F159" s="863"/>
      <c r="G159" s="863"/>
      <c r="H159" s="863"/>
      <c r="I159" s="863"/>
      <c r="J159" s="863"/>
      <c r="K159" s="863"/>
      <c r="L159" s="863"/>
      <c r="M159" s="863"/>
      <c r="N159" s="863"/>
      <c r="O159" s="863"/>
      <c r="P159" s="863"/>
      <c r="Q159" s="863"/>
      <c r="R159" s="863"/>
      <c r="S159" s="863"/>
      <c r="T159" s="863"/>
      <c r="U159" s="863"/>
      <c r="V159" s="863"/>
      <c r="W159" s="863"/>
      <c r="X159" s="863"/>
      <c r="Y159" s="864"/>
      <c r="Z159" s="864"/>
      <c r="AA159" s="863"/>
    </row>
    <row r="160" spans="1:27" ht="15.75" customHeight="1" x14ac:dyDescent="0.25">
      <c r="A160" s="244"/>
      <c r="B160" s="244"/>
      <c r="C160" s="863"/>
      <c r="D160" s="863"/>
      <c r="E160" s="863"/>
      <c r="F160" s="863"/>
      <c r="G160" s="863"/>
      <c r="H160" s="863"/>
      <c r="I160" s="863"/>
      <c r="J160" s="863"/>
      <c r="K160" s="863"/>
      <c r="L160" s="863"/>
      <c r="M160" s="863"/>
      <c r="N160" s="863"/>
      <c r="O160" s="863"/>
      <c r="P160" s="863"/>
      <c r="Q160" s="863"/>
      <c r="R160" s="863"/>
      <c r="S160" s="863"/>
      <c r="T160" s="863"/>
      <c r="U160" s="863"/>
      <c r="V160" s="863"/>
      <c r="W160" s="863"/>
      <c r="X160" s="863"/>
      <c r="Y160" s="864"/>
      <c r="Z160" s="864"/>
      <c r="AA160" s="863"/>
    </row>
    <row r="161" spans="1:27" ht="15.75" customHeight="1" x14ac:dyDescent="0.25">
      <c r="A161" s="244"/>
      <c r="B161" s="244"/>
      <c r="C161" s="863"/>
      <c r="D161" s="863"/>
      <c r="E161" s="863"/>
      <c r="F161" s="863"/>
      <c r="G161" s="863"/>
      <c r="H161" s="863"/>
      <c r="I161" s="863"/>
      <c r="J161" s="863"/>
      <c r="K161" s="863"/>
      <c r="L161" s="863"/>
      <c r="M161" s="863"/>
      <c r="N161" s="863"/>
      <c r="O161" s="863"/>
      <c r="P161" s="863"/>
      <c r="Q161" s="863"/>
      <c r="R161" s="863"/>
      <c r="S161" s="863"/>
      <c r="T161" s="863"/>
      <c r="U161" s="863"/>
      <c r="V161" s="863"/>
      <c r="W161" s="863"/>
      <c r="X161" s="863"/>
      <c r="Y161" s="864"/>
      <c r="Z161" s="864"/>
      <c r="AA161" s="863"/>
    </row>
    <row r="162" spans="1:27" ht="15.75" customHeight="1" x14ac:dyDescent="0.25">
      <c r="A162" s="244"/>
      <c r="B162" s="244"/>
      <c r="C162" s="863"/>
      <c r="D162" s="863"/>
      <c r="E162" s="863"/>
      <c r="F162" s="863"/>
      <c r="G162" s="863"/>
      <c r="H162" s="863"/>
      <c r="I162" s="863"/>
      <c r="J162" s="863"/>
      <c r="K162" s="863"/>
      <c r="L162" s="863"/>
      <c r="M162" s="863"/>
      <c r="N162" s="863"/>
      <c r="O162" s="863"/>
      <c r="P162" s="863"/>
      <c r="Q162" s="863"/>
      <c r="R162" s="863"/>
      <c r="S162" s="863"/>
      <c r="T162" s="863"/>
      <c r="U162" s="863"/>
      <c r="V162" s="863"/>
      <c r="W162" s="863"/>
      <c r="X162" s="863"/>
      <c r="Y162" s="864"/>
      <c r="Z162" s="864"/>
      <c r="AA162" s="863"/>
    </row>
    <row r="163" spans="1:27" ht="15.75" customHeight="1" x14ac:dyDescent="0.25">
      <c r="A163" s="244"/>
      <c r="B163" s="244"/>
      <c r="C163" s="863"/>
      <c r="D163" s="863"/>
      <c r="E163" s="863"/>
      <c r="F163" s="863"/>
      <c r="G163" s="863"/>
      <c r="H163" s="863"/>
      <c r="I163" s="863"/>
      <c r="J163" s="863"/>
      <c r="K163" s="863"/>
      <c r="L163" s="863"/>
      <c r="M163" s="863"/>
      <c r="N163" s="863"/>
      <c r="O163" s="863"/>
      <c r="P163" s="863"/>
      <c r="Q163" s="863"/>
      <c r="R163" s="863"/>
      <c r="S163" s="863"/>
      <c r="T163" s="863"/>
      <c r="U163" s="863"/>
      <c r="V163" s="863"/>
      <c r="W163" s="863"/>
      <c r="X163" s="863"/>
      <c r="Y163" s="864"/>
      <c r="Z163" s="864"/>
      <c r="AA163" s="863"/>
    </row>
    <row r="164" spans="1:27" ht="15.75" customHeight="1" x14ac:dyDescent="0.25">
      <c r="A164" s="244"/>
      <c r="B164" s="244"/>
      <c r="C164" s="863"/>
      <c r="D164" s="863"/>
      <c r="E164" s="863"/>
      <c r="F164" s="863"/>
      <c r="G164" s="863"/>
      <c r="H164" s="863"/>
      <c r="I164" s="863"/>
      <c r="J164" s="863"/>
      <c r="K164" s="863"/>
      <c r="L164" s="863"/>
      <c r="M164" s="863"/>
      <c r="N164" s="863"/>
      <c r="O164" s="863"/>
      <c r="P164" s="863"/>
      <c r="Q164" s="863"/>
      <c r="R164" s="863"/>
      <c r="S164" s="863"/>
      <c r="T164" s="863"/>
      <c r="U164" s="863"/>
      <c r="V164" s="863"/>
      <c r="W164" s="863"/>
      <c r="X164" s="863"/>
      <c r="Y164" s="864"/>
      <c r="Z164" s="864"/>
      <c r="AA164" s="863"/>
    </row>
    <row r="165" spans="1:27" ht="15.75" customHeight="1" x14ac:dyDescent="0.25">
      <c r="A165" s="244"/>
      <c r="B165" s="244"/>
      <c r="C165" s="863"/>
      <c r="D165" s="863"/>
      <c r="E165" s="863"/>
      <c r="F165" s="863"/>
      <c r="G165" s="863"/>
      <c r="H165" s="863"/>
      <c r="I165" s="863"/>
      <c r="J165" s="863"/>
      <c r="K165" s="863"/>
      <c r="L165" s="863"/>
      <c r="M165" s="863"/>
      <c r="N165" s="863"/>
      <c r="O165" s="863"/>
      <c r="P165" s="863"/>
      <c r="Q165" s="863"/>
      <c r="R165" s="863"/>
      <c r="S165" s="863"/>
      <c r="T165" s="863"/>
      <c r="U165" s="863"/>
      <c r="V165" s="863"/>
      <c r="W165" s="863"/>
      <c r="X165" s="863"/>
      <c r="Y165" s="864"/>
      <c r="Z165" s="864"/>
      <c r="AA165" s="863"/>
    </row>
    <row r="166" spans="1:27" ht="15.75" customHeight="1" x14ac:dyDescent="0.25">
      <c r="A166" s="244"/>
      <c r="B166" s="244"/>
      <c r="C166" s="863"/>
      <c r="D166" s="863"/>
      <c r="E166" s="863"/>
      <c r="F166" s="863"/>
      <c r="G166" s="863"/>
      <c r="H166" s="863"/>
      <c r="I166" s="863"/>
      <c r="J166" s="863"/>
      <c r="K166" s="863"/>
      <c r="L166" s="863"/>
      <c r="M166" s="863"/>
      <c r="N166" s="863"/>
      <c r="O166" s="863"/>
      <c r="P166" s="863"/>
      <c r="Q166" s="863"/>
      <c r="R166" s="863"/>
      <c r="S166" s="863"/>
      <c r="T166" s="863"/>
      <c r="U166" s="863"/>
      <c r="V166" s="863"/>
      <c r="W166" s="863"/>
      <c r="X166" s="863"/>
      <c r="Y166" s="864"/>
      <c r="Z166" s="864"/>
      <c r="AA166" s="863"/>
    </row>
    <row r="167" spans="1:27" ht="15.75" customHeight="1" x14ac:dyDescent="0.25">
      <c r="A167" s="244"/>
      <c r="B167" s="244"/>
      <c r="C167" s="863"/>
      <c r="D167" s="863"/>
      <c r="E167" s="863"/>
      <c r="F167" s="863"/>
      <c r="G167" s="863"/>
      <c r="H167" s="863"/>
      <c r="I167" s="863"/>
      <c r="J167" s="863"/>
      <c r="K167" s="863"/>
      <c r="L167" s="863"/>
      <c r="M167" s="863"/>
      <c r="N167" s="863"/>
      <c r="O167" s="863"/>
      <c r="P167" s="863"/>
      <c r="Q167" s="863"/>
      <c r="R167" s="863"/>
      <c r="S167" s="863"/>
      <c r="T167" s="863"/>
      <c r="U167" s="863"/>
      <c r="V167" s="863"/>
      <c r="W167" s="863"/>
      <c r="X167" s="863"/>
      <c r="Y167" s="864"/>
      <c r="Z167" s="864"/>
      <c r="AA167" s="863"/>
    </row>
    <row r="168" spans="1:27" ht="15.75" customHeight="1" x14ac:dyDescent="0.25">
      <c r="A168" s="244"/>
      <c r="B168" s="244"/>
      <c r="C168" s="863"/>
      <c r="D168" s="863"/>
      <c r="E168" s="863"/>
      <c r="F168" s="863"/>
      <c r="G168" s="863"/>
      <c r="H168" s="863"/>
      <c r="I168" s="863"/>
      <c r="J168" s="863"/>
      <c r="K168" s="863"/>
      <c r="L168" s="863"/>
      <c r="M168" s="863"/>
      <c r="N168" s="863"/>
      <c r="O168" s="863"/>
      <c r="P168" s="863"/>
      <c r="Q168" s="863"/>
      <c r="R168" s="863"/>
      <c r="S168" s="863"/>
      <c r="T168" s="863"/>
      <c r="U168" s="863"/>
      <c r="V168" s="863"/>
      <c r="W168" s="863"/>
      <c r="X168" s="863"/>
      <c r="Y168" s="864"/>
      <c r="Z168" s="864"/>
      <c r="AA168" s="863"/>
    </row>
    <row r="169" spans="1:27" ht="15.75" customHeight="1" x14ac:dyDescent="0.25">
      <c r="A169" s="244"/>
      <c r="B169" s="244"/>
      <c r="C169" s="863"/>
      <c r="D169" s="863"/>
      <c r="E169" s="863"/>
      <c r="F169" s="863"/>
      <c r="G169" s="863"/>
      <c r="H169" s="863"/>
      <c r="I169" s="863"/>
      <c r="J169" s="863"/>
      <c r="K169" s="863"/>
      <c r="L169" s="863"/>
      <c r="M169" s="863"/>
      <c r="N169" s="863"/>
      <c r="O169" s="863"/>
      <c r="P169" s="863"/>
      <c r="Q169" s="863"/>
      <c r="R169" s="863"/>
      <c r="S169" s="863"/>
      <c r="T169" s="863"/>
      <c r="U169" s="863"/>
      <c r="V169" s="863"/>
      <c r="W169" s="863"/>
      <c r="X169" s="863"/>
      <c r="Y169" s="864"/>
      <c r="Z169" s="864"/>
      <c r="AA169" s="863"/>
    </row>
    <row r="170" spans="1:27" ht="15.75" customHeight="1" x14ac:dyDescent="0.25">
      <c r="A170" s="244"/>
      <c r="B170" s="24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4"/>
      <c r="Z170" s="864"/>
      <c r="AA170" s="863"/>
    </row>
    <row r="171" spans="1:27" ht="15.75" customHeight="1" x14ac:dyDescent="0.25">
      <c r="A171" s="244"/>
      <c r="B171" s="244"/>
      <c r="C171" s="863"/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4"/>
      <c r="Z171" s="864"/>
      <c r="AA171" s="863"/>
    </row>
    <row r="172" spans="1:27" ht="15.75" customHeight="1" x14ac:dyDescent="0.25">
      <c r="A172" s="244"/>
      <c r="B172" s="244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4"/>
      <c r="Z172" s="864"/>
      <c r="AA172" s="863"/>
    </row>
    <row r="173" spans="1:27" ht="15.75" customHeight="1" x14ac:dyDescent="0.25">
      <c r="A173" s="244"/>
      <c r="B173" s="244"/>
      <c r="C173" s="863"/>
      <c r="D173" s="863"/>
      <c r="E173" s="863"/>
      <c r="F173" s="863"/>
      <c r="G173" s="863"/>
      <c r="H173" s="863"/>
      <c r="I173" s="863"/>
      <c r="J173" s="863"/>
      <c r="K173" s="863"/>
      <c r="L173" s="863"/>
      <c r="M173" s="863"/>
      <c r="N173" s="863"/>
      <c r="O173" s="863"/>
      <c r="P173" s="863"/>
      <c r="Q173" s="863"/>
      <c r="R173" s="863"/>
      <c r="S173" s="863"/>
      <c r="T173" s="863"/>
      <c r="U173" s="863"/>
      <c r="V173" s="863"/>
      <c r="W173" s="863"/>
      <c r="X173" s="863"/>
      <c r="Y173" s="864"/>
      <c r="Z173" s="864"/>
      <c r="AA173" s="863"/>
    </row>
    <row r="174" spans="1:27" ht="15.75" customHeight="1" x14ac:dyDescent="0.25">
      <c r="A174" s="244"/>
      <c r="B174" s="244"/>
      <c r="C174" s="863"/>
      <c r="D174" s="863"/>
      <c r="E174" s="863"/>
      <c r="F174" s="863"/>
      <c r="G174" s="863"/>
      <c r="H174" s="863"/>
      <c r="I174" s="863"/>
      <c r="J174" s="863"/>
      <c r="K174" s="863"/>
      <c r="L174" s="863"/>
      <c r="M174" s="863"/>
      <c r="N174" s="863"/>
      <c r="O174" s="863"/>
      <c r="P174" s="863"/>
      <c r="Q174" s="863"/>
      <c r="R174" s="863"/>
      <c r="S174" s="863"/>
      <c r="T174" s="863"/>
      <c r="U174" s="863"/>
      <c r="V174" s="863"/>
      <c r="W174" s="863"/>
      <c r="X174" s="863"/>
      <c r="Y174" s="864"/>
      <c r="Z174" s="864"/>
      <c r="AA174" s="863"/>
    </row>
    <row r="175" spans="1:27" ht="15.75" customHeight="1" x14ac:dyDescent="0.25">
      <c r="A175" s="244"/>
      <c r="B175" s="244"/>
      <c r="C175" s="863"/>
      <c r="D175" s="863"/>
      <c r="E175" s="863"/>
      <c r="F175" s="863"/>
      <c r="G175" s="863"/>
      <c r="H175" s="863"/>
      <c r="I175" s="863"/>
      <c r="J175" s="863"/>
      <c r="K175" s="863"/>
      <c r="L175" s="863"/>
      <c r="M175" s="863"/>
      <c r="N175" s="863"/>
      <c r="O175" s="863"/>
      <c r="P175" s="863"/>
      <c r="Q175" s="863"/>
      <c r="R175" s="863"/>
      <c r="S175" s="863"/>
      <c r="T175" s="863"/>
      <c r="U175" s="863"/>
      <c r="V175" s="863"/>
      <c r="W175" s="863"/>
      <c r="X175" s="863"/>
      <c r="Y175" s="864"/>
      <c r="Z175" s="864"/>
      <c r="AA175" s="863"/>
    </row>
    <row r="176" spans="1:27" ht="15.75" customHeight="1" x14ac:dyDescent="0.25">
      <c r="A176" s="244"/>
      <c r="B176" s="244"/>
      <c r="C176" s="863"/>
      <c r="D176" s="863"/>
      <c r="E176" s="863"/>
      <c r="F176" s="863"/>
      <c r="G176" s="863"/>
      <c r="H176" s="863"/>
      <c r="I176" s="863"/>
      <c r="J176" s="863"/>
      <c r="K176" s="863"/>
      <c r="L176" s="863"/>
      <c r="M176" s="863"/>
      <c r="N176" s="863"/>
      <c r="O176" s="863"/>
      <c r="P176" s="863"/>
      <c r="Q176" s="863"/>
      <c r="R176" s="863"/>
      <c r="S176" s="863"/>
      <c r="T176" s="863"/>
      <c r="U176" s="863"/>
      <c r="V176" s="863"/>
      <c r="W176" s="863"/>
      <c r="X176" s="863"/>
      <c r="Y176" s="864"/>
      <c r="Z176" s="864"/>
      <c r="AA176" s="863"/>
    </row>
    <row r="177" spans="1:27" ht="15.75" customHeight="1" x14ac:dyDescent="0.25">
      <c r="A177" s="244"/>
      <c r="B177" s="244"/>
      <c r="C177" s="863"/>
      <c r="D177" s="863"/>
      <c r="E177" s="863"/>
      <c r="F177" s="863"/>
      <c r="G177" s="863"/>
      <c r="H177" s="863"/>
      <c r="I177" s="863"/>
      <c r="J177" s="863"/>
      <c r="K177" s="863"/>
      <c r="L177" s="863"/>
      <c r="M177" s="863"/>
      <c r="N177" s="863"/>
      <c r="O177" s="863"/>
      <c r="P177" s="863"/>
      <c r="Q177" s="863"/>
      <c r="R177" s="863"/>
      <c r="S177" s="863"/>
      <c r="T177" s="863"/>
      <c r="U177" s="863"/>
      <c r="V177" s="863"/>
      <c r="W177" s="863"/>
      <c r="X177" s="863"/>
      <c r="Y177" s="864"/>
      <c r="Z177" s="864"/>
      <c r="AA177" s="863"/>
    </row>
    <row r="178" spans="1:27" ht="15.75" customHeight="1" x14ac:dyDescent="0.25">
      <c r="A178" s="244"/>
      <c r="B178" s="244"/>
      <c r="C178" s="863"/>
      <c r="D178" s="863"/>
      <c r="E178" s="863"/>
      <c r="F178" s="863"/>
      <c r="G178" s="863"/>
      <c r="H178" s="863"/>
      <c r="I178" s="863"/>
      <c r="J178" s="863"/>
      <c r="K178" s="863"/>
      <c r="L178" s="863"/>
      <c r="M178" s="863"/>
      <c r="N178" s="863"/>
      <c r="O178" s="863"/>
      <c r="P178" s="863"/>
      <c r="Q178" s="863"/>
      <c r="R178" s="863"/>
      <c r="S178" s="863"/>
      <c r="T178" s="863"/>
      <c r="U178" s="863"/>
      <c r="V178" s="863"/>
      <c r="W178" s="863"/>
      <c r="X178" s="863"/>
      <c r="Y178" s="864"/>
      <c r="Z178" s="864"/>
      <c r="AA178" s="863"/>
    </row>
    <row r="179" spans="1:27" ht="15.75" customHeight="1" x14ac:dyDescent="0.25">
      <c r="A179" s="244"/>
      <c r="B179" s="244"/>
      <c r="C179" s="863"/>
      <c r="D179" s="863"/>
      <c r="E179" s="863"/>
      <c r="F179" s="863"/>
      <c r="G179" s="863"/>
      <c r="H179" s="863"/>
      <c r="I179" s="863"/>
      <c r="J179" s="863"/>
      <c r="K179" s="863"/>
      <c r="L179" s="863"/>
      <c r="M179" s="863"/>
      <c r="N179" s="863"/>
      <c r="O179" s="863"/>
      <c r="P179" s="863"/>
      <c r="Q179" s="863"/>
      <c r="R179" s="863"/>
      <c r="S179" s="863"/>
      <c r="T179" s="863"/>
      <c r="U179" s="863"/>
      <c r="V179" s="863"/>
      <c r="W179" s="863"/>
      <c r="X179" s="863"/>
      <c r="Y179" s="864"/>
      <c r="Z179" s="864"/>
      <c r="AA179" s="863"/>
    </row>
    <row r="180" spans="1:27" ht="15.75" customHeight="1" x14ac:dyDescent="0.25">
      <c r="A180" s="244"/>
      <c r="B180" s="244"/>
      <c r="C180" s="863"/>
      <c r="D180" s="863"/>
      <c r="E180" s="863"/>
      <c r="F180" s="863"/>
      <c r="G180" s="863"/>
      <c r="H180" s="863"/>
      <c r="I180" s="863"/>
      <c r="J180" s="863"/>
      <c r="K180" s="863"/>
      <c r="L180" s="863"/>
      <c r="M180" s="863"/>
      <c r="N180" s="863"/>
      <c r="O180" s="863"/>
      <c r="P180" s="863"/>
      <c r="Q180" s="863"/>
      <c r="R180" s="863"/>
      <c r="S180" s="863"/>
      <c r="T180" s="863"/>
      <c r="U180" s="863"/>
      <c r="V180" s="863"/>
      <c r="W180" s="863"/>
      <c r="X180" s="863"/>
      <c r="Y180" s="864"/>
      <c r="Z180" s="864"/>
      <c r="AA180" s="863"/>
    </row>
    <row r="181" spans="1:27" ht="15.75" customHeight="1" x14ac:dyDescent="0.25">
      <c r="A181" s="244"/>
      <c r="B181" s="244"/>
      <c r="C181" s="863"/>
      <c r="D181" s="863"/>
      <c r="E181" s="863"/>
      <c r="F181" s="863"/>
      <c r="G181" s="863"/>
      <c r="H181" s="863"/>
      <c r="I181" s="863"/>
      <c r="J181" s="863"/>
      <c r="K181" s="863"/>
      <c r="L181" s="863"/>
      <c r="M181" s="863"/>
      <c r="N181" s="863"/>
      <c r="O181" s="863"/>
      <c r="P181" s="863"/>
      <c r="Q181" s="863"/>
      <c r="R181" s="863"/>
      <c r="S181" s="863"/>
      <c r="T181" s="863"/>
      <c r="U181" s="863"/>
      <c r="V181" s="863"/>
      <c r="W181" s="863"/>
      <c r="X181" s="863"/>
      <c r="Y181" s="864"/>
      <c r="Z181" s="864"/>
      <c r="AA181" s="863"/>
    </row>
    <row r="182" spans="1:27" ht="15.75" customHeight="1" x14ac:dyDescent="0.25">
      <c r="A182" s="244"/>
      <c r="B182" s="244"/>
      <c r="C182" s="863"/>
      <c r="D182" s="863"/>
      <c r="E182" s="863"/>
      <c r="F182" s="863"/>
      <c r="G182" s="863"/>
      <c r="H182" s="863"/>
      <c r="I182" s="863"/>
      <c r="J182" s="863"/>
      <c r="K182" s="863"/>
      <c r="L182" s="863"/>
      <c r="M182" s="863"/>
      <c r="N182" s="863"/>
      <c r="O182" s="863"/>
      <c r="P182" s="863"/>
      <c r="Q182" s="863"/>
      <c r="R182" s="863"/>
      <c r="S182" s="863"/>
      <c r="T182" s="863"/>
      <c r="U182" s="863"/>
      <c r="V182" s="863"/>
      <c r="W182" s="863"/>
      <c r="X182" s="863"/>
      <c r="Y182" s="864"/>
      <c r="Z182" s="864"/>
      <c r="AA182" s="863"/>
    </row>
    <row r="183" spans="1:27" ht="15.75" customHeight="1" x14ac:dyDescent="0.25">
      <c r="A183" s="244"/>
      <c r="B183" s="244"/>
      <c r="C183" s="863"/>
      <c r="D183" s="863"/>
      <c r="E183" s="863"/>
      <c r="F183" s="863"/>
      <c r="G183" s="863"/>
      <c r="H183" s="863"/>
      <c r="I183" s="863"/>
      <c r="J183" s="863"/>
      <c r="K183" s="863"/>
      <c r="L183" s="863"/>
      <c r="M183" s="863"/>
      <c r="N183" s="863"/>
      <c r="O183" s="863"/>
      <c r="P183" s="863"/>
      <c r="Q183" s="863"/>
      <c r="R183" s="863"/>
      <c r="S183" s="863"/>
      <c r="T183" s="863"/>
      <c r="U183" s="863"/>
      <c r="V183" s="863"/>
      <c r="W183" s="863"/>
      <c r="X183" s="863"/>
      <c r="Y183" s="864"/>
      <c r="Z183" s="864"/>
      <c r="AA183" s="863"/>
    </row>
    <row r="184" spans="1:27" ht="15.75" customHeight="1" x14ac:dyDescent="0.25">
      <c r="A184" s="244"/>
      <c r="B184" s="244"/>
      <c r="C184" s="863"/>
      <c r="D184" s="863"/>
      <c r="E184" s="863"/>
      <c r="F184" s="863"/>
      <c r="G184" s="863"/>
      <c r="H184" s="863"/>
      <c r="I184" s="863"/>
      <c r="J184" s="863"/>
      <c r="K184" s="863"/>
      <c r="L184" s="863"/>
      <c r="M184" s="863"/>
      <c r="N184" s="863"/>
      <c r="O184" s="863"/>
      <c r="P184" s="863"/>
      <c r="Q184" s="863"/>
      <c r="R184" s="863"/>
      <c r="S184" s="863"/>
      <c r="T184" s="863"/>
      <c r="U184" s="863"/>
      <c r="V184" s="863"/>
      <c r="W184" s="863"/>
      <c r="X184" s="863"/>
      <c r="Y184" s="864"/>
      <c r="Z184" s="864"/>
      <c r="AA184" s="863"/>
    </row>
    <row r="185" spans="1:27" ht="15.75" customHeight="1" x14ac:dyDescent="0.25">
      <c r="A185" s="244"/>
      <c r="B185" s="244"/>
      <c r="C185" s="863"/>
      <c r="D185" s="863"/>
      <c r="E185" s="863"/>
      <c r="F185" s="863"/>
      <c r="G185" s="863"/>
      <c r="H185" s="863"/>
      <c r="I185" s="863"/>
      <c r="J185" s="863"/>
      <c r="K185" s="863"/>
      <c r="L185" s="863"/>
      <c r="M185" s="863"/>
      <c r="N185" s="863"/>
      <c r="O185" s="863"/>
      <c r="P185" s="863"/>
      <c r="Q185" s="863"/>
      <c r="R185" s="863"/>
      <c r="S185" s="863"/>
      <c r="T185" s="863"/>
      <c r="U185" s="863"/>
      <c r="V185" s="863"/>
      <c r="W185" s="863"/>
      <c r="X185" s="863"/>
      <c r="Y185" s="864"/>
      <c r="Z185" s="864"/>
      <c r="AA185" s="863"/>
    </row>
    <row r="186" spans="1:27" ht="15.75" customHeight="1" x14ac:dyDescent="0.25">
      <c r="A186" s="244"/>
      <c r="B186" s="244"/>
      <c r="C186" s="863"/>
      <c r="D186" s="863"/>
      <c r="E186" s="863"/>
      <c r="F186" s="863"/>
      <c r="G186" s="863"/>
      <c r="H186" s="863"/>
      <c r="I186" s="863"/>
      <c r="J186" s="863"/>
      <c r="K186" s="863"/>
      <c r="L186" s="863"/>
      <c r="M186" s="863"/>
      <c r="N186" s="863"/>
      <c r="O186" s="863"/>
      <c r="P186" s="863"/>
      <c r="Q186" s="863"/>
      <c r="R186" s="863"/>
      <c r="S186" s="863"/>
      <c r="T186" s="863"/>
      <c r="U186" s="863"/>
      <c r="V186" s="863"/>
      <c r="W186" s="863"/>
      <c r="X186" s="863"/>
      <c r="Y186" s="864"/>
      <c r="Z186" s="864"/>
      <c r="AA186" s="863"/>
    </row>
    <row r="187" spans="1:27" ht="15.75" customHeight="1" x14ac:dyDescent="0.25">
      <c r="A187" s="244"/>
      <c r="B187" s="244"/>
      <c r="C187" s="863"/>
      <c r="D187" s="863"/>
      <c r="E187" s="863"/>
      <c r="F187" s="863"/>
      <c r="G187" s="863"/>
      <c r="H187" s="863"/>
      <c r="I187" s="863"/>
      <c r="J187" s="863"/>
      <c r="K187" s="863"/>
      <c r="L187" s="863"/>
      <c r="M187" s="863"/>
      <c r="N187" s="863"/>
      <c r="O187" s="863"/>
      <c r="P187" s="863"/>
      <c r="Q187" s="863"/>
      <c r="R187" s="863"/>
      <c r="S187" s="863"/>
      <c r="T187" s="863"/>
      <c r="U187" s="863"/>
      <c r="V187" s="863"/>
      <c r="W187" s="863"/>
      <c r="X187" s="863"/>
      <c r="Y187" s="864"/>
      <c r="Z187" s="864"/>
      <c r="AA187" s="863"/>
    </row>
    <row r="188" spans="1:27" ht="15.75" customHeight="1" x14ac:dyDescent="0.25">
      <c r="A188" s="244"/>
      <c r="B188" s="244"/>
      <c r="C188" s="863"/>
      <c r="D188" s="863"/>
      <c r="E188" s="863"/>
      <c r="F188" s="863"/>
      <c r="G188" s="863"/>
      <c r="H188" s="863"/>
      <c r="I188" s="863"/>
      <c r="J188" s="863"/>
      <c r="K188" s="863"/>
      <c r="L188" s="863"/>
      <c r="M188" s="863"/>
      <c r="N188" s="863"/>
      <c r="O188" s="863"/>
      <c r="P188" s="863"/>
      <c r="Q188" s="863"/>
      <c r="R188" s="863"/>
      <c r="S188" s="863"/>
      <c r="T188" s="863"/>
      <c r="U188" s="863"/>
      <c r="V188" s="863"/>
      <c r="W188" s="863"/>
      <c r="X188" s="863"/>
      <c r="Y188" s="864"/>
      <c r="Z188" s="864"/>
      <c r="AA188" s="863"/>
    </row>
    <row r="189" spans="1:27" ht="15.75" customHeight="1" x14ac:dyDescent="0.25">
      <c r="A189" s="244"/>
      <c r="B189" s="244"/>
      <c r="C189" s="863"/>
      <c r="D189" s="863"/>
      <c r="E189" s="863"/>
      <c r="F189" s="863"/>
      <c r="G189" s="863"/>
      <c r="H189" s="863"/>
      <c r="I189" s="863"/>
      <c r="J189" s="863"/>
      <c r="K189" s="863"/>
      <c r="L189" s="863"/>
      <c r="M189" s="863"/>
      <c r="N189" s="863"/>
      <c r="O189" s="863"/>
      <c r="P189" s="863"/>
      <c r="Q189" s="863"/>
      <c r="R189" s="863"/>
      <c r="S189" s="863"/>
      <c r="T189" s="863"/>
      <c r="U189" s="863"/>
      <c r="V189" s="863"/>
      <c r="W189" s="863"/>
      <c r="X189" s="863"/>
      <c r="Y189" s="864"/>
      <c r="Z189" s="864"/>
      <c r="AA189" s="863"/>
    </row>
    <row r="190" spans="1:27" ht="15.75" customHeight="1" x14ac:dyDescent="0.25">
      <c r="A190" s="244"/>
      <c r="B190" s="244"/>
      <c r="C190" s="863"/>
      <c r="D190" s="863"/>
      <c r="E190" s="863"/>
      <c r="F190" s="863"/>
      <c r="G190" s="863"/>
      <c r="H190" s="863"/>
      <c r="I190" s="863"/>
      <c r="J190" s="863"/>
      <c r="K190" s="863"/>
      <c r="L190" s="863"/>
      <c r="M190" s="863"/>
      <c r="N190" s="863"/>
      <c r="O190" s="863"/>
      <c r="P190" s="863"/>
      <c r="Q190" s="863"/>
      <c r="R190" s="863"/>
      <c r="S190" s="863"/>
      <c r="T190" s="863"/>
      <c r="U190" s="863"/>
      <c r="V190" s="863"/>
      <c r="W190" s="863"/>
      <c r="X190" s="863"/>
      <c r="Y190" s="864"/>
      <c r="Z190" s="864"/>
      <c r="AA190" s="863"/>
    </row>
    <row r="191" spans="1:27" ht="15.75" customHeight="1" x14ac:dyDescent="0.25">
      <c r="A191" s="244"/>
      <c r="B191" s="244"/>
      <c r="C191" s="863"/>
      <c r="D191" s="863"/>
      <c r="E191" s="863"/>
      <c r="F191" s="863"/>
      <c r="G191" s="863"/>
      <c r="H191" s="863"/>
      <c r="I191" s="863"/>
      <c r="J191" s="863"/>
      <c r="K191" s="863"/>
      <c r="L191" s="863"/>
      <c r="M191" s="863"/>
      <c r="N191" s="863"/>
      <c r="O191" s="863"/>
      <c r="P191" s="863"/>
      <c r="Q191" s="863"/>
      <c r="R191" s="863"/>
      <c r="S191" s="863"/>
      <c r="T191" s="863"/>
      <c r="U191" s="863"/>
      <c r="V191" s="863"/>
      <c r="W191" s="863"/>
      <c r="X191" s="863"/>
      <c r="Y191" s="864"/>
      <c r="Z191" s="864"/>
      <c r="AA191" s="863"/>
    </row>
    <row r="192" spans="1:27" ht="15.75" customHeight="1" x14ac:dyDescent="0.25">
      <c r="A192" s="244"/>
      <c r="B192" s="244"/>
      <c r="C192" s="863"/>
      <c r="D192" s="863"/>
      <c r="E192" s="863"/>
      <c r="F192" s="863"/>
      <c r="G192" s="863"/>
      <c r="H192" s="863"/>
      <c r="I192" s="863"/>
      <c r="J192" s="863"/>
      <c r="K192" s="863"/>
      <c r="L192" s="863"/>
      <c r="M192" s="863"/>
      <c r="N192" s="863"/>
      <c r="O192" s="863"/>
      <c r="P192" s="863"/>
      <c r="Q192" s="863"/>
      <c r="R192" s="863"/>
      <c r="S192" s="863"/>
      <c r="T192" s="863"/>
      <c r="U192" s="863"/>
      <c r="V192" s="863"/>
      <c r="W192" s="863"/>
      <c r="X192" s="863"/>
      <c r="Y192" s="864"/>
      <c r="Z192" s="864"/>
      <c r="AA192" s="863"/>
    </row>
    <row r="193" spans="1:27" ht="15.75" customHeight="1" x14ac:dyDescent="0.25">
      <c r="A193" s="244"/>
      <c r="B193" s="244"/>
      <c r="C193" s="863"/>
      <c r="D193" s="863"/>
      <c r="E193" s="863"/>
      <c r="F193" s="863"/>
      <c r="G193" s="863"/>
      <c r="H193" s="863"/>
      <c r="I193" s="863"/>
      <c r="J193" s="863"/>
      <c r="K193" s="863"/>
      <c r="L193" s="863"/>
      <c r="M193" s="863"/>
      <c r="N193" s="863"/>
      <c r="O193" s="863"/>
      <c r="P193" s="863"/>
      <c r="Q193" s="863"/>
      <c r="R193" s="863"/>
      <c r="S193" s="863"/>
      <c r="T193" s="863"/>
      <c r="U193" s="863"/>
      <c r="V193" s="863"/>
      <c r="W193" s="863"/>
      <c r="X193" s="863"/>
      <c r="Y193" s="864"/>
      <c r="Z193" s="864"/>
      <c r="AA193" s="863"/>
    </row>
    <row r="194" spans="1:27" ht="15.75" customHeight="1" x14ac:dyDescent="0.25">
      <c r="A194" s="244"/>
      <c r="B194" s="244"/>
      <c r="C194" s="863"/>
      <c r="D194" s="863"/>
      <c r="E194" s="863"/>
      <c r="F194" s="863"/>
      <c r="G194" s="863"/>
      <c r="H194" s="863"/>
      <c r="I194" s="863"/>
      <c r="J194" s="863"/>
      <c r="K194" s="863"/>
      <c r="L194" s="863"/>
      <c r="M194" s="863"/>
      <c r="N194" s="863"/>
      <c r="O194" s="863"/>
      <c r="P194" s="863"/>
      <c r="Q194" s="863"/>
      <c r="R194" s="863"/>
      <c r="S194" s="863"/>
      <c r="T194" s="863"/>
      <c r="U194" s="863"/>
      <c r="V194" s="863"/>
      <c r="W194" s="863"/>
      <c r="X194" s="863"/>
      <c r="Y194" s="864"/>
      <c r="Z194" s="864"/>
      <c r="AA194" s="863"/>
    </row>
    <row r="195" spans="1:27" ht="15.75" customHeight="1" x14ac:dyDescent="0.25">
      <c r="A195" s="244"/>
      <c r="B195" s="244"/>
      <c r="C195" s="863"/>
      <c r="D195" s="863"/>
      <c r="E195" s="863"/>
      <c r="F195" s="863"/>
      <c r="G195" s="863"/>
      <c r="H195" s="863"/>
      <c r="I195" s="863"/>
      <c r="J195" s="863"/>
      <c r="K195" s="863"/>
      <c r="L195" s="863"/>
      <c r="M195" s="863"/>
      <c r="N195" s="863"/>
      <c r="O195" s="863"/>
      <c r="P195" s="863"/>
      <c r="Q195" s="863"/>
      <c r="R195" s="863"/>
      <c r="S195" s="863"/>
      <c r="T195" s="863"/>
      <c r="U195" s="863"/>
      <c r="V195" s="863"/>
      <c r="W195" s="863"/>
      <c r="X195" s="863"/>
      <c r="Y195" s="864"/>
      <c r="Z195" s="864"/>
      <c r="AA195" s="863"/>
    </row>
    <row r="196" spans="1:27" ht="15.75" customHeight="1" x14ac:dyDescent="0.25">
      <c r="A196" s="244"/>
      <c r="B196" s="244"/>
      <c r="C196" s="863"/>
      <c r="D196" s="863"/>
      <c r="E196" s="863"/>
      <c r="F196" s="863"/>
      <c r="G196" s="863"/>
      <c r="H196" s="863"/>
      <c r="I196" s="863"/>
      <c r="J196" s="863"/>
      <c r="K196" s="863"/>
      <c r="L196" s="863"/>
      <c r="M196" s="863"/>
      <c r="N196" s="863"/>
      <c r="O196" s="863"/>
      <c r="P196" s="863"/>
      <c r="Q196" s="863"/>
      <c r="R196" s="863"/>
      <c r="S196" s="863"/>
      <c r="T196" s="863"/>
      <c r="U196" s="863"/>
      <c r="V196" s="863"/>
      <c r="W196" s="863"/>
      <c r="X196" s="863"/>
      <c r="Y196" s="864"/>
      <c r="Z196" s="864"/>
      <c r="AA196" s="863"/>
    </row>
    <row r="197" spans="1:27" ht="15.75" customHeight="1" x14ac:dyDescent="0.25">
      <c r="A197" s="244"/>
      <c r="B197" s="244"/>
      <c r="C197" s="863"/>
      <c r="D197" s="863"/>
      <c r="E197" s="863"/>
      <c r="F197" s="863"/>
      <c r="G197" s="863"/>
      <c r="H197" s="863"/>
      <c r="I197" s="863"/>
      <c r="J197" s="863"/>
      <c r="K197" s="863"/>
      <c r="L197" s="863"/>
      <c r="M197" s="863"/>
      <c r="N197" s="863"/>
      <c r="O197" s="863"/>
      <c r="P197" s="863"/>
      <c r="Q197" s="863"/>
      <c r="R197" s="863"/>
      <c r="S197" s="863"/>
      <c r="T197" s="863"/>
      <c r="U197" s="863"/>
      <c r="V197" s="863"/>
      <c r="W197" s="863"/>
      <c r="X197" s="863"/>
      <c r="Y197" s="864"/>
      <c r="Z197" s="864"/>
      <c r="AA197" s="863"/>
    </row>
    <row r="198" spans="1:27" ht="15.75" customHeight="1" x14ac:dyDescent="0.25">
      <c r="A198" s="244"/>
      <c r="B198" s="244"/>
      <c r="C198" s="863"/>
      <c r="D198" s="863"/>
      <c r="E198" s="863"/>
      <c r="F198" s="863"/>
      <c r="G198" s="863"/>
      <c r="H198" s="863"/>
      <c r="I198" s="863"/>
      <c r="J198" s="863"/>
      <c r="K198" s="863"/>
      <c r="L198" s="863"/>
      <c r="M198" s="863"/>
      <c r="N198" s="863"/>
      <c r="O198" s="863"/>
      <c r="P198" s="863"/>
      <c r="Q198" s="863"/>
      <c r="R198" s="863"/>
      <c r="S198" s="863"/>
      <c r="T198" s="863"/>
      <c r="U198" s="863"/>
      <c r="V198" s="863"/>
      <c r="W198" s="863"/>
      <c r="X198" s="863"/>
      <c r="Y198" s="864"/>
      <c r="Z198" s="864"/>
      <c r="AA198" s="863"/>
    </row>
    <row r="199" spans="1:27" ht="15.75" customHeight="1" x14ac:dyDescent="0.25">
      <c r="A199" s="244"/>
      <c r="B199" s="244"/>
      <c r="C199" s="863"/>
      <c r="D199" s="863"/>
      <c r="E199" s="863"/>
      <c r="F199" s="863"/>
      <c r="G199" s="863"/>
      <c r="H199" s="863"/>
      <c r="I199" s="863"/>
      <c r="J199" s="863"/>
      <c r="K199" s="863"/>
      <c r="L199" s="863"/>
      <c r="M199" s="863"/>
      <c r="N199" s="863"/>
      <c r="O199" s="863"/>
      <c r="P199" s="863"/>
      <c r="Q199" s="863"/>
      <c r="R199" s="863"/>
      <c r="S199" s="863"/>
      <c r="T199" s="863"/>
      <c r="U199" s="863"/>
      <c r="V199" s="863"/>
      <c r="W199" s="863"/>
      <c r="X199" s="863"/>
      <c r="Y199" s="864"/>
      <c r="Z199" s="864"/>
      <c r="AA199" s="863"/>
    </row>
    <row r="200" spans="1:27" ht="15.75" customHeight="1" x14ac:dyDescent="0.25">
      <c r="A200" s="244"/>
      <c r="B200" s="244"/>
      <c r="C200" s="863"/>
      <c r="D200" s="863"/>
      <c r="E200" s="863"/>
      <c r="F200" s="863"/>
      <c r="G200" s="863"/>
      <c r="H200" s="863"/>
      <c r="I200" s="863"/>
      <c r="J200" s="863"/>
      <c r="K200" s="863"/>
      <c r="L200" s="863"/>
      <c r="M200" s="863"/>
      <c r="N200" s="863"/>
      <c r="O200" s="863"/>
      <c r="P200" s="863"/>
      <c r="Q200" s="863"/>
      <c r="R200" s="863"/>
      <c r="S200" s="863"/>
      <c r="T200" s="863"/>
      <c r="U200" s="863"/>
      <c r="V200" s="863"/>
      <c r="W200" s="863"/>
      <c r="X200" s="863"/>
      <c r="Y200" s="864"/>
      <c r="Z200" s="864"/>
      <c r="AA200" s="863"/>
    </row>
    <row r="201" spans="1:27" ht="15.75" customHeight="1" x14ac:dyDescent="0.25">
      <c r="A201" s="244"/>
      <c r="B201" s="244"/>
      <c r="C201" s="863"/>
      <c r="D201" s="863"/>
      <c r="E201" s="863"/>
      <c r="F201" s="863"/>
      <c r="G201" s="863"/>
      <c r="H201" s="863"/>
      <c r="I201" s="863"/>
      <c r="J201" s="863"/>
      <c r="K201" s="863"/>
      <c r="L201" s="863"/>
      <c r="M201" s="863"/>
      <c r="N201" s="863"/>
      <c r="O201" s="863"/>
      <c r="P201" s="863"/>
      <c r="Q201" s="863"/>
      <c r="R201" s="863"/>
      <c r="S201" s="863"/>
      <c r="T201" s="863"/>
      <c r="U201" s="863"/>
      <c r="V201" s="863"/>
      <c r="W201" s="863"/>
      <c r="X201" s="863"/>
      <c r="Y201" s="864"/>
      <c r="Z201" s="864"/>
      <c r="AA201" s="863"/>
    </row>
    <row r="202" spans="1:27" ht="15.75" customHeight="1" x14ac:dyDescent="0.25">
      <c r="A202" s="244"/>
      <c r="B202" s="244"/>
      <c r="C202" s="863"/>
      <c r="D202" s="863"/>
      <c r="E202" s="863"/>
      <c r="F202" s="863"/>
      <c r="G202" s="863"/>
      <c r="H202" s="863"/>
      <c r="I202" s="863"/>
      <c r="J202" s="863"/>
      <c r="K202" s="863"/>
      <c r="L202" s="863"/>
      <c r="M202" s="863"/>
      <c r="N202" s="863"/>
      <c r="O202" s="863"/>
      <c r="P202" s="863"/>
      <c r="Q202" s="863"/>
      <c r="R202" s="863"/>
      <c r="S202" s="863"/>
      <c r="T202" s="863"/>
      <c r="U202" s="863"/>
      <c r="V202" s="863"/>
      <c r="W202" s="863"/>
      <c r="X202" s="863"/>
      <c r="Y202" s="864"/>
      <c r="Z202" s="864"/>
      <c r="AA202" s="863"/>
    </row>
    <row r="203" spans="1:27" ht="15.75" customHeight="1" x14ac:dyDescent="0.25">
      <c r="A203" s="244"/>
      <c r="B203" s="244"/>
      <c r="C203" s="863"/>
      <c r="D203" s="863"/>
      <c r="E203" s="863"/>
      <c r="F203" s="863"/>
      <c r="G203" s="863"/>
      <c r="H203" s="863"/>
      <c r="I203" s="863"/>
      <c r="J203" s="863"/>
      <c r="K203" s="863"/>
      <c r="L203" s="863"/>
      <c r="M203" s="863"/>
      <c r="N203" s="863"/>
      <c r="O203" s="863"/>
      <c r="P203" s="863"/>
      <c r="Q203" s="863"/>
      <c r="R203" s="863"/>
      <c r="S203" s="863"/>
      <c r="T203" s="863"/>
      <c r="U203" s="863"/>
      <c r="V203" s="863"/>
      <c r="W203" s="863"/>
      <c r="X203" s="863"/>
      <c r="Y203" s="864"/>
      <c r="Z203" s="864"/>
      <c r="AA203" s="863"/>
    </row>
    <row r="204" spans="1:27" ht="15.75" customHeight="1" x14ac:dyDescent="0.25">
      <c r="A204" s="244"/>
      <c r="B204" s="244"/>
      <c r="C204" s="863"/>
      <c r="D204" s="863"/>
      <c r="E204" s="863"/>
      <c r="F204" s="863"/>
      <c r="G204" s="863"/>
      <c r="H204" s="863"/>
      <c r="I204" s="863"/>
      <c r="J204" s="863"/>
      <c r="K204" s="863"/>
      <c r="L204" s="863"/>
      <c r="M204" s="863"/>
      <c r="N204" s="863"/>
      <c r="O204" s="863"/>
      <c r="P204" s="863"/>
      <c r="Q204" s="863"/>
      <c r="R204" s="863"/>
      <c r="S204" s="863"/>
      <c r="T204" s="863"/>
      <c r="U204" s="863"/>
      <c r="V204" s="863"/>
      <c r="W204" s="863"/>
      <c r="X204" s="863"/>
      <c r="Y204" s="864"/>
      <c r="Z204" s="864"/>
      <c r="AA204" s="863"/>
    </row>
    <row r="205" spans="1:27" ht="15.75" customHeight="1" x14ac:dyDescent="0.25">
      <c r="A205" s="244"/>
      <c r="B205" s="244"/>
      <c r="C205" s="863"/>
      <c r="D205" s="863"/>
      <c r="E205" s="863"/>
      <c r="F205" s="863"/>
      <c r="G205" s="863"/>
      <c r="H205" s="863"/>
      <c r="I205" s="863"/>
      <c r="J205" s="863"/>
      <c r="K205" s="863"/>
      <c r="L205" s="863"/>
      <c r="M205" s="863"/>
      <c r="N205" s="863"/>
      <c r="O205" s="863"/>
      <c r="P205" s="863"/>
      <c r="Q205" s="863"/>
      <c r="R205" s="863"/>
      <c r="S205" s="863"/>
      <c r="T205" s="863"/>
      <c r="U205" s="863"/>
      <c r="V205" s="863"/>
      <c r="W205" s="863"/>
      <c r="X205" s="863"/>
      <c r="Y205" s="864"/>
      <c r="Z205" s="864"/>
      <c r="AA205" s="863"/>
    </row>
    <row r="206" spans="1:27" ht="15.75" customHeight="1" x14ac:dyDescent="0.25">
      <c r="A206" s="244"/>
      <c r="B206" s="244"/>
      <c r="C206" s="863"/>
      <c r="D206" s="863"/>
      <c r="E206" s="863"/>
      <c r="F206" s="863"/>
      <c r="G206" s="863"/>
      <c r="H206" s="863"/>
      <c r="I206" s="863"/>
      <c r="J206" s="863"/>
      <c r="K206" s="863"/>
      <c r="L206" s="863"/>
      <c r="M206" s="863"/>
      <c r="N206" s="863"/>
      <c r="O206" s="863"/>
      <c r="P206" s="863"/>
      <c r="Q206" s="863"/>
      <c r="R206" s="863"/>
      <c r="S206" s="863"/>
      <c r="T206" s="863"/>
      <c r="U206" s="863"/>
      <c r="V206" s="863"/>
      <c r="W206" s="863"/>
      <c r="X206" s="863"/>
      <c r="Y206" s="864"/>
      <c r="Z206" s="864"/>
      <c r="AA206" s="863"/>
    </row>
    <row r="207" spans="1:27" ht="15.75" customHeight="1" x14ac:dyDescent="0.25">
      <c r="A207" s="244"/>
      <c r="B207" s="244"/>
      <c r="C207" s="863"/>
      <c r="D207" s="863"/>
      <c r="E207" s="863"/>
      <c r="F207" s="863"/>
      <c r="G207" s="863"/>
      <c r="H207" s="863"/>
      <c r="I207" s="863"/>
      <c r="J207" s="863"/>
      <c r="K207" s="863"/>
      <c r="L207" s="863"/>
      <c r="M207" s="863"/>
      <c r="N207" s="863"/>
      <c r="O207" s="863"/>
      <c r="P207" s="863"/>
      <c r="Q207" s="863"/>
      <c r="R207" s="863"/>
      <c r="S207" s="863"/>
      <c r="T207" s="863"/>
      <c r="U207" s="863"/>
      <c r="V207" s="863"/>
      <c r="W207" s="863"/>
      <c r="X207" s="863"/>
      <c r="Y207" s="864"/>
      <c r="Z207" s="864"/>
      <c r="AA207" s="863"/>
    </row>
    <row r="208" spans="1:27" ht="15.75" customHeight="1" x14ac:dyDescent="0.25">
      <c r="A208" s="244"/>
      <c r="B208" s="244"/>
      <c r="C208" s="863"/>
      <c r="D208" s="863"/>
      <c r="E208" s="863"/>
      <c r="F208" s="863"/>
      <c r="G208" s="863"/>
      <c r="H208" s="863"/>
      <c r="I208" s="863"/>
      <c r="J208" s="863"/>
      <c r="K208" s="863"/>
      <c r="L208" s="863"/>
      <c r="M208" s="863"/>
      <c r="N208" s="863"/>
      <c r="O208" s="863"/>
      <c r="P208" s="863"/>
      <c r="Q208" s="863"/>
      <c r="R208" s="863"/>
      <c r="S208" s="863"/>
      <c r="T208" s="863"/>
      <c r="U208" s="863"/>
      <c r="V208" s="863"/>
      <c r="W208" s="863"/>
      <c r="X208" s="863"/>
      <c r="Y208" s="864"/>
      <c r="Z208" s="864"/>
      <c r="AA208" s="863"/>
    </row>
    <row r="209" spans="1:27" ht="15.75" customHeight="1" x14ac:dyDescent="0.25">
      <c r="A209" s="244"/>
      <c r="B209" s="244"/>
      <c r="C209" s="863"/>
      <c r="D209" s="863"/>
      <c r="E209" s="863"/>
      <c r="F209" s="863"/>
      <c r="G209" s="863"/>
      <c r="H209" s="863"/>
      <c r="I209" s="863"/>
      <c r="J209" s="863"/>
      <c r="K209" s="863"/>
      <c r="L209" s="863"/>
      <c r="M209" s="863"/>
      <c r="N209" s="863"/>
      <c r="O209" s="863"/>
      <c r="P209" s="863"/>
      <c r="Q209" s="863"/>
      <c r="R209" s="863"/>
      <c r="S209" s="863"/>
      <c r="T209" s="863"/>
      <c r="U209" s="863"/>
      <c r="V209" s="863"/>
      <c r="W209" s="863"/>
      <c r="X209" s="863"/>
      <c r="Y209" s="864"/>
      <c r="Z209" s="864"/>
      <c r="AA209" s="863"/>
    </row>
    <row r="210" spans="1:27" ht="15.75" customHeight="1" x14ac:dyDescent="0.25">
      <c r="A210" s="244"/>
      <c r="B210" s="244"/>
      <c r="C210" s="863"/>
      <c r="D210" s="863"/>
      <c r="E210" s="863"/>
      <c r="F210" s="863"/>
      <c r="G210" s="863"/>
      <c r="H210" s="863"/>
      <c r="I210" s="863"/>
      <c r="J210" s="863"/>
      <c r="K210" s="863"/>
      <c r="L210" s="863"/>
      <c r="M210" s="863"/>
      <c r="N210" s="863"/>
      <c r="O210" s="863"/>
      <c r="P210" s="863"/>
      <c r="Q210" s="863"/>
      <c r="R210" s="863"/>
      <c r="S210" s="863"/>
      <c r="T210" s="863"/>
      <c r="U210" s="863"/>
      <c r="V210" s="863"/>
      <c r="W210" s="863"/>
      <c r="X210" s="863"/>
      <c r="Y210" s="864"/>
      <c r="Z210" s="864"/>
      <c r="AA210" s="863"/>
    </row>
    <row r="211" spans="1:27" ht="15.75" customHeight="1" x14ac:dyDescent="0.25">
      <c r="A211" s="244"/>
      <c r="B211" s="244"/>
      <c r="C211" s="863"/>
      <c r="D211" s="863"/>
      <c r="E211" s="863"/>
      <c r="F211" s="863"/>
      <c r="G211" s="863"/>
      <c r="H211" s="863"/>
      <c r="I211" s="863"/>
      <c r="J211" s="863"/>
      <c r="K211" s="863"/>
      <c r="L211" s="863"/>
      <c r="M211" s="863"/>
      <c r="N211" s="863"/>
      <c r="O211" s="863"/>
      <c r="P211" s="863"/>
      <c r="Q211" s="863"/>
      <c r="R211" s="863"/>
      <c r="S211" s="863"/>
      <c r="T211" s="863"/>
      <c r="U211" s="863"/>
      <c r="V211" s="863"/>
      <c r="W211" s="863"/>
      <c r="X211" s="863"/>
      <c r="Y211" s="864"/>
      <c r="Z211" s="864"/>
      <c r="AA211" s="863"/>
    </row>
    <row r="212" spans="1:27" ht="15.75" customHeight="1" x14ac:dyDescent="0.25">
      <c r="A212" s="244"/>
      <c r="B212" s="244"/>
      <c r="C212" s="863"/>
      <c r="D212" s="863"/>
      <c r="E212" s="863"/>
      <c r="F212" s="863"/>
      <c r="G212" s="863"/>
      <c r="H212" s="863"/>
      <c r="I212" s="863"/>
      <c r="J212" s="863"/>
      <c r="K212" s="863"/>
      <c r="L212" s="863"/>
      <c r="M212" s="863"/>
      <c r="N212" s="863"/>
      <c r="O212" s="863"/>
      <c r="P212" s="863"/>
      <c r="Q212" s="863"/>
      <c r="R212" s="863"/>
      <c r="S212" s="863"/>
      <c r="T212" s="863"/>
      <c r="U212" s="863"/>
      <c r="V212" s="863"/>
      <c r="W212" s="863"/>
      <c r="X212" s="863"/>
      <c r="Y212" s="864"/>
      <c r="Z212" s="864"/>
      <c r="AA212" s="863"/>
    </row>
    <row r="213" spans="1:27" ht="15.75" customHeight="1" x14ac:dyDescent="0.25">
      <c r="A213" s="244"/>
      <c r="B213" s="244"/>
      <c r="C213" s="863"/>
      <c r="D213" s="863"/>
      <c r="E213" s="863"/>
      <c r="F213" s="863"/>
      <c r="G213" s="863"/>
      <c r="H213" s="863"/>
      <c r="I213" s="863"/>
      <c r="J213" s="863"/>
      <c r="K213" s="863"/>
      <c r="L213" s="863"/>
      <c r="M213" s="863"/>
      <c r="N213" s="863"/>
      <c r="O213" s="863"/>
      <c r="P213" s="863"/>
      <c r="Q213" s="863"/>
      <c r="R213" s="863"/>
      <c r="S213" s="863"/>
      <c r="T213" s="863"/>
      <c r="U213" s="863"/>
      <c r="V213" s="863"/>
      <c r="W213" s="863"/>
      <c r="X213" s="863"/>
      <c r="Y213" s="864"/>
      <c r="Z213" s="864"/>
      <c r="AA213" s="863"/>
    </row>
    <row r="214" spans="1:27" ht="15.75" customHeight="1" x14ac:dyDescent="0.25">
      <c r="A214" s="244"/>
      <c r="B214" s="244"/>
      <c r="C214" s="863"/>
      <c r="D214" s="863"/>
      <c r="E214" s="863"/>
      <c r="F214" s="863"/>
      <c r="G214" s="863"/>
      <c r="H214" s="863"/>
      <c r="I214" s="863"/>
      <c r="J214" s="863"/>
      <c r="K214" s="863"/>
      <c r="L214" s="863"/>
      <c r="M214" s="863"/>
      <c r="N214" s="863"/>
      <c r="O214" s="863"/>
      <c r="P214" s="863"/>
      <c r="Q214" s="863"/>
      <c r="R214" s="863"/>
      <c r="S214" s="863"/>
      <c r="T214" s="863"/>
      <c r="U214" s="863"/>
      <c r="V214" s="863"/>
      <c r="W214" s="863"/>
      <c r="X214" s="863"/>
      <c r="Y214" s="864"/>
      <c r="Z214" s="864"/>
      <c r="AA214" s="863"/>
    </row>
    <row r="215" spans="1:27" ht="15.75" customHeight="1" x14ac:dyDescent="0.25">
      <c r="A215" s="244"/>
      <c r="B215" s="244"/>
      <c r="C215" s="863"/>
      <c r="D215" s="863"/>
      <c r="E215" s="863"/>
      <c r="F215" s="863"/>
      <c r="G215" s="863"/>
      <c r="H215" s="863"/>
      <c r="I215" s="863"/>
      <c r="J215" s="863"/>
      <c r="K215" s="863"/>
      <c r="L215" s="863"/>
      <c r="M215" s="863"/>
      <c r="N215" s="863"/>
      <c r="O215" s="863"/>
      <c r="P215" s="863"/>
      <c r="Q215" s="863"/>
      <c r="R215" s="863"/>
      <c r="S215" s="863"/>
      <c r="T215" s="863"/>
      <c r="U215" s="863"/>
      <c r="V215" s="863"/>
      <c r="W215" s="863"/>
      <c r="X215" s="863"/>
      <c r="Y215" s="864"/>
      <c r="Z215" s="864"/>
      <c r="AA215" s="863"/>
    </row>
    <row r="216" spans="1:27" ht="15.75" customHeight="1" x14ac:dyDescent="0.25">
      <c r="A216" s="244"/>
      <c r="B216" s="244"/>
      <c r="C216" s="863"/>
      <c r="D216" s="863"/>
      <c r="E216" s="863"/>
      <c r="F216" s="863"/>
      <c r="G216" s="863"/>
      <c r="H216" s="863"/>
      <c r="I216" s="863"/>
      <c r="J216" s="863"/>
      <c r="K216" s="863"/>
      <c r="L216" s="863"/>
      <c r="M216" s="863"/>
      <c r="N216" s="863"/>
      <c r="O216" s="863"/>
      <c r="P216" s="863"/>
      <c r="Q216" s="863"/>
      <c r="R216" s="863"/>
      <c r="S216" s="863"/>
      <c r="T216" s="863"/>
      <c r="U216" s="863"/>
      <c r="V216" s="863"/>
      <c r="W216" s="863"/>
      <c r="X216" s="863"/>
      <c r="Y216" s="864"/>
      <c r="Z216" s="864"/>
      <c r="AA216" s="863"/>
    </row>
    <row r="217" spans="1:27" ht="15.75" customHeight="1" x14ac:dyDescent="0.25">
      <c r="A217" s="244"/>
      <c r="B217" s="244"/>
      <c r="C217" s="863"/>
      <c r="D217" s="863"/>
      <c r="E217" s="863"/>
      <c r="F217" s="863"/>
      <c r="G217" s="863"/>
      <c r="H217" s="863"/>
      <c r="I217" s="863"/>
      <c r="J217" s="863"/>
      <c r="K217" s="863"/>
      <c r="L217" s="863"/>
      <c r="M217" s="863"/>
      <c r="N217" s="863"/>
      <c r="O217" s="863"/>
      <c r="P217" s="863"/>
      <c r="Q217" s="863"/>
      <c r="R217" s="863"/>
      <c r="S217" s="863"/>
      <c r="T217" s="863"/>
      <c r="U217" s="863"/>
      <c r="V217" s="863"/>
      <c r="W217" s="863"/>
      <c r="X217" s="863"/>
      <c r="Y217" s="864"/>
      <c r="Z217" s="864"/>
      <c r="AA217" s="863"/>
    </row>
    <row r="218" spans="1:27" ht="15.75" customHeight="1" x14ac:dyDescent="0.25">
      <c r="A218" s="244"/>
      <c r="B218" s="244"/>
      <c r="C218" s="863"/>
      <c r="D218" s="863"/>
      <c r="E218" s="863"/>
      <c r="F218" s="863"/>
      <c r="G218" s="863"/>
      <c r="H218" s="863"/>
      <c r="I218" s="863"/>
      <c r="J218" s="863"/>
      <c r="K218" s="863"/>
      <c r="L218" s="863"/>
      <c r="M218" s="863"/>
      <c r="N218" s="863"/>
      <c r="O218" s="863"/>
      <c r="P218" s="863"/>
      <c r="Q218" s="863"/>
      <c r="R218" s="863"/>
      <c r="S218" s="863"/>
      <c r="T218" s="863"/>
      <c r="U218" s="863"/>
      <c r="V218" s="863"/>
      <c r="W218" s="863"/>
      <c r="X218" s="863"/>
      <c r="Y218" s="864"/>
      <c r="Z218" s="864"/>
      <c r="AA218" s="863"/>
    </row>
    <row r="219" spans="1:27" ht="15.75" customHeight="1" x14ac:dyDescent="0.25">
      <c r="A219" s="244"/>
      <c r="B219" s="244"/>
      <c r="C219" s="863"/>
      <c r="D219" s="863"/>
      <c r="E219" s="863"/>
      <c r="F219" s="863"/>
      <c r="G219" s="863"/>
      <c r="H219" s="863"/>
      <c r="I219" s="863"/>
      <c r="J219" s="863"/>
      <c r="K219" s="863"/>
      <c r="L219" s="863"/>
      <c r="M219" s="863"/>
      <c r="N219" s="863"/>
      <c r="O219" s="863"/>
      <c r="P219" s="863"/>
      <c r="Q219" s="863"/>
      <c r="R219" s="863"/>
      <c r="S219" s="863"/>
      <c r="T219" s="863"/>
      <c r="U219" s="863"/>
      <c r="V219" s="863"/>
      <c r="W219" s="863"/>
      <c r="X219" s="863"/>
      <c r="Y219" s="864"/>
      <c r="Z219" s="864"/>
      <c r="AA219" s="863"/>
    </row>
    <row r="220" spans="1:27" ht="15.75" customHeight="1" x14ac:dyDescent="0.25">
      <c r="A220" s="244"/>
      <c r="B220" s="244"/>
      <c r="C220" s="863"/>
      <c r="D220" s="863"/>
      <c r="E220" s="863"/>
      <c r="F220" s="863"/>
      <c r="G220" s="863"/>
      <c r="H220" s="863"/>
      <c r="I220" s="863"/>
      <c r="J220" s="863"/>
      <c r="K220" s="863"/>
      <c r="L220" s="863"/>
      <c r="M220" s="863"/>
      <c r="N220" s="863"/>
      <c r="O220" s="863"/>
      <c r="P220" s="863"/>
      <c r="Q220" s="863"/>
      <c r="R220" s="863"/>
      <c r="S220" s="863"/>
      <c r="T220" s="863"/>
      <c r="U220" s="863"/>
      <c r="V220" s="863"/>
      <c r="W220" s="863"/>
      <c r="X220" s="863"/>
      <c r="Y220" s="864"/>
      <c r="Z220" s="864"/>
      <c r="AA220" s="863"/>
    </row>
    <row r="221" spans="1:27" ht="15.75" customHeight="1" x14ac:dyDescent="0.25">
      <c r="A221" s="244"/>
      <c r="B221" s="244"/>
      <c r="C221" s="863"/>
      <c r="D221" s="863"/>
      <c r="E221" s="863"/>
      <c r="F221" s="863"/>
      <c r="G221" s="863"/>
      <c r="H221" s="863"/>
      <c r="I221" s="863"/>
      <c r="J221" s="863"/>
      <c r="K221" s="863"/>
      <c r="L221" s="863"/>
      <c r="M221" s="863"/>
      <c r="N221" s="863"/>
      <c r="O221" s="863"/>
      <c r="P221" s="863"/>
      <c r="Q221" s="863"/>
      <c r="R221" s="863"/>
      <c r="S221" s="863"/>
      <c r="T221" s="863"/>
      <c r="U221" s="863"/>
      <c r="V221" s="863"/>
      <c r="W221" s="863"/>
      <c r="X221" s="863"/>
      <c r="Y221" s="864"/>
      <c r="Z221" s="864"/>
      <c r="AA221" s="863"/>
    </row>
    <row r="222" spans="1:27" ht="15.75" customHeight="1" x14ac:dyDescent="0.25">
      <c r="A222" s="244"/>
      <c r="B222" s="244"/>
      <c r="C222" s="863"/>
      <c r="D222" s="863"/>
      <c r="E222" s="863"/>
      <c r="F222" s="863"/>
      <c r="G222" s="863"/>
      <c r="H222" s="863"/>
      <c r="I222" s="863"/>
      <c r="J222" s="863"/>
      <c r="K222" s="863"/>
      <c r="L222" s="863"/>
      <c r="M222" s="863"/>
      <c r="N222" s="863"/>
      <c r="O222" s="863"/>
      <c r="P222" s="863"/>
      <c r="Q222" s="863"/>
      <c r="R222" s="863"/>
      <c r="S222" s="863"/>
      <c r="T222" s="863"/>
      <c r="U222" s="863"/>
      <c r="V222" s="863"/>
      <c r="W222" s="863"/>
      <c r="X222" s="863"/>
      <c r="Y222" s="864"/>
      <c r="Z222" s="864"/>
      <c r="AA222" s="863"/>
    </row>
    <row r="223" spans="1:27" ht="15.75" customHeight="1" x14ac:dyDescent="0.25">
      <c r="A223" s="244"/>
      <c r="B223" s="244"/>
      <c r="C223" s="863"/>
      <c r="D223" s="863"/>
      <c r="E223" s="863"/>
      <c r="F223" s="863"/>
      <c r="G223" s="863"/>
      <c r="H223" s="863"/>
      <c r="I223" s="863"/>
      <c r="J223" s="863"/>
      <c r="K223" s="863"/>
      <c r="L223" s="863"/>
      <c r="M223" s="863"/>
      <c r="N223" s="863"/>
      <c r="O223" s="863"/>
      <c r="P223" s="863"/>
      <c r="Q223" s="863"/>
      <c r="R223" s="863"/>
      <c r="S223" s="863"/>
      <c r="T223" s="863"/>
      <c r="U223" s="863"/>
      <c r="V223" s="863"/>
      <c r="W223" s="863"/>
      <c r="X223" s="863"/>
      <c r="Y223" s="864"/>
      <c r="Z223" s="864"/>
      <c r="AA223" s="863"/>
    </row>
    <row r="224" spans="1:27" ht="15.75" customHeight="1" x14ac:dyDescent="0.25">
      <c r="A224" s="244"/>
      <c r="B224" s="244"/>
      <c r="C224" s="863"/>
      <c r="D224" s="863"/>
      <c r="E224" s="863"/>
      <c r="F224" s="863"/>
      <c r="G224" s="863"/>
      <c r="H224" s="863"/>
      <c r="I224" s="863"/>
      <c r="J224" s="863"/>
      <c r="K224" s="863"/>
      <c r="L224" s="863"/>
      <c r="M224" s="863"/>
      <c r="N224" s="863"/>
      <c r="O224" s="863"/>
      <c r="P224" s="863"/>
      <c r="Q224" s="863"/>
      <c r="R224" s="863"/>
      <c r="S224" s="863"/>
      <c r="T224" s="863"/>
      <c r="U224" s="863"/>
      <c r="V224" s="863"/>
      <c r="W224" s="863"/>
      <c r="X224" s="863"/>
      <c r="Y224" s="864"/>
      <c r="Z224" s="864"/>
      <c r="AA224" s="863"/>
    </row>
    <row r="225" spans="1:27" ht="15.75" customHeight="1" x14ac:dyDescent="0.25">
      <c r="A225" s="244"/>
      <c r="B225" s="244"/>
      <c r="C225" s="863"/>
      <c r="D225" s="863"/>
      <c r="E225" s="863"/>
      <c r="F225" s="863"/>
      <c r="G225" s="863"/>
      <c r="H225" s="863"/>
      <c r="I225" s="863"/>
      <c r="J225" s="863"/>
      <c r="K225" s="863"/>
      <c r="L225" s="863"/>
      <c r="M225" s="863"/>
      <c r="N225" s="863"/>
      <c r="O225" s="863"/>
      <c r="P225" s="863"/>
      <c r="Q225" s="863"/>
      <c r="R225" s="863"/>
      <c r="S225" s="863"/>
      <c r="T225" s="863"/>
      <c r="U225" s="863"/>
      <c r="V225" s="863"/>
      <c r="W225" s="863"/>
      <c r="X225" s="863"/>
      <c r="Y225" s="864"/>
      <c r="Z225" s="864"/>
      <c r="AA225" s="863"/>
    </row>
    <row r="226" spans="1:27" ht="15.75" customHeight="1" x14ac:dyDescent="0.25">
      <c r="A226" s="244"/>
      <c r="B226" s="244"/>
      <c r="C226" s="863"/>
      <c r="D226" s="863"/>
      <c r="E226" s="863"/>
      <c r="F226" s="863"/>
      <c r="G226" s="863"/>
      <c r="H226" s="863"/>
      <c r="I226" s="863"/>
      <c r="J226" s="863"/>
      <c r="K226" s="863"/>
      <c r="L226" s="863"/>
      <c r="M226" s="863"/>
      <c r="N226" s="863"/>
      <c r="O226" s="863"/>
      <c r="P226" s="863"/>
      <c r="Q226" s="863"/>
      <c r="R226" s="863"/>
      <c r="S226" s="863"/>
      <c r="T226" s="863"/>
      <c r="U226" s="863"/>
      <c r="V226" s="863"/>
      <c r="W226" s="863"/>
      <c r="X226" s="863"/>
      <c r="Y226" s="864"/>
      <c r="Z226" s="864"/>
      <c r="AA226" s="863"/>
    </row>
    <row r="227" spans="1:27" ht="15.75" customHeight="1" x14ac:dyDescent="0.25">
      <c r="A227" s="244"/>
      <c r="B227" s="244"/>
      <c r="C227" s="863"/>
      <c r="D227" s="863"/>
      <c r="E227" s="863"/>
      <c r="F227" s="863"/>
      <c r="G227" s="863"/>
      <c r="H227" s="863"/>
      <c r="I227" s="863"/>
      <c r="J227" s="863"/>
      <c r="K227" s="863"/>
      <c r="L227" s="863"/>
      <c r="M227" s="863"/>
      <c r="N227" s="863"/>
      <c r="O227" s="863"/>
      <c r="P227" s="863"/>
      <c r="Q227" s="863"/>
      <c r="R227" s="863"/>
      <c r="S227" s="863"/>
      <c r="T227" s="863"/>
      <c r="U227" s="863"/>
      <c r="V227" s="863"/>
      <c r="W227" s="863"/>
      <c r="X227" s="863"/>
      <c r="Y227" s="864"/>
      <c r="Z227" s="864"/>
      <c r="AA227" s="863"/>
    </row>
    <row r="228" spans="1:27" ht="15.75" customHeight="1" x14ac:dyDescent="0.25">
      <c r="A228" s="244"/>
      <c r="B228" s="244"/>
      <c r="C228" s="863"/>
      <c r="D228" s="863"/>
      <c r="E228" s="863"/>
      <c r="F228" s="863"/>
      <c r="G228" s="863"/>
      <c r="H228" s="863"/>
      <c r="I228" s="863"/>
      <c r="J228" s="863"/>
      <c r="K228" s="863"/>
      <c r="L228" s="863"/>
      <c r="M228" s="863"/>
      <c r="N228" s="863"/>
      <c r="O228" s="863"/>
      <c r="P228" s="863"/>
      <c r="Q228" s="863"/>
      <c r="R228" s="863"/>
      <c r="S228" s="863"/>
      <c r="T228" s="863"/>
      <c r="U228" s="863"/>
      <c r="V228" s="863"/>
      <c r="W228" s="863"/>
      <c r="X228" s="863"/>
      <c r="Y228" s="864"/>
      <c r="Z228" s="864"/>
      <c r="AA228" s="863"/>
    </row>
    <row r="229" spans="1:27" ht="15.75" customHeight="1" x14ac:dyDescent="0.25">
      <c r="A229" s="244"/>
      <c r="B229" s="244"/>
      <c r="C229" s="863"/>
      <c r="D229" s="863"/>
      <c r="E229" s="863"/>
      <c r="F229" s="863"/>
      <c r="G229" s="863"/>
      <c r="H229" s="863"/>
      <c r="I229" s="863"/>
      <c r="J229" s="863"/>
      <c r="K229" s="863"/>
      <c r="L229" s="863"/>
      <c r="M229" s="863"/>
      <c r="N229" s="863"/>
      <c r="O229" s="863"/>
      <c r="P229" s="863"/>
      <c r="Q229" s="863"/>
      <c r="R229" s="863"/>
      <c r="S229" s="863"/>
      <c r="T229" s="863"/>
      <c r="U229" s="863"/>
      <c r="V229" s="863"/>
      <c r="W229" s="863"/>
      <c r="X229" s="863"/>
      <c r="Y229" s="864"/>
      <c r="Z229" s="864"/>
      <c r="AA229" s="863"/>
    </row>
    <row r="230" spans="1:27" ht="15.75" customHeight="1" x14ac:dyDescent="0.25">
      <c r="A230" s="244"/>
      <c r="B230" s="244"/>
      <c r="C230" s="863"/>
      <c r="D230" s="863"/>
      <c r="E230" s="863"/>
      <c r="F230" s="863"/>
      <c r="G230" s="863"/>
      <c r="H230" s="863"/>
      <c r="I230" s="863"/>
      <c r="J230" s="863"/>
      <c r="K230" s="863"/>
      <c r="L230" s="863"/>
      <c r="M230" s="863"/>
      <c r="N230" s="863"/>
      <c r="O230" s="863"/>
      <c r="P230" s="863"/>
      <c r="Q230" s="863"/>
      <c r="R230" s="863"/>
      <c r="S230" s="863"/>
      <c r="T230" s="863"/>
      <c r="U230" s="863"/>
      <c r="V230" s="863"/>
      <c r="W230" s="863"/>
      <c r="X230" s="863"/>
      <c r="Y230" s="864"/>
      <c r="Z230" s="864"/>
      <c r="AA230" s="863"/>
    </row>
    <row r="231" spans="1:27" ht="15.75" customHeight="1" x14ac:dyDescent="0.25">
      <c r="A231" s="244"/>
      <c r="B231" s="244"/>
      <c r="C231" s="863"/>
      <c r="D231" s="863"/>
      <c r="E231" s="863"/>
      <c r="F231" s="863"/>
      <c r="G231" s="863"/>
      <c r="H231" s="863"/>
      <c r="I231" s="863"/>
      <c r="J231" s="863"/>
      <c r="K231" s="863"/>
      <c r="L231" s="863"/>
      <c r="M231" s="863"/>
      <c r="N231" s="863"/>
      <c r="O231" s="863"/>
      <c r="P231" s="863"/>
      <c r="Q231" s="863"/>
      <c r="R231" s="863"/>
      <c r="S231" s="863"/>
      <c r="T231" s="863"/>
      <c r="U231" s="863"/>
      <c r="V231" s="863"/>
      <c r="W231" s="863"/>
      <c r="X231" s="863"/>
      <c r="Y231" s="864"/>
      <c r="Z231" s="864"/>
      <c r="AA231" s="863"/>
    </row>
    <row r="232" spans="1:27" ht="15.75" customHeight="1" x14ac:dyDescent="0.25">
      <c r="A232" s="244"/>
      <c r="B232" s="244"/>
      <c r="C232" s="863"/>
      <c r="D232" s="863"/>
      <c r="E232" s="863"/>
      <c r="F232" s="863"/>
      <c r="G232" s="863"/>
      <c r="H232" s="863"/>
      <c r="I232" s="863"/>
      <c r="J232" s="863"/>
      <c r="K232" s="863"/>
      <c r="L232" s="863"/>
      <c r="M232" s="863"/>
      <c r="N232" s="863"/>
      <c r="O232" s="863"/>
      <c r="P232" s="863"/>
      <c r="Q232" s="863"/>
      <c r="R232" s="863"/>
      <c r="S232" s="863"/>
      <c r="T232" s="863"/>
      <c r="U232" s="863"/>
      <c r="V232" s="863"/>
      <c r="W232" s="863"/>
      <c r="X232" s="863"/>
      <c r="Y232" s="864"/>
      <c r="Z232" s="864"/>
      <c r="AA232" s="863"/>
    </row>
    <row r="233" spans="1:27" ht="15.75" customHeight="1" x14ac:dyDescent="0.25">
      <c r="A233" s="244"/>
      <c r="B233" s="244"/>
      <c r="C233" s="863"/>
      <c r="D233" s="863"/>
      <c r="E233" s="863"/>
      <c r="F233" s="863"/>
      <c r="G233" s="863"/>
      <c r="H233" s="863"/>
      <c r="I233" s="863"/>
      <c r="J233" s="863"/>
      <c r="K233" s="863"/>
      <c r="L233" s="863"/>
      <c r="M233" s="863"/>
      <c r="N233" s="863"/>
      <c r="O233" s="863"/>
      <c r="P233" s="863"/>
      <c r="Q233" s="863"/>
      <c r="R233" s="863"/>
      <c r="S233" s="863"/>
      <c r="T233" s="863"/>
      <c r="U233" s="863"/>
      <c r="V233" s="863"/>
      <c r="W233" s="863"/>
      <c r="X233" s="863"/>
      <c r="Y233" s="864"/>
      <c r="Z233" s="864"/>
      <c r="AA233" s="863"/>
    </row>
    <row r="234" spans="1:27" ht="15.75" customHeight="1" x14ac:dyDescent="0.25">
      <c r="A234" s="244"/>
      <c r="B234" s="244"/>
      <c r="C234" s="863"/>
      <c r="D234" s="863"/>
      <c r="E234" s="863"/>
      <c r="F234" s="863"/>
      <c r="G234" s="863"/>
      <c r="H234" s="863"/>
      <c r="I234" s="863"/>
      <c r="J234" s="863"/>
      <c r="K234" s="863"/>
      <c r="L234" s="863"/>
      <c r="M234" s="863"/>
      <c r="N234" s="863"/>
      <c r="O234" s="863"/>
      <c r="P234" s="863"/>
      <c r="Q234" s="863"/>
      <c r="R234" s="863"/>
      <c r="S234" s="863"/>
      <c r="T234" s="863"/>
      <c r="U234" s="863"/>
      <c r="V234" s="863"/>
      <c r="W234" s="863"/>
      <c r="X234" s="863"/>
      <c r="Y234" s="864"/>
      <c r="Z234" s="864"/>
      <c r="AA234" s="863"/>
    </row>
    <row r="235" spans="1:27" ht="15.75" customHeight="1" x14ac:dyDescent="0.25">
      <c r="A235" s="244"/>
      <c r="B235" s="244"/>
      <c r="C235" s="863"/>
      <c r="D235" s="863"/>
      <c r="E235" s="863"/>
      <c r="F235" s="863"/>
      <c r="G235" s="863"/>
      <c r="H235" s="863"/>
      <c r="I235" s="863"/>
      <c r="J235" s="863"/>
      <c r="K235" s="863"/>
      <c r="L235" s="863"/>
      <c r="M235" s="863"/>
      <c r="N235" s="863"/>
      <c r="O235" s="863"/>
      <c r="P235" s="863"/>
      <c r="Q235" s="863"/>
      <c r="R235" s="863"/>
      <c r="S235" s="863"/>
      <c r="T235" s="863"/>
      <c r="U235" s="863"/>
      <c r="V235" s="863"/>
      <c r="W235" s="863"/>
      <c r="X235" s="863"/>
      <c r="Y235" s="864"/>
      <c r="Z235" s="864"/>
      <c r="AA235" s="863"/>
    </row>
    <row r="236" spans="1:27" ht="15.75" customHeight="1" x14ac:dyDescent="0.25">
      <c r="A236" s="244"/>
      <c r="B236" s="244"/>
      <c r="C236" s="863"/>
      <c r="D236" s="863"/>
      <c r="E236" s="863"/>
      <c r="F236" s="863"/>
      <c r="G236" s="863"/>
      <c r="H236" s="863"/>
      <c r="I236" s="863"/>
      <c r="J236" s="863"/>
      <c r="K236" s="863"/>
      <c r="L236" s="863"/>
      <c r="M236" s="863"/>
      <c r="N236" s="863"/>
      <c r="O236" s="863"/>
      <c r="P236" s="863"/>
      <c r="Q236" s="863"/>
      <c r="R236" s="863"/>
      <c r="S236" s="863"/>
      <c r="T236" s="863"/>
      <c r="U236" s="863"/>
      <c r="V236" s="863"/>
      <c r="W236" s="863"/>
      <c r="X236" s="863"/>
      <c r="Y236" s="864"/>
      <c r="Z236" s="864"/>
      <c r="AA236" s="863"/>
    </row>
    <row r="237" spans="1:27" ht="15.75" customHeight="1" x14ac:dyDescent="0.25">
      <c r="A237" s="244"/>
      <c r="B237" s="244"/>
      <c r="C237" s="863"/>
      <c r="D237" s="863"/>
      <c r="E237" s="863"/>
      <c r="F237" s="863"/>
      <c r="G237" s="863"/>
      <c r="H237" s="863"/>
      <c r="I237" s="863"/>
      <c r="J237" s="863"/>
      <c r="K237" s="863"/>
      <c r="L237" s="863"/>
      <c r="M237" s="863"/>
      <c r="N237" s="863"/>
      <c r="O237" s="863"/>
      <c r="P237" s="863"/>
      <c r="Q237" s="863"/>
      <c r="R237" s="863"/>
      <c r="S237" s="863"/>
      <c r="T237" s="863"/>
      <c r="U237" s="863"/>
      <c r="V237" s="863"/>
      <c r="W237" s="863"/>
      <c r="X237" s="863"/>
      <c r="Y237" s="864"/>
      <c r="Z237" s="864"/>
      <c r="AA237" s="863"/>
    </row>
    <row r="238" spans="1:27" ht="15.75" customHeight="1" x14ac:dyDescent="0.25">
      <c r="A238" s="244"/>
      <c r="B238" s="244"/>
      <c r="C238" s="863"/>
      <c r="D238" s="863"/>
      <c r="E238" s="863"/>
      <c r="F238" s="863"/>
      <c r="G238" s="863"/>
      <c r="H238" s="863"/>
      <c r="I238" s="863"/>
      <c r="J238" s="863"/>
      <c r="K238" s="863"/>
      <c r="L238" s="863"/>
      <c r="M238" s="863"/>
      <c r="N238" s="863"/>
      <c r="O238" s="863"/>
      <c r="P238" s="863"/>
      <c r="Q238" s="863"/>
      <c r="R238" s="863"/>
      <c r="S238" s="863"/>
      <c r="T238" s="863"/>
      <c r="U238" s="863"/>
      <c r="V238" s="863"/>
      <c r="W238" s="863"/>
      <c r="X238" s="863"/>
      <c r="Y238" s="864"/>
      <c r="Z238" s="864"/>
      <c r="AA238" s="863"/>
    </row>
    <row r="239" spans="1:27" ht="15.75" customHeight="1" x14ac:dyDescent="0.25">
      <c r="A239" s="244"/>
      <c r="B239" s="244"/>
      <c r="C239" s="863"/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4"/>
      <c r="Z239" s="864"/>
      <c r="AA239" s="863"/>
    </row>
    <row r="240" spans="1:27" ht="15.75" customHeight="1" x14ac:dyDescent="0.25">
      <c r="A240" s="244"/>
      <c r="B240" s="244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4"/>
      <c r="Z240" s="864"/>
      <c r="AA240" s="863"/>
    </row>
    <row r="241" spans="1:27" ht="15.75" customHeight="1" x14ac:dyDescent="0.25">
      <c r="A241" s="244"/>
      <c r="B241" s="244"/>
      <c r="C241" s="863"/>
      <c r="D241" s="863"/>
      <c r="E241" s="863"/>
      <c r="F241" s="863"/>
      <c r="G241" s="863"/>
      <c r="H241" s="863"/>
      <c r="I241" s="863"/>
      <c r="J241" s="863"/>
      <c r="K241" s="863"/>
      <c r="L241" s="863"/>
      <c r="M241" s="863"/>
      <c r="N241" s="863"/>
      <c r="O241" s="863"/>
      <c r="P241" s="863"/>
      <c r="Q241" s="863"/>
      <c r="R241" s="863"/>
      <c r="S241" s="863"/>
      <c r="T241" s="863"/>
      <c r="U241" s="863"/>
      <c r="V241" s="863"/>
      <c r="W241" s="863"/>
      <c r="X241" s="863"/>
      <c r="Y241" s="864"/>
      <c r="Z241" s="864"/>
      <c r="AA241" s="863"/>
    </row>
    <row r="242" spans="1:27" ht="15.75" customHeight="1" x14ac:dyDescent="0.25">
      <c r="A242" s="244"/>
      <c r="B242" s="244"/>
      <c r="C242" s="863"/>
      <c r="D242" s="863"/>
      <c r="E242" s="863"/>
      <c r="F242" s="863"/>
      <c r="G242" s="863"/>
      <c r="H242" s="863"/>
      <c r="I242" s="863"/>
      <c r="J242" s="863"/>
      <c r="K242" s="863"/>
      <c r="L242" s="863"/>
      <c r="M242" s="863"/>
      <c r="N242" s="863"/>
      <c r="O242" s="863"/>
      <c r="P242" s="863"/>
      <c r="Q242" s="863"/>
      <c r="R242" s="863"/>
      <c r="S242" s="863"/>
      <c r="T242" s="863"/>
      <c r="U242" s="863"/>
      <c r="V242" s="863"/>
      <c r="W242" s="863"/>
      <c r="X242" s="863"/>
      <c r="Y242" s="864"/>
      <c r="Z242" s="864"/>
      <c r="AA242" s="863"/>
    </row>
    <row r="243" spans="1:27" ht="15.75" customHeight="1" x14ac:dyDescent="0.25">
      <c r="A243" s="244"/>
      <c r="B243" s="244"/>
      <c r="C243" s="863"/>
      <c r="D243" s="863"/>
      <c r="E243" s="863"/>
      <c r="F243" s="863"/>
      <c r="G243" s="863"/>
      <c r="H243" s="863"/>
      <c r="I243" s="863"/>
      <c r="J243" s="863"/>
      <c r="K243" s="863"/>
      <c r="L243" s="863"/>
      <c r="M243" s="863"/>
      <c r="N243" s="863"/>
      <c r="O243" s="863"/>
      <c r="P243" s="863"/>
      <c r="Q243" s="863"/>
      <c r="R243" s="863"/>
      <c r="S243" s="863"/>
      <c r="T243" s="863"/>
      <c r="U243" s="863"/>
      <c r="V243" s="863"/>
      <c r="W243" s="863"/>
      <c r="X243" s="863"/>
      <c r="Y243" s="864"/>
      <c r="Z243" s="864"/>
      <c r="AA243" s="863"/>
    </row>
    <row r="244" spans="1:27" ht="15.75" customHeight="1" x14ac:dyDescent="0.2"/>
    <row r="245" spans="1:27" ht="15.75" customHeight="1" x14ac:dyDescent="0.2"/>
    <row r="246" spans="1:27" ht="15.75" customHeight="1" x14ac:dyDescent="0.2"/>
    <row r="247" spans="1:27" ht="15.75" customHeight="1" x14ac:dyDescent="0.2"/>
    <row r="248" spans="1:27" ht="15.75" customHeight="1" x14ac:dyDescent="0.2"/>
    <row r="249" spans="1:27" ht="15.75" customHeight="1" x14ac:dyDescent="0.2"/>
    <row r="250" spans="1:27" ht="15.75" customHeight="1" x14ac:dyDescent="0.2"/>
    <row r="251" spans="1:27" ht="15.75" customHeight="1" x14ac:dyDescent="0.2"/>
    <row r="252" spans="1:27" ht="15.75" customHeight="1" x14ac:dyDescent="0.2"/>
    <row r="253" spans="1:27" ht="15.75" customHeight="1" x14ac:dyDescent="0.2"/>
    <row r="254" spans="1:27" ht="15.75" customHeight="1" x14ac:dyDescent="0.2"/>
    <row r="255" spans="1:27" ht="15.75" customHeight="1" x14ac:dyDescent="0.2"/>
    <row r="256" spans="1:27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Z5:Z6"/>
    <mergeCell ref="AA5:AA6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Y6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fitToPage="1"/>
  </sheetPr>
  <dimension ref="A1:AA1000"/>
  <sheetViews>
    <sheetView workbookViewId="0">
      <pane xSplit="16" ySplit="9" topLeftCell="Q10" activePane="bottomRight" state="frozen"/>
      <selection pane="topRight" activeCell="Q1" sqref="Q1"/>
      <selection pane="bottomLeft" activeCell="A10" sqref="A10"/>
      <selection pane="bottomRight" activeCell="Q10" sqref="Q10"/>
    </sheetView>
  </sheetViews>
  <sheetFormatPr defaultColWidth="12.5703125" defaultRowHeight="15" customHeight="1" x14ac:dyDescent="0.2"/>
  <cols>
    <col min="1" max="1" width="12.5703125" customWidth="1"/>
    <col min="2" max="2" width="26.42578125" customWidth="1"/>
    <col min="3" max="3" width="13" hidden="1" customWidth="1"/>
    <col min="4" max="4" width="10.5703125" hidden="1" customWidth="1"/>
    <col min="5" max="5" width="13.140625" hidden="1" customWidth="1"/>
    <col min="6" max="6" width="10.5703125" hidden="1" customWidth="1"/>
    <col min="7" max="7" width="13.140625" hidden="1" customWidth="1"/>
    <col min="8" max="8" width="10.5703125" hidden="1" customWidth="1"/>
    <col min="9" max="9" width="13.140625" hidden="1" customWidth="1"/>
    <col min="10" max="10" width="11.85546875" hidden="1" customWidth="1"/>
    <col min="11" max="13" width="13.140625" hidden="1" customWidth="1"/>
    <col min="14" max="14" width="10.5703125" hidden="1" customWidth="1"/>
    <col min="15" max="15" width="14.28515625" hidden="1" customWidth="1"/>
    <col min="16" max="16" width="10.5703125" hidden="1" customWidth="1"/>
    <col min="17" max="17" width="12" customWidth="1"/>
    <col min="18" max="18" width="11.85546875" hidden="1" customWidth="1"/>
    <col min="19" max="19" width="13.140625" customWidth="1"/>
    <col min="20" max="20" width="11.85546875" hidden="1" customWidth="1"/>
    <col min="21" max="21" width="13.140625" customWidth="1"/>
    <col min="22" max="22" width="11.85546875" hidden="1" customWidth="1"/>
    <col min="23" max="23" width="13.140625" customWidth="1"/>
    <col min="24" max="24" width="11.85546875" hidden="1" customWidth="1"/>
    <col min="25" max="25" width="14.28515625" customWidth="1"/>
    <col min="26" max="26" width="13.140625" hidden="1" customWidth="1"/>
    <col min="27" max="27" width="12.7109375" hidden="1" customWidth="1"/>
  </cols>
  <sheetData>
    <row r="1" spans="1:27" ht="15.75" customHeight="1" x14ac:dyDescent="0.25">
      <c r="A1" s="244"/>
      <c r="B1" s="244"/>
      <c r="C1" s="863"/>
      <c r="D1" s="863"/>
      <c r="E1" s="863"/>
      <c r="F1" s="863"/>
      <c r="G1" s="863"/>
      <c r="H1" s="863"/>
      <c r="I1" s="863"/>
      <c r="J1" s="863"/>
      <c r="K1" s="863"/>
      <c r="L1" s="863"/>
      <c r="M1" s="863"/>
      <c r="N1" s="863"/>
      <c r="O1" s="863"/>
      <c r="P1" s="863"/>
      <c r="Q1" s="863"/>
      <c r="R1" s="863"/>
      <c r="S1" s="863"/>
      <c r="T1" s="863"/>
      <c r="U1" s="863"/>
      <c r="V1" s="863"/>
      <c r="W1" s="863"/>
      <c r="X1" s="863"/>
      <c r="Y1" s="864"/>
      <c r="Z1" s="864"/>
      <c r="AA1" s="863"/>
    </row>
    <row r="2" spans="1:27" ht="15.75" customHeight="1" x14ac:dyDescent="0.25">
      <c r="A2" s="244"/>
      <c r="B2" s="511" t="s">
        <v>12</v>
      </c>
      <c r="C2" s="863"/>
      <c r="D2" s="863"/>
      <c r="E2" s="863"/>
      <c r="F2" s="863"/>
      <c r="G2" s="863"/>
      <c r="H2" s="863"/>
      <c r="I2" s="863"/>
      <c r="J2" s="863"/>
      <c r="K2" s="863"/>
      <c r="L2" s="863"/>
      <c r="M2" s="863"/>
      <c r="N2" s="863"/>
      <c r="O2" s="863"/>
      <c r="P2" s="863"/>
      <c r="Q2" s="863"/>
      <c r="R2" s="863"/>
      <c r="S2" s="863"/>
      <c r="T2" s="863"/>
      <c r="U2" s="863"/>
      <c r="V2" s="863"/>
      <c r="W2" s="863"/>
      <c r="X2" s="863"/>
      <c r="Y2" s="864"/>
      <c r="Z2" s="864"/>
      <c r="AA2" s="863"/>
    </row>
    <row r="3" spans="1:27" ht="15.75" customHeight="1" x14ac:dyDescent="0.25">
      <c r="A3" s="244"/>
      <c r="B3" s="245" t="s">
        <v>413</v>
      </c>
      <c r="C3" s="863"/>
      <c r="D3" s="863"/>
      <c r="E3" s="863"/>
      <c r="F3" s="863"/>
      <c r="G3" s="863"/>
      <c r="H3" s="863"/>
      <c r="I3" s="863"/>
      <c r="J3" s="863"/>
      <c r="K3" s="863"/>
      <c r="L3" s="863"/>
      <c r="M3" s="863"/>
      <c r="N3" s="863"/>
      <c r="O3" s="863"/>
      <c r="P3" s="863"/>
      <c r="Q3" s="863"/>
      <c r="R3" s="863"/>
      <c r="S3" s="863"/>
      <c r="T3" s="863"/>
      <c r="U3" s="863"/>
      <c r="V3" s="863"/>
      <c r="W3" s="863"/>
      <c r="X3" s="863"/>
      <c r="Y3" s="864"/>
      <c r="Z3" s="864"/>
      <c r="AA3" s="863"/>
    </row>
    <row r="4" spans="1:27" ht="15.75" customHeight="1" x14ac:dyDescent="0.25">
      <c r="A4" s="244"/>
      <c r="B4" s="245" t="s">
        <v>423</v>
      </c>
      <c r="C4" s="863"/>
      <c r="D4" s="863"/>
      <c r="E4" s="863"/>
      <c r="F4" s="863"/>
      <c r="G4" s="863"/>
      <c r="H4" s="863"/>
      <c r="I4" s="863"/>
      <c r="J4" s="863"/>
      <c r="K4" s="863"/>
      <c r="L4" s="863"/>
      <c r="M4" s="863"/>
      <c r="N4" s="863"/>
      <c r="O4" s="863"/>
      <c r="P4" s="863"/>
      <c r="Q4" s="863"/>
      <c r="R4" s="863"/>
      <c r="S4" s="863"/>
      <c r="T4" s="863"/>
      <c r="U4" s="863"/>
      <c r="V4" s="863"/>
      <c r="W4" s="863"/>
      <c r="X4" s="863"/>
      <c r="Y4" s="864"/>
      <c r="Z4" s="864"/>
      <c r="AA4" s="863"/>
    </row>
    <row r="5" spans="1:27" ht="15.75" customHeight="1" x14ac:dyDescent="0.25">
      <c r="A5" s="244"/>
      <c r="B5" s="924" t="s">
        <v>424</v>
      </c>
      <c r="C5" s="863"/>
      <c r="D5" s="863"/>
      <c r="E5" s="863"/>
      <c r="F5" s="863"/>
      <c r="G5" s="863"/>
      <c r="H5" s="863"/>
      <c r="I5" s="863"/>
      <c r="J5" s="863"/>
      <c r="K5" s="863"/>
      <c r="L5" s="863"/>
      <c r="M5" s="863"/>
      <c r="N5" s="863"/>
      <c r="O5" s="863"/>
      <c r="P5" s="863"/>
      <c r="Q5" s="863"/>
      <c r="R5" s="863"/>
      <c r="S5" s="863"/>
      <c r="T5" s="863"/>
      <c r="U5" s="863"/>
      <c r="V5" s="863"/>
      <c r="W5" s="863"/>
      <c r="X5" s="863"/>
      <c r="Y5" s="864"/>
      <c r="Z5" s="864"/>
      <c r="AA5" s="863"/>
    </row>
    <row r="6" spans="1:27" ht="15.75" customHeight="1" x14ac:dyDescent="0.25">
      <c r="A6" s="244"/>
      <c r="B6" s="924" t="s">
        <v>425</v>
      </c>
      <c r="C6" s="863"/>
      <c r="D6" s="863"/>
      <c r="E6" s="863"/>
      <c r="F6" s="863"/>
      <c r="G6" s="863"/>
      <c r="H6" s="863"/>
      <c r="I6" s="863"/>
      <c r="J6" s="863"/>
      <c r="K6" s="863"/>
      <c r="L6" s="863"/>
      <c r="M6" s="863"/>
      <c r="N6" s="863"/>
      <c r="O6" s="863"/>
      <c r="P6" s="863"/>
      <c r="Q6" s="863"/>
      <c r="R6" s="863"/>
      <c r="S6" s="863"/>
      <c r="T6" s="863"/>
      <c r="U6" s="863"/>
      <c r="V6" s="863"/>
      <c r="W6" s="863"/>
      <c r="X6" s="863"/>
      <c r="Y6" s="864"/>
      <c r="Z6" s="864"/>
      <c r="AA6" s="863"/>
    </row>
    <row r="7" spans="1:27" ht="15.75" customHeight="1" x14ac:dyDescent="0.25">
      <c r="A7" s="244"/>
      <c r="B7" s="244"/>
      <c r="C7" s="865"/>
      <c r="D7" s="865"/>
      <c r="E7" s="865"/>
      <c r="F7" s="865"/>
      <c r="G7" s="865"/>
      <c r="H7" s="865"/>
      <c r="I7" s="865"/>
      <c r="J7" s="865"/>
      <c r="K7" s="179"/>
      <c r="L7" s="179"/>
      <c r="M7" s="863"/>
      <c r="N7" s="863"/>
      <c r="O7" s="863"/>
      <c r="P7" s="863"/>
      <c r="Q7" s="863"/>
      <c r="R7" s="863"/>
      <c r="S7" s="863"/>
      <c r="T7" s="863"/>
      <c r="U7" s="863"/>
      <c r="V7" s="863"/>
      <c r="W7" s="863"/>
      <c r="X7" s="863"/>
      <c r="Y7" s="864"/>
      <c r="Z7" s="864"/>
      <c r="AA7" s="863"/>
    </row>
    <row r="8" spans="1:27" ht="15.75" customHeight="1" x14ac:dyDescent="0.25">
      <c r="A8" s="244"/>
      <c r="B8" s="866" t="s">
        <v>46</v>
      </c>
      <c r="C8" s="995">
        <v>45748</v>
      </c>
      <c r="D8" s="931"/>
      <c r="E8" s="995">
        <v>45778</v>
      </c>
      <c r="F8" s="931"/>
      <c r="G8" s="995">
        <v>45809</v>
      </c>
      <c r="H8" s="931"/>
      <c r="I8" s="995">
        <v>45839</v>
      </c>
      <c r="J8" s="935"/>
      <c r="K8" s="995">
        <v>45870</v>
      </c>
      <c r="L8" s="931"/>
      <c r="M8" s="995">
        <v>45901</v>
      </c>
      <c r="N8" s="931"/>
      <c r="O8" s="995">
        <v>45931</v>
      </c>
      <c r="P8" s="931"/>
      <c r="Q8" s="993" t="s">
        <v>402</v>
      </c>
      <c r="R8" s="931"/>
      <c r="S8" s="993" t="s">
        <v>403</v>
      </c>
      <c r="T8" s="931"/>
      <c r="U8" s="993" t="s">
        <v>414</v>
      </c>
      <c r="V8" s="931"/>
      <c r="W8" s="993" t="s">
        <v>415</v>
      </c>
      <c r="X8" s="931"/>
      <c r="Y8" s="994" t="s">
        <v>416</v>
      </c>
      <c r="Z8" s="994" t="s">
        <v>19</v>
      </c>
      <c r="AA8" s="994" t="s">
        <v>417</v>
      </c>
    </row>
    <row r="9" spans="1:27" ht="15.75" customHeight="1" x14ac:dyDescent="0.25">
      <c r="A9" s="244"/>
      <c r="B9" s="867" t="s">
        <v>418</v>
      </c>
      <c r="C9" s="868" t="s">
        <v>17</v>
      </c>
      <c r="D9" s="869" t="s">
        <v>419</v>
      </c>
      <c r="E9" s="868" t="s">
        <v>17</v>
      </c>
      <c r="F9" s="869" t="s">
        <v>419</v>
      </c>
      <c r="G9" s="868" t="s">
        <v>17</v>
      </c>
      <c r="H9" s="869" t="s">
        <v>419</v>
      </c>
      <c r="I9" s="868" t="s">
        <v>17</v>
      </c>
      <c r="J9" s="870" t="s">
        <v>419</v>
      </c>
      <c r="K9" s="868" t="s">
        <v>17</v>
      </c>
      <c r="L9" s="869" t="s">
        <v>419</v>
      </c>
      <c r="M9" s="868" t="s">
        <v>17</v>
      </c>
      <c r="N9" s="869" t="s">
        <v>419</v>
      </c>
      <c r="O9" s="868" t="s">
        <v>17</v>
      </c>
      <c r="P9" s="869" t="s">
        <v>419</v>
      </c>
      <c r="Q9" s="868" t="s">
        <v>17</v>
      </c>
      <c r="R9" s="869" t="s">
        <v>419</v>
      </c>
      <c r="S9" s="868" t="s">
        <v>17</v>
      </c>
      <c r="T9" s="869" t="s">
        <v>419</v>
      </c>
      <c r="U9" s="868" t="s">
        <v>17</v>
      </c>
      <c r="V9" s="869" t="s">
        <v>419</v>
      </c>
      <c r="W9" s="868" t="s">
        <v>17</v>
      </c>
      <c r="X9" s="869" t="s">
        <v>419</v>
      </c>
      <c r="Y9" s="937"/>
      <c r="Z9" s="937"/>
      <c r="AA9" s="937"/>
    </row>
    <row r="10" spans="1:27" ht="15.75" customHeight="1" x14ac:dyDescent="0.25">
      <c r="A10" s="244"/>
      <c r="B10" s="282" t="s">
        <v>21</v>
      </c>
      <c r="C10" s="261"/>
      <c r="D10" s="871"/>
      <c r="E10" s="872"/>
      <c r="F10" s="871"/>
      <c r="G10" s="872"/>
      <c r="H10" s="871"/>
      <c r="I10" s="872"/>
      <c r="J10" s="873"/>
      <c r="K10" s="872"/>
      <c r="L10" s="871"/>
      <c r="M10" s="872"/>
      <c r="N10" s="871"/>
      <c r="O10" s="872"/>
      <c r="P10" s="871"/>
      <c r="Q10" s="872" t="e">
        <f>Kaspers!#REF!</f>
        <v>#REF!</v>
      </c>
      <c r="R10" s="871"/>
      <c r="S10" s="872" t="e">
        <f>Kaspers!#REF!</f>
        <v>#REF!</v>
      </c>
      <c r="T10" s="871"/>
      <c r="U10" s="872" t="e">
        <f>Kaspers!#REF!</f>
        <v>#REF!</v>
      </c>
      <c r="V10" s="871"/>
      <c r="W10" s="872" t="e">
        <f>Kaspers!#REF!</f>
        <v>#REF!</v>
      </c>
      <c r="X10" s="873" t="e">
        <f t="shared" ref="X10:X14" si="0">W10/$W$15</f>
        <v>#REF!</v>
      </c>
      <c r="Y10" s="874" t="e">
        <f t="shared" ref="Y10:Y14" si="1">C10+E10+G10+I10+K10+M10+O10+Q10+S10+U10+W10</f>
        <v>#REF!</v>
      </c>
      <c r="Z10" s="874"/>
      <c r="AA10" s="875" t="e">
        <f t="shared" ref="AA10:AA13" si="2">Y10/Z10</f>
        <v>#REF!</v>
      </c>
    </row>
    <row r="11" spans="1:27" ht="15.75" customHeight="1" x14ac:dyDescent="0.25">
      <c r="A11" s="244"/>
      <c r="B11" s="263" t="s">
        <v>22</v>
      </c>
      <c r="C11" s="265"/>
      <c r="D11" s="876"/>
      <c r="E11" s="877"/>
      <c r="F11" s="876"/>
      <c r="G11" s="877"/>
      <c r="H11" s="871"/>
      <c r="I11" s="877"/>
      <c r="J11" s="873"/>
      <c r="K11" s="877"/>
      <c r="L11" s="871"/>
      <c r="M11" s="877"/>
      <c r="N11" s="871"/>
      <c r="O11" s="877"/>
      <c r="P11" s="871"/>
      <c r="Q11" s="872" t="e">
        <f>Kaspers!#REF!</f>
        <v>#REF!</v>
      </c>
      <c r="R11" s="871"/>
      <c r="S11" s="872" t="e">
        <f>Kaspers!#REF!</f>
        <v>#REF!</v>
      </c>
      <c r="T11" s="871"/>
      <c r="U11" s="872" t="e">
        <f>Kaspers!#REF!</f>
        <v>#REF!</v>
      </c>
      <c r="V11" s="871"/>
      <c r="W11" s="872" t="e">
        <f>Kaspers!#REF!</f>
        <v>#REF!</v>
      </c>
      <c r="X11" s="873" t="e">
        <f t="shared" si="0"/>
        <v>#REF!</v>
      </c>
      <c r="Y11" s="874" t="e">
        <f t="shared" si="1"/>
        <v>#REF!</v>
      </c>
      <c r="Z11" s="874"/>
      <c r="AA11" s="878" t="e">
        <f t="shared" si="2"/>
        <v>#REF!</v>
      </c>
    </row>
    <row r="12" spans="1:27" ht="15.75" customHeight="1" x14ac:dyDescent="0.25">
      <c r="A12" s="244"/>
      <c r="B12" s="263" t="s">
        <v>23</v>
      </c>
      <c r="C12" s="265"/>
      <c r="D12" s="876"/>
      <c r="E12" s="877"/>
      <c r="F12" s="876"/>
      <c r="G12" s="877"/>
      <c r="H12" s="871"/>
      <c r="I12" s="877"/>
      <c r="J12" s="873"/>
      <c r="K12" s="877"/>
      <c r="L12" s="871"/>
      <c r="M12" s="877"/>
      <c r="N12" s="871"/>
      <c r="O12" s="877"/>
      <c r="P12" s="871"/>
      <c r="Q12" s="872" t="e">
        <f>Kaspers!#REF!</f>
        <v>#REF!</v>
      </c>
      <c r="R12" s="871"/>
      <c r="S12" s="872" t="e">
        <f>Kaspers!#REF!</f>
        <v>#REF!</v>
      </c>
      <c r="T12" s="871"/>
      <c r="U12" s="872" t="e">
        <f>Kaspers!#REF!</f>
        <v>#REF!</v>
      </c>
      <c r="V12" s="871"/>
      <c r="W12" s="872" t="e">
        <f>Kaspers!#REF!</f>
        <v>#REF!</v>
      </c>
      <c r="X12" s="873" t="e">
        <f t="shared" si="0"/>
        <v>#REF!</v>
      </c>
      <c r="Y12" s="874" t="e">
        <f t="shared" si="1"/>
        <v>#REF!</v>
      </c>
      <c r="Z12" s="874"/>
      <c r="AA12" s="878" t="e">
        <f t="shared" si="2"/>
        <v>#REF!</v>
      </c>
    </row>
    <row r="13" spans="1:27" ht="15.75" customHeight="1" x14ac:dyDescent="0.25">
      <c r="A13" s="244"/>
      <c r="B13" s="263" t="s">
        <v>24</v>
      </c>
      <c r="C13" s="265"/>
      <c r="D13" s="876"/>
      <c r="E13" s="877"/>
      <c r="F13" s="876"/>
      <c r="G13" s="877"/>
      <c r="H13" s="871"/>
      <c r="I13" s="877"/>
      <c r="J13" s="873"/>
      <c r="K13" s="877"/>
      <c r="L13" s="871"/>
      <c r="M13" s="877"/>
      <c r="N13" s="871"/>
      <c r="O13" s="877"/>
      <c r="P13" s="871"/>
      <c r="Q13" s="872" t="e">
        <f>Kaspers!#REF!</f>
        <v>#REF!</v>
      </c>
      <c r="R13" s="871"/>
      <c r="S13" s="877" t="e">
        <f>Kaspers!#REF!</f>
        <v>#REF!</v>
      </c>
      <c r="T13" s="871"/>
      <c r="U13" s="877" t="e">
        <f>Kaspers!#REF!</f>
        <v>#REF!</v>
      </c>
      <c r="V13" s="871"/>
      <c r="W13" s="877" t="e">
        <f>Kaspers!#REF!</f>
        <v>#REF!</v>
      </c>
      <c r="X13" s="873" t="e">
        <f t="shared" si="0"/>
        <v>#REF!</v>
      </c>
      <c r="Y13" s="874" t="e">
        <f t="shared" si="1"/>
        <v>#REF!</v>
      </c>
      <c r="Z13" s="879"/>
      <c r="AA13" s="878" t="e">
        <f t="shared" si="2"/>
        <v>#REF!</v>
      </c>
    </row>
    <row r="14" spans="1:27" ht="15.75" customHeight="1" x14ac:dyDescent="0.25">
      <c r="A14" s="244"/>
      <c r="B14" s="274" t="s">
        <v>164</v>
      </c>
      <c r="C14" s="276"/>
      <c r="D14" s="880"/>
      <c r="E14" s="881"/>
      <c r="F14" s="876"/>
      <c r="G14" s="882"/>
      <c r="H14" s="871"/>
      <c r="I14" s="882"/>
      <c r="J14" s="873"/>
      <c r="K14" s="882"/>
      <c r="L14" s="871"/>
      <c r="M14" s="882"/>
      <c r="N14" s="871"/>
      <c r="O14" s="882"/>
      <c r="P14" s="871"/>
      <c r="Q14" s="882" t="e">
        <f>Kaspers!#REF!</f>
        <v>#REF!</v>
      </c>
      <c r="R14" s="871"/>
      <c r="S14" s="882" t="e">
        <f>Kaspers!#REF!</f>
        <v>#REF!</v>
      </c>
      <c r="T14" s="871"/>
      <c r="U14" s="884">
        <v>0</v>
      </c>
      <c r="V14" s="871"/>
      <c r="W14" s="884">
        <v>0</v>
      </c>
      <c r="X14" s="873" t="e">
        <f t="shared" si="0"/>
        <v>#REF!</v>
      </c>
      <c r="Y14" s="874" t="e">
        <f t="shared" si="1"/>
        <v>#REF!</v>
      </c>
      <c r="Z14" s="885"/>
      <c r="AA14" s="878">
        <v>0</v>
      </c>
    </row>
    <row r="15" spans="1:27" ht="15.75" customHeight="1" x14ac:dyDescent="0.25">
      <c r="A15" s="244"/>
      <c r="B15" s="866" t="s">
        <v>420</v>
      </c>
      <c r="C15" s="886">
        <f>SUM(C10:C14)</f>
        <v>0</v>
      </c>
      <c r="D15" s="887" t="e">
        <f>C15/$C$15</f>
        <v>#DIV/0!</v>
      </c>
      <c r="E15" s="886">
        <f>SUM(E10:E14)</f>
        <v>0</v>
      </c>
      <c r="F15" s="887" t="e">
        <f>E15/E15</f>
        <v>#DIV/0!</v>
      </c>
      <c r="G15" s="886">
        <f>SUM(G10:G14)</f>
        <v>0</v>
      </c>
      <c r="H15" s="887" t="e">
        <f>G15/G15</f>
        <v>#DIV/0!</v>
      </c>
      <c r="I15" s="886">
        <f>SUM(I10:I14)</f>
        <v>0</v>
      </c>
      <c r="J15" s="888" t="e">
        <f>I15/I15</f>
        <v>#DIV/0!</v>
      </c>
      <c r="K15" s="886">
        <f>SUM(K10:K14)</f>
        <v>0</v>
      </c>
      <c r="L15" s="887" t="e">
        <f>K15/K15</f>
        <v>#DIV/0!</v>
      </c>
      <c r="M15" s="886">
        <f>SUM(M10:M14)</f>
        <v>0</v>
      </c>
      <c r="N15" s="887" t="e">
        <f>M15/M15</f>
        <v>#DIV/0!</v>
      </c>
      <c r="O15" s="886">
        <f>SUM(O10:O14)</f>
        <v>0</v>
      </c>
      <c r="P15" s="887" t="e">
        <f>O15/O15</f>
        <v>#DIV/0!</v>
      </c>
      <c r="Q15" s="886" t="e">
        <f>SUM(Q10:Q14)</f>
        <v>#REF!</v>
      </c>
      <c r="R15" s="887" t="e">
        <f>Q15/Q15</f>
        <v>#REF!</v>
      </c>
      <c r="S15" s="886" t="e">
        <f>SUM(S10:S14)</f>
        <v>#REF!</v>
      </c>
      <c r="T15" s="887" t="e">
        <f>S15/S15</f>
        <v>#REF!</v>
      </c>
      <c r="U15" s="886" t="e">
        <f>SUM(U10:U14)</f>
        <v>#REF!</v>
      </c>
      <c r="V15" s="887" t="e">
        <f>U15/U15</f>
        <v>#REF!</v>
      </c>
      <c r="W15" s="886" t="e">
        <f>SUM(W10:W14)</f>
        <v>#REF!</v>
      </c>
      <c r="X15" s="888" t="e">
        <f>W15/W15</f>
        <v>#REF!</v>
      </c>
      <c r="Y15" s="889" t="e">
        <f t="shared" ref="Y15:Z15" si="3">SUM(Y10:Y14)</f>
        <v>#REF!</v>
      </c>
      <c r="Z15" s="889">
        <f t="shared" si="3"/>
        <v>0</v>
      </c>
      <c r="AA15" s="890" t="e">
        <f>Y15/Z15</f>
        <v>#REF!</v>
      </c>
    </row>
    <row r="16" spans="1:27" ht="15.75" customHeight="1" x14ac:dyDescent="0.25">
      <c r="A16" s="244"/>
      <c r="B16" s="282"/>
      <c r="C16" s="261"/>
      <c r="D16" s="891"/>
      <c r="E16" s="892"/>
      <c r="F16" s="891"/>
      <c r="G16" s="892"/>
      <c r="H16" s="891"/>
      <c r="I16" s="892"/>
      <c r="J16" s="893"/>
      <c r="K16" s="892"/>
      <c r="L16" s="891"/>
      <c r="M16" s="892"/>
      <c r="N16" s="891"/>
      <c r="O16" s="892"/>
      <c r="P16" s="891"/>
      <c r="Q16" s="892"/>
      <c r="R16" s="891"/>
      <c r="S16" s="892"/>
      <c r="T16" s="891"/>
      <c r="U16" s="892"/>
      <c r="V16" s="891"/>
      <c r="W16" s="892"/>
      <c r="X16" s="893"/>
      <c r="Y16" s="894"/>
      <c r="Z16" s="894"/>
      <c r="AA16" s="895"/>
    </row>
    <row r="17" spans="1:27" ht="15.75" customHeight="1" x14ac:dyDescent="0.25">
      <c r="A17" s="244"/>
      <c r="B17" s="534" t="s">
        <v>186</v>
      </c>
      <c r="C17" s="265"/>
      <c r="D17" s="896"/>
      <c r="E17" s="897"/>
      <c r="F17" s="896"/>
      <c r="G17" s="897"/>
      <c r="H17" s="896"/>
      <c r="I17" s="897"/>
      <c r="J17" s="898"/>
      <c r="K17" s="897"/>
      <c r="L17" s="896"/>
      <c r="M17" s="897"/>
      <c r="N17" s="896"/>
      <c r="O17" s="897"/>
      <c r="P17" s="896"/>
      <c r="Q17" s="897"/>
      <c r="R17" s="896"/>
      <c r="S17" s="897"/>
      <c r="T17" s="896"/>
      <c r="U17" s="897"/>
      <c r="V17" s="896"/>
      <c r="W17" s="897"/>
      <c r="X17" s="898"/>
      <c r="Y17" s="899"/>
      <c r="Z17" s="899"/>
      <c r="AA17" s="900"/>
    </row>
    <row r="18" spans="1:27" ht="15.75" customHeight="1" x14ac:dyDescent="0.25">
      <c r="A18" s="244"/>
      <c r="B18" s="263" t="s">
        <v>28</v>
      </c>
      <c r="C18" s="265"/>
      <c r="D18" s="876"/>
      <c r="E18" s="877"/>
      <c r="F18" s="876"/>
      <c r="G18" s="877"/>
      <c r="H18" s="871"/>
      <c r="I18" s="877"/>
      <c r="J18" s="901"/>
      <c r="K18" s="877"/>
      <c r="L18" s="871"/>
      <c r="M18" s="877"/>
      <c r="N18" s="871"/>
      <c r="O18" s="877"/>
      <c r="P18" s="871"/>
      <c r="Q18" s="877" t="e">
        <f>Kaspers!#REF!</f>
        <v>#REF!</v>
      </c>
      <c r="R18" s="876"/>
      <c r="S18" s="877" t="e">
        <f>Kaspers!#REF!</f>
        <v>#REF!</v>
      </c>
      <c r="T18" s="876"/>
      <c r="U18" s="877" t="e">
        <f>Kaspers!#REF!</f>
        <v>#REF!</v>
      </c>
      <c r="V18" s="871"/>
      <c r="W18" s="877" t="e">
        <f>Kaspers!#REF!</f>
        <v>#REF!</v>
      </c>
      <c r="X18" s="873" t="e">
        <f t="shared" ref="X18:X19" si="4">W18/$W$15</f>
        <v>#REF!</v>
      </c>
      <c r="Y18" s="874" t="e">
        <f t="shared" ref="Y18:Y19" si="5">C18+E18+G18+I18+K18+M18+O18+Q18+S18+U18+W18</f>
        <v>#REF!</v>
      </c>
      <c r="Z18" s="879"/>
      <c r="AA18" s="878" t="e">
        <f t="shared" ref="AA18:AA19" si="6">Y18/Z18</f>
        <v>#REF!</v>
      </c>
    </row>
    <row r="19" spans="1:27" ht="15.75" customHeight="1" x14ac:dyDescent="0.25">
      <c r="A19" s="244"/>
      <c r="B19" s="263" t="s">
        <v>29</v>
      </c>
      <c r="C19" s="265"/>
      <c r="D19" s="876"/>
      <c r="E19" s="877"/>
      <c r="F19" s="876"/>
      <c r="G19" s="877"/>
      <c r="H19" s="871"/>
      <c r="I19" s="877"/>
      <c r="J19" s="901"/>
      <c r="K19" s="877"/>
      <c r="L19" s="871"/>
      <c r="M19" s="877"/>
      <c r="N19" s="871"/>
      <c r="O19" s="877"/>
      <c r="P19" s="871"/>
      <c r="Q19" s="925">
        <v>0</v>
      </c>
      <c r="R19" s="876"/>
      <c r="S19" s="925">
        <v>0</v>
      </c>
      <c r="T19" s="876"/>
      <c r="U19" s="925">
        <v>0</v>
      </c>
      <c r="V19" s="871"/>
      <c r="W19" s="925">
        <v>0</v>
      </c>
      <c r="X19" s="873" t="e">
        <f t="shared" si="4"/>
        <v>#REF!</v>
      </c>
      <c r="Y19" s="874">
        <f t="shared" si="5"/>
        <v>0</v>
      </c>
      <c r="Z19" s="879"/>
      <c r="AA19" s="878" t="e">
        <f t="shared" si="6"/>
        <v>#DIV/0!</v>
      </c>
    </row>
    <row r="20" spans="1:27" ht="15.75" customHeight="1" x14ac:dyDescent="0.25">
      <c r="A20" s="244"/>
      <c r="B20" s="274" t="s">
        <v>365</v>
      </c>
      <c r="C20" s="276">
        <v>0</v>
      </c>
      <c r="D20" s="880" t="e">
        <f t="shared" ref="D20:D21" si="7">C20/$C$15</f>
        <v>#DIV/0!</v>
      </c>
      <c r="E20" s="882"/>
      <c r="F20" s="876" t="e">
        <f>E20/$E$15</f>
        <v>#DIV/0!</v>
      </c>
      <c r="G20" s="882"/>
      <c r="H20" s="871" t="e">
        <f>G20/$G$15</f>
        <v>#DIV/0!</v>
      </c>
      <c r="I20" s="882"/>
      <c r="J20" s="901" t="e">
        <f t="shared" ref="J20:J21" si="8">I20/$I$15</f>
        <v>#DIV/0!</v>
      </c>
      <c r="K20" s="882"/>
      <c r="L20" s="902"/>
      <c r="M20" s="882"/>
      <c r="N20" s="902"/>
      <c r="O20" s="882"/>
      <c r="P20" s="902"/>
      <c r="Q20" s="925">
        <v>0</v>
      </c>
      <c r="R20" s="902"/>
      <c r="S20" s="925">
        <v>0</v>
      </c>
      <c r="T20" s="902"/>
      <c r="U20" s="925">
        <v>0</v>
      </c>
      <c r="V20" s="902"/>
      <c r="W20" s="925">
        <v>0</v>
      </c>
      <c r="X20" s="903"/>
      <c r="Y20" s="904"/>
      <c r="Z20" s="904"/>
      <c r="AA20" s="905"/>
    </row>
    <row r="21" spans="1:27" ht="15.75" customHeight="1" x14ac:dyDescent="0.25">
      <c r="A21" s="244"/>
      <c r="B21" s="866" t="s">
        <v>30</v>
      </c>
      <c r="C21" s="886">
        <f>SUM(C18:C20)</f>
        <v>0</v>
      </c>
      <c r="D21" s="887" t="e">
        <f t="shared" si="7"/>
        <v>#DIV/0!</v>
      </c>
      <c r="E21" s="906">
        <f>SUM(E18:E20)</f>
        <v>0</v>
      </c>
      <c r="F21" s="887" t="e">
        <f>E21/E15</f>
        <v>#DIV/0!</v>
      </c>
      <c r="G21" s="906">
        <f>SUM(G18:G20)</f>
        <v>0</v>
      </c>
      <c r="H21" s="887" t="e">
        <f>G21/G15</f>
        <v>#DIV/0!</v>
      </c>
      <c r="I21" s="906">
        <f>SUM(I18:I20)</f>
        <v>0</v>
      </c>
      <c r="J21" s="888" t="e">
        <f t="shared" si="8"/>
        <v>#DIV/0!</v>
      </c>
      <c r="K21" s="906">
        <f>SUM(K18:K20)</f>
        <v>0</v>
      </c>
      <c r="L21" s="887" t="e">
        <f>K21/K15</f>
        <v>#DIV/0!</v>
      </c>
      <c r="M21" s="906">
        <f>SUM(M18:M20)</f>
        <v>0</v>
      </c>
      <c r="N21" s="887" t="e">
        <f>M21/M15</f>
        <v>#DIV/0!</v>
      </c>
      <c r="O21" s="906">
        <f>SUM(O18:O20)</f>
        <v>0</v>
      </c>
      <c r="P21" s="887" t="e">
        <f>+O21/O15</f>
        <v>#DIV/0!</v>
      </c>
      <c r="Q21" s="906" t="e">
        <f>SUM(Q18:Q20)</f>
        <v>#REF!</v>
      </c>
      <c r="R21" s="887" t="e">
        <f>Q21/Q15</f>
        <v>#REF!</v>
      </c>
      <c r="S21" s="906" t="e">
        <f>SUM(S18:S20)</f>
        <v>#REF!</v>
      </c>
      <c r="T21" s="887" t="e">
        <f>S21/S15</f>
        <v>#REF!</v>
      </c>
      <c r="U21" s="906" t="e">
        <f>SUM(U18:U20)</f>
        <v>#REF!</v>
      </c>
      <c r="V21" s="887" t="e">
        <f>U21/U15</f>
        <v>#REF!</v>
      </c>
      <c r="W21" s="906" t="e">
        <f>SUM(W18:W20)</f>
        <v>#REF!</v>
      </c>
      <c r="X21" s="888" t="e">
        <f>W21/W15</f>
        <v>#REF!</v>
      </c>
      <c r="Y21" s="889" t="e">
        <f t="shared" ref="Y21:Z21" si="9">SUM(Y18:Y20)</f>
        <v>#REF!</v>
      </c>
      <c r="Z21" s="889">
        <f t="shared" si="9"/>
        <v>0</v>
      </c>
      <c r="AA21" s="890" t="e">
        <f>Y21/Z21</f>
        <v>#REF!</v>
      </c>
    </row>
    <row r="22" spans="1:27" ht="15.75" customHeight="1" x14ac:dyDescent="0.25">
      <c r="A22" s="244"/>
      <c r="B22" s="300"/>
      <c r="C22" s="294"/>
      <c r="D22" s="907"/>
      <c r="E22" s="908"/>
      <c r="F22" s="907"/>
      <c r="G22" s="909" t="e">
        <f>#REF!</f>
        <v>#REF!</v>
      </c>
      <c r="H22" s="907"/>
      <c r="I22" s="908"/>
      <c r="J22" s="910"/>
      <c r="K22" s="908"/>
      <c r="L22" s="907"/>
      <c r="M22" s="908"/>
      <c r="N22" s="907"/>
      <c r="O22" s="908"/>
      <c r="P22" s="907"/>
      <c r="Q22" s="908"/>
      <c r="R22" s="907"/>
      <c r="S22" s="908"/>
      <c r="T22" s="907"/>
      <c r="U22" s="908"/>
      <c r="V22" s="907"/>
      <c r="W22" s="908"/>
      <c r="X22" s="910"/>
      <c r="Y22" s="911"/>
      <c r="Z22" s="911"/>
      <c r="AA22" s="912"/>
    </row>
    <row r="23" spans="1:27" ht="15.75" customHeight="1" x14ac:dyDescent="0.25">
      <c r="A23" s="244"/>
      <c r="B23" s="866" t="s">
        <v>32</v>
      </c>
      <c r="C23" s="886">
        <f>C15-C21</f>
        <v>0</v>
      </c>
      <c r="D23" s="887" t="e">
        <f>C23/$C$15</f>
        <v>#DIV/0!</v>
      </c>
      <c r="E23" s="906">
        <f>E15-E21</f>
        <v>0</v>
      </c>
      <c r="F23" s="887" t="e">
        <f>E23/E15</f>
        <v>#DIV/0!</v>
      </c>
      <c r="G23" s="906">
        <f>G15-G21</f>
        <v>0</v>
      </c>
      <c r="H23" s="913"/>
      <c r="I23" s="906">
        <f>I15-I21</f>
        <v>0</v>
      </c>
      <c r="J23" s="888" t="e">
        <f>I23/$I$15</f>
        <v>#DIV/0!</v>
      </c>
      <c r="K23" s="906">
        <f>K15-K21</f>
        <v>0</v>
      </c>
      <c r="L23" s="887" t="e">
        <f>K23/K15</f>
        <v>#DIV/0!</v>
      </c>
      <c r="M23" s="906">
        <f>M15-M21</f>
        <v>0</v>
      </c>
      <c r="N23" s="887" t="e">
        <f>M23/$M$15</f>
        <v>#DIV/0!</v>
      </c>
      <c r="O23" s="906">
        <f>O15-O21</f>
        <v>0</v>
      </c>
      <c r="P23" s="887" t="e">
        <f>O23/O15</f>
        <v>#DIV/0!</v>
      </c>
      <c r="Q23" s="906" t="e">
        <f>Q15-Q21</f>
        <v>#REF!</v>
      </c>
      <c r="R23" s="887" t="e">
        <f>Q23/Q15</f>
        <v>#REF!</v>
      </c>
      <c r="S23" s="906" t="e">
        <f>S15-S21</f>
        <v>#REF!</v>
      </c>
      <c r="T23" s="887" t="e">
        <f>S23/S15</f>
        <v>#REF!</v>
      </c>
      <c r="U23" s="906" t="e">
        <f>U15-U21</f>
        <v>#REF!</v>
      </c>
      <c r="V23" s="887" t="e">
        <f>U23/U15</f>
        <v>#REF!</v>
      </c>
      <c r="W23" s="906" t="e">
        <f>W15-W21</f>
        <v>#REF!</v>
      </c>
      <c r="X23" s="888" t="e">
        <f>W23/W15</f>
        <v>#REF!</v>
      </c>
      <c r="Y23" s="889" t="e">
        <f t="shared" ref="Y23:Z23" si="10">Y15-Y21</f>
        <v>#REF!</v>
      </c>
      <c r="Z23" s="889">
        <f t="shared" si="10"/>
        <v>0</v>
      </c>
      <c r="AA23" s="890" t="e">
        <f>Y23/Z23</f>
        <v>#REF!</v>
      </c>
    </row>
    <row r="24" spans="1:27" ht="15.75" customHeight="1" x14ac:dyDescent="0.25">
      <c r="A24" s="244"/>
      <c r="B24" s="282"/>
      <c r="C24" s="261"/>
      <c r="D24" s="891"/>
      <c r="E24" s="892"/>
      <c r="F24" s="891"/>
      <c r="G24" s="892"/>
      <c r="H24" s="891"/>
      <c r="I24" s="892"/>
      <c r="J24" s="893"/>
      <c r="K24" s="892"/>
      <c r="L24" s="891"/>
      <c r="M24" s="892"/>
      <c r="N24" s="891"/>
      <c r="O24" s="892"/>
      <c r="P24" s="891"/>
      <c r="Q24" s="892"/>
      <c r="R24" s="891"/>
      <c r="S24" s="892"/>
      <c r="T24" s="891"/>
      <c r="U24" s="892"/>
      <c r="V24" s="891"/>
      <c r="W24" s="892"/>
      <c r="X24" s="893"/>
      <c r="Y24" s="894"/>
      <c r="Z24" s="894"/>
      <c r="AA24" s="895"/>
    </row>
    <row r="25" spans="1:27" ht="15.75" customHeight="1" x14ac:dyDescent="0.25">
      <c r="A25" s="244"/>
      <c r="B25" s="263" t="s">
        <v>33</v>
      </c>
      <c r="C25" s="265"/>
      <c r="D25" s="876"/>
      <c r="E25" s="877"/>
      <c r="F25" s="876"/>
      <c r="G25" s="877"/>
      <c r="H25" s="876"/>
      <c r="I25" s="877"/>
      <c r="J25" s="901"/>
      <c r="K25" s="877"/>
      <c r="L25" s="871"/>
      <c r="M25" s="877"/>
      <c r="N25" s="871"/>
      <c r="O25" s="877"/>
      <c r="P25" s="871"/>
      <c r="Q25" s="925">
        <v>0</v>
      </c>
      <c r="R25" s="876"/>
      <c r="S25" s="914" t="e">
        <f>Kaspers!#REF!</f>
        <v>#REF!</v>
      </c>
      <c r="T25" s="926"/>
      <c r="U25" s="914" t="e">
        <f>Kaspers!#REF!</f>
        <v>#REF!</v>
      </c>
      <c r="V25" s="883"/>
      <c r="W25" s="914" t="e">
        <f>Kaspers!#REF!</f>
        <v>#REF!</v>
      </c>
      <c r="X25" s="873" t="e">
        <f t="shared" ref="X25:X40" si="11">W25/$W$15</f>
        <v>#REF!</v>
      </c>
      <c r="Y25" s="874" t="e">
        <f t="shared" ref="Y25:Y40" si="12">C25+E25+G25+I25+K25+M25+O25+Q25+S25+U25+W25</f>
        <v>#REF!</v>
      </c>
      <c r="Z25" s="879"/>
      <c r="AA25" s="878" t="e">
        <f t="shared" ref="AA25:AA37" si="13">Y25/Z25</f>
        <v>#REF!</v>
      </c>
    </row>
    <row r="26" spans="1:27" ht="15.75" customHeight="1" x14ac:dyDescent="0.25">
      <c r="A26" s="244"/>
      <c r="B26" s="263" t="s">
        <v>34</v>
      </c>
      <c r="C26" s="265"/>
      <c r="D26" s="876"/>
      <c r="E26" s="877"/>
      <c r="F26" s="876"/>
      <c r="G26" s="877"/>
      <c r="H26" s="876"/>
      <c r="I26" s="877"/>
      <c r="J26" s="901"/>
      <c r="K26" s="877"/>
      <c r="L26" s="871"/>
      <c r="M26" s="877"/>
      <c r="N26" s="871"/>
      <c r="O26" s="877"/>
      <c r="P26" s="871"/>
      <c r="Q26" s="877" t="e">
        <f>Kaspers!#REF!</f>
        <v>#REF!</v>
      </c>
      <c r="R26" s="876"/>
      <c r="S26" s="914" t="e">
        <f>Kaspers!#REF!</f>
        <v>#REF!</v>
      </c>
      <c r="T26" s="926"/>
      <c r="U26" s="914" t="e">
        <f>Kaspers!#REF!</f>
        <v>#REF!</v>
      </c>
      <c r="V26" s="883"/>
      <c r="W26" s="914" t="e">
        <f>Kaspers!#REF!</f>
        <v>#REF!</v>
      </c>
      <c r="X26" s="873" t="e">
        <f t="shared" si="11"/>
        <v>#REF!</v>
      </c>
      <c r="Y26" s="874" t="e">
        <f t="shared" si="12"/>
        <v>#REF!</v>
      </c>
      <c r="Z26" s="879"/>
      <c r="AA26" s="878" t="e">
        <f t="shared" si="13"/>
        <v>#REF!</v>
      </c>
    </row>
    <row r="27" spans="1:27" ht="15.75" customHeight="1" x14ac:dyDescent="0.25">
      <c r="A27" s="244"/>
      <c r="B27" s="263" t="s">
        <v>35</v>
      </c>
      <c r="C27" s="265"/>
      <c r="D27" s="876"/>
      <c r="E27" s="877"/>
      <c r="F27" s="876"/>
      <c r="G27" s="877"/>
      <c r="H27" s="876"/>
      <c r="I27" s="877"/>
      <c r="J27" s="901"/>
      <c r="K27" s="877"/>
      <c r="L27" s="871"/>
      <c r="M27" s="877"/>
      <c r="N27" s="871"/>
      <c r="O27" s="877"/>
      <c r="P27" s="871"/>
      <c r="Q27" s="925" t="e">
        <f>Kaspers!#REF!</f>
        <v>#REF!</v>
      </c>
      <c r="R27" s="876"/>
      <c r="S27" s="914" t="e">
        <f>Kaspers!#REF!</f>
        <v>#REF!</v>
      </c>
      <c r="T27" s="926"/>
      <c r="U27" s="914" t="e">
        <f>Kaspers!#REF!</f>
        <v>#REF!</v>
      </c>
      <c r="V27" s="883"/>
      <c r="W27" s="914" t="e">
        <f>Kaspers!#REF!</f>
        <v>#REF!</v>
      </c>
      <c r="X27" s="873" t="e">
        <f t="shared" si="11"/>
        <v>#REF!</v>
      </c>
      <c r="Y27" s="874" t="e">
        <f t="shared" si="12"/>
        <v>#REF!</v>
      </c>
      <c r="Z27" s="879"/>
      <c r="AA27" s="878" t="e">
        <f t="shared" si="13"/>
        <v>#REF!</v>
      </c>
    </row>
    <row r="28" spans="1:27" ht="15.75" customHeight="1" x14ac:dyDescent="0.25">
      <c r="A28" s="244"/>
      <c r="B28" s="263" t="s">
        <v>36</v>
      </c>
      <c r="C28" s="265"/>
      <c r="D28" s="876"/>
      <c r="E28" s="877"/>
      <c r="F28" s="876"/>
      <c r="G28" s="877"/>
      <c r="H28" s="876"/>
      <c r="I28" s="877"/>
      <c r="J28" s="901"/>
      <c r="K28" s="877"/>
      <c r="L28" s="871"/>
      <c r="M28" s="877"/>
      <c r="N28" s="871"/>
      <c r="O28" s="877"/>
      <c r="P28" s="871"/>
      <c r="Q28" s="914" t="e">
        <f>Kaspers!#REF!</f>
        <v>#REF!</v>
      </c>
      <c r="R28" s="876"/>
      <c r="S28" s="914" t="e">
        <f>Kaspers!#REF!</f>
        <v>#REF!</v>
      </c>
      <c r="T28" s="926"/>
      <c r="U28" s="914" t="e">
        <f>Kaspers!#REF!</f>
        <v>#REF!</v>
      </c>
      <c r="V28" s="883"/>
      <c r="W28" s="914" t="e">
        <f>Kaspers!#REF!</f>
        <v>#REF!</v>
      </c>
      <c r="X28" s="873" t="e">
        <f t="shared" si="11"/>
        <v>#REF!</v>
      </c>
      <c r="Y28" s="874" t="e">
        <f t="shared" si="12"/>
        <v>#REF!</v>
      </c>
      <c r="Z28" s="879"/>
      <c r="AA28" s="878" t="e">
        <f t="shared" si="13"/>
        <v>#REF!</v>
      </c>
    </row>
    <row r="29" spans="1:27" ht="15.75" customHeight="1" x14ac:dyDescent="0.25">
      <c r="A29" s="244"/>
      <c r="B29" s="263" t="s">
        <v>37</v>
      </c>
      <c r="C29" s="265"/>
      <c r="D29" s="876"/>
      <c r="E29" s="877"/>
      <c r="F29" s="876"/>
      <c r="G29" s="877"/>
      <c r="H29" s="876"/>
      <c r="I29" s="877"/>
      <c r="J29" s="901"/>
      <c r="K29" s="877"/>
      <c r="L29" s="871"/>
      <c r="M29" s="877"/>
      <c r="N29" s="871"/>
      <c r="O29" s="877"/>
      <c r="P29" s="871"/>
      <c r="Q29" s="914" t="e">
        <f>Kaspers!#REF!</f>
        <v>#REF!</v>
      </c>
      <c r="R29" s="876"/>
      <c r="S29" s="914" t="e">
        <f>Kaspers!#REF!</f>
        <v>#REF!</v>
      </c>
      <c r="T29" s="926"/>
      <c r="U29" s="914" t="e">
        <f>Kaspers!#REF!</f>
        <v>#REF!</v>
      </c>
      <c r="V29" s="883"/>
      <c r="W29" s="914" t="e">
        <f>Kaspers!#REF!</f>
        <v>#REF!</v>
      </c>
      <c r="X29" s="873" t="e">
        <f t="shared" si="11"/>
        <v>#REF!</v>
      </c>
      <c r="Y29" s="874" t="e">
        <f t="shared" si="12"/>
        <v>#REF!</v>
      </c>
      <c r="Z29" s="879"/>
      <c r="AA29" s="878" t="e">
        <f t="shared" si="13"/>
        <v>#REF!</v>
      </c>
    </row>
    <row r="30" spans="1:27" ht="15.75" customHeight="1" x14ac:dyDescent="0.25">
      <c r="A30" s="244"/>
      <c r="B30" s="263" t="s">
        <v>38</v>
      </c>
      <c r="C30" s="265"/>
      <c r="D30" s="876"/>
      <c r="E30" s="877"/>
      <c r="F30" s="876"/>
      <c r="G30" s="877"/>
      <c r="H30" s="876"/>
      <c r="I30" s="877"/>
      <c r="J30" s="901"/>
      <c r="K30" s="877"/>
      <c r="L30" s="871"/>
      <c r="M30" s="877"/>
      <c r="N30" s="871"/>
      <c r="O30" s="877"/>
      <c r="P30" s="871"/>
      <c r="Q30" s="914" t="e">
        <f>Kaspers!#REF!</f>
        <v>#REF!</v>
      </c>
      <c r="R30" s="926"/>
      <c r="S30" s="914" t="e">
        <f>Kaspers!#REF!</f>
        <v>#REF!</v>
      </c>
      <c r="T30" s="926"/>
      <c r="U30" s="914" t="e">
        <f>Kaspers!#REF!</f>
        <v>#REF!</v>
      </c>
      <c r="V30" s="883"/>
      <c r="W30" s="914" t="e">
        <f>Kaspers!#REF!</f>
        <v>#REF!</v>
      </c>
      <c r="X30" s="927" t="e">
        <f t="shared" si="11"/>
        <v>#REF!</v>
      </c>
      <c r="Y30" s="928" t="e">
        <f t="shared" si="12"/>
        <v>#REF!</v>
      </c>
      <c r="Z30" s="879"/>
      <c r="AA30" s="878" t="e">
        <f t="shared" si="13"/>
        <v>#REF!</v>
      </c>
    </row>
    <row r="31" spans="1:27" ht="15.75" customHeight="1" x14ac:dyDescent="0.25">
      <c r="A31" s="244"/>
      <c r="B31" s="263" t="s">
        <v>39</v>
      </c>
      <c r="C31" s="265"/>
      <c r="D31" s="876"/>
      <c r="E31" s="877"/>
      <c r="F31" s="876"/>
      <c r="G31" s="877"/>
      <c r="H31" s="876"/>
      <c r="I31" s="877"/>
      <c r="J31" s="901"/>
      <c r="K31" s="877"/>
      <c r="L31" s="871"/>
      <c r="M31" s="877"/>
      <c r="N31" s="871"/>
      <c r="O31" s="877"/>
      <c r="P31" s="871"/>
      <c r="Q31" s="914" t="e">
        <f>Kaspers!#REF!</f>
        <v>#REF!</v>
      </c>
      <c r="R31" s="926"/>
      <c r="S31" s="914" t="e">
        <f>Kaspers!#REF!</f>
        <v>#REF!</v>
      </c>
      <c r="T31" s="926"/>
      <c r="U31" s="914" t="e">
        <f>Kaspers!#REF!</f>
        <v>#REF!</v>
      </c>
      <c r="V31" s="883"/>
      <c r="W31" s="914" t="e">
        <f>Kaspers!#REF!</f>
        <v>#REF!</v>
      </c>
      <c r="X31" s="927" t="e">
        <f t="shared" si="11"/>
        <v>#REF!</v>
      </c>
      <c r="Y31" s="928" t="e">
        <f t="shared" si="12"/>
        <v>#REF!</v>
      </c>
      <c r="Z31" s="879"/>
      <c r="AA31" s="878" t="e">
        <f t="shared" si="13"/>
        <v>#REF!</v>
      </c>
    </row>
    <row r="32" spans="1:27" ht="15.75" customHeight="1" x14ac:dyDescent="0.25">
      <c r="A32" s="244"/>
      <c r="B32" s="263" t="s">
        <v>40</v>
      </c>
      <c r="C32" s="265"/>
      <c r="D32" s="876"/>
      <c r="E32" s="877"/>
      <c r="F32" s="876"/>
      <c r="G32" s="877"/>
      <c r="H32" s="876"/>
      <c r="I32" s="877"/>
      <c r="J32" s="901"/>
      <c r="K32" s="877"/>
      <c r="L32" s="871"/>
      <c r="M32" s="877"/>
      <c r="N32" s="871"/>
      <c r="O32" s="877"/>
      <c r="P32" s="871"/>
      <c r="Q32" s="914" t="e">
        <f>Kaspers!#REF!</f>
        <v>#REF!</v>
      </c>
      <c r="R32" s="926"/>
      <c r="S32" s="914" t="e">
        <f>Kaspers!#REF!</f>
        <v>#REF!</v>
      </c>
      <c r="T32" s="926"/>
      <c r="U32" s="914" t="e">
        <f>Kaspers!#REF!</f>
        <v>#REF!</v>
      </c>
      <c r="V32" s="883"/>
      <c r="W32" s="914" t="e">
        <f>Kaspers!#REF!</f>
        <v>#REF!</v>
      </c>
      <c r="X32" s="927" t="e">
        <f t="shared" si="11"/>
        <v>#REF!</v>
      </c>
      <c r="Y32" s="928" t="e">
        <f t="shared" si="12"/>
        <v>#REF!</v>
      </c>
      <c r="Z32" s="879"/>
      <c r="AA32" s="878" t="e">
        <f t="shared" si="13"/>
        <v>#REF!</v>
      </c>
    </row>
    <row r="33" spans="1:27" ht="15.75" customHeight="1" x14ac:dyDescent="0.25">
      <c r="A33" s="244"/>
      <c r="B33" s="263" t="s">
        <v>421</v>
      </c>
      <c r="C33" s="265"/>
      <c r="D33" s="876"/>
      <c r="E33" s="877"/>
      <c r="F33" s="876"/>
      <c r="G33" s="877"/>
      <c r="H33" s="876"/>
      <c r="I33" s="877"/>
      <c r="J33" s="901"/>
      <c r="K33" s="877"/>
      <c r="L33" s="871"/>
      <c r="M33" s="877"/>
      <c r="N33" s="871"/>
      <c r="O33" s="877"/>
      <c r="P33" s="871"/>
      <c r="Q33" s="914" t="e">
        <f>Kaspers!#REF!+Kaspers!#REF!</f>
        <v>#REF!</v>
      </c>
      <c r="R33" s="926"/>
      <c r="S33" s="914" t="e">
        <f>Kaspers!#REF!+Kaspers!#REF!</f>
        <v>#REF!</v>
      </c>
      <c r="T33" s="926"/>
      <c r="U33" s="914" t="e">
        <f>Kaspers!#REF!+Kaspers!#REF!</f>
        <v>#REF!</v>
      </c>
      <c r="V33" s="883"/>
      <c r="W33" s="914" t="e">
        <f>Kaspers!#REF!+Kaspers!#REF!</f>
        <v>#REF!</v>
      </c>
      <c r="X33" s="927" t="e">
        <f t="shared" si="11"/>
        <v>#REF!</v>
      </c>
      <c r="Y33" s="928" t="e">
        <f t="shared" si="12"/>
        <v>#REF!</v>
      </c>
      <c r="Z33" s="879"/>
      <c r="AA33" s="878" t="e">
        <f t="shared" si="13"/>
        <v>#REF!</v>
      </c>
    </row>
    <row r="34" spans="1:27" ht="15.75" customHeight="1" x14ac:dyDescent="0.25">
      <c r="A34" s="244"/>
      <c r="B34" s="263" t="s">
        <v>249</v>
      </c>
      <c r="C34" s="265"/>
      <c r="D34" s="876"/>
      <c r="E34" s="877"/>
      <c r="F34" s="876"/>
      <c r="G34" s="877"/>
      <c r="H34" s="876"/>
      <c r="I34" s="877"/>
      <c r="J34" s="901"/>
      <c r="K34" s="877"/>
      <c r="L34" s="871"/>
      <c r="M34" s="877"/>
      <c r="N34" s="871"/>
      <c r="O34" s="877"/>
      <c r="P34" s="871"/>
      <c r="Q34" s="914" t="e">
        <f>Kaspers!#REF!</f>
        <v>#REF!</v>
      </c>
      <c r="R34" s="926"/>
      <c r="S34" s="914" t="e">
        <f>Kaspers!#REF!</f>
        <v>#REF!</v>
      </c>
      <c r="T34" s="926"/>
      <c r="U34" s="914">
        <v>0</v>
      </c>
      <c r="V34" s="883"/>
      <c r="W34" s="914">
        <v>0</v>
      </c>
      <c r="X34" s="927" t="e">
        <f t="shared" si="11"/>
        <v>#REF!</v>
      </c>
      <c r="Y34" s="928" t="e">
        <f t="shared" si="12"/>
        <v>#REF!</v>
      </c>
      <c r="Z34" s="879"/>
      <c r="AA34" s="878" t="e">
        <f t="shared" si="13"/>
        <v>#REF!</v>
      </c>
    </row>
    <row r="35" spans="1:27" ht="15.75" customHeight="1" x14ac:dyDescent="0.25">
      <c r="A35" s="244"/>
      <c r="B35" s="263" t="s">
        <v>250</v>
      </c>
      <c r="C35" s="265"/>
      <c r="D35" s="876"/>
      <c r="E35" s="877"/>
      <c r="F35" s="876"/>
      <c r="G35" s="877"/>
      <c r="H35" s="876"/>
      <c r="I35" s="877"/>
      <c r="J35" s="901"/>
      <c r="K35" s="877"/>
      <c r="L35" s="871"/>
      <c r="M35" s="877"/>
      <c r="N35" s="871"/>
      <c r="O35" s="877"/>
      <c r="P35" s="871"/>
      <c r="Q35" s="914" t="e">
        <f>Kaspers!#REF!</f>
        <v>#REF!</v>
      </c>
      <c r="R35" s="926"/>
      <c r="S35" s="914" t="e">
        <f>Kaspers!#REF!</f>
        <v>#REF!</v>
      </c>
      <c r="T35" s="926"/>
      <c r="U35" s="914" t="e">
        <f>Kaspers!#REF!</f>
        <v>#REF!</v>
      </c>
      <c r="V35" s="883"/>
      <c r="W35" s="914" t="e">
        <f>Kaspers!#REF!</f>
        <v>#REF!</v>
      </c>
      <c r="X35" s="927" t="e">
        <f t="shared" si="11"/>
        <v>#REF!</v>
      </c>
      <c r="Y35" s="928" t="e">
        <f t="shared" si="12"/>
        <v>#REF!</v>
      </c>
      <c r="Z35" s="879"/>
      <c r="AA35" s="878" t="e">
        <f t="shared" si="13"/>
        <v>#REF!</v>
      </c>
    </row>
    <row r="36" spans="1:27" ht="15.75" customHeight="1" x14ac:dyDescent="0.25">
      <c r="A36" s="244"/>
      <c r="B36" s="263" t="s">
        <v>252</v>
      </c>
      <c r="C36" s="265"/>
      <c r="D36" s="876"/>
      <c r="E36" s="877"/>
      <c r="F36" s="876"/>
      <c r="G36" s="877"/>
      <c r="H36" s="876"/>
      <c r="I36" s="877"/>
      <c r="J36" s="901"/>
      <c r="K36" s="877"/>
      <c r="L36" s="871"/>
      <c r="M36" s="877"/>
      <c r="N36" s="871"/>
      <c r="O36" s="877"/>
      <c r="P36" s="871"/>
      <c r="Q36" s="914">
        <v>0</v>
      </c>
      <c r="R36" s="926"/>
      <c r="S36" s="914">
        <v>0</v>
      </c>
      <c r="T36" s="926"/>
      <c r="U36" s="914">
        <v>0</v>
      </c>
      <c r="V36" s="883"/>
      <c r="W36" s="914">
        <v>0</v>
      </c>
      <c r="X36" s="927" t="e">
        <f t="shared" si="11"/>
        <v>#REF!</v>
      </c>
      <c r="Y36" s="928">
        <f t="shared" si="12"/>
        <v>0</v>
      </c>
      <c r="Z36" s="879"/>
      <c r="AA36" s="878" t="e">
        <f t="shared" si="13"/>
        <v>#DIV/0!</v>
      </c>
    </row>
    <row r="37" spans="1:27" ht="15.75" customHeight="1" x14ac:dyDescent="0.25">
      <c r="A37" s="244"/>
      <c r="B37" s="263" t="s">
        <v>280</v>
      </c>
      <c r="C37" s="265"/>
      <c r="D37" s="876"/>
      <c r="E37" s="877"/>
      <c r="F37" s="876"/>
      <c r="G37" s="877"/>
      <c r="H37" s="876"/>
      <c r="I37" s="877"/>
      <c r="J37" s="901"/>
      <c r="K37" s="877"/>
      <c r="L37" s="871"/>
      <c r="M37" s="877"/>
      <c r="N37" s="871"/>
      <c r="O37" s="877"/>
      <c r="P37" s="871"/>
      <c r="Q37" s="914">
        <v>0</v>
      </c>
      <c r="R37" s="926"/>
      <c r="S37" s="914">
        <v>0</v>
      </c>
      <c r="T37" s="926"/>
      <c r="U37" s="914">
        <v>0</v>
      </c>
      <c r="V37" s="883"/>
      <c r="W37" s="914">
        <v>0</v>
      </c>
      <c r="X37" s="927" t="e">
        <f t="shared" si="11"/>
        <v>#REF!</v>
      </c>
      <c r="Y37" s="928">
        <f t="shared" si="12"/>
        <v>0</v>
      </c>
      <c r="Z37" s="879"/>
      <c r="AA37" s="878" t="e">
        <f t="shared" si="13"/>
        <v>#DIV/0!</v>
      </c>
    </row>
    <row r="38" spans="1:27" ht="15.75" customHeight="1" x14ac:dyDescent="0.25">
      <c r="A38" s="244"/>
      <c r="B38" s="263" t="s">
        <v>422</v>
      </c>
      <c r="C38" s="265"/>
      <c r="D38" s="876"/>
      <c r="E38" s="877"/>
      <c r="F38" s="876"/>
      <c r="G38" s="914"/>
      <c r="H38" s="876"/>
      <c r="I38" s="877"/>
      <c r="J38" s="901"/>
      <c r="K38" s="877"/>
      <c r="L38" s="871"/>
      <c r="M38" s="877"/>
      <c r="N38" s="871"/>
      <c r="O38" s="877"/>
      <c r="P38" s="871"/>
      <c r="Q38" s="914">
        <v>0</v>
      </c>
      <c r="R38" s="926"/>
      <c r="S38" s="914">
        <v>0</v>
      </c>
      <c r="T38" s="926"/>
      <c r="U38" s="914">
        <v>0</v>
      </c>
      <c r="V38" s="883"/>
      <c r="W38" s="914" t="e">
        <f>Kaspers!#REF!</f>
        <v>#REF!</v>
      </c>
      <c r="X38" s="927" t="e">
        <f t="shared" si="11"/>
        <v>#REF!</v>
      </c>
      <c r="Y38" s="928" t="e">
        <f t="shared" si="12"/>
        <v>#REF!</v>
      </c>
      <c r="Z38" s="915"/>
      <c r="AA38" s="878">
        <v>0</v>
      </c>
    </row>
    <row r="39" spans="1:27" ht="15.75" customHeight="1" x14ac:dyDescent="0.25">
      <c r="A39" s="244"/>
      <c r="B39" s="263" t="s">
        <v>41</v>
      </c>
      <c r="C39" s="265"/>
      <c r="D39" s="876"/>
      <c r="E39" s="914"/>
      <c r="F39" s="876"/>
      <c r="G39" s="914"/>
      <c r="H39" s="876"/>
      <c r="I39" s="914"/>
      <c r="J39" s="901"/>
      <c r="K39" s="914"/>
      <c r="L39" s="871"/>
      <c r="M39" s="914"/>
      <c r="N39" s="871"/>
      <c r="O39" s="914"/>
      <c r="P39" s="871"/>
      <c r="Q39" s="914">
        <v>0</v>
      </c>
      <c r="R39" s="883"/>
      <c r="S39" s="914" t="e">
        <f>Kaspers!#REF!+Kaspers!#REF!</f>
        <v>#REF!</v>
      </c>
      <c r="T39" s="926"/>
      <c r="U39" s="914">
        <v>0</v>
      </c>
      <c r="V39" s="883"/>
      <c r="W39" s="914"/>
      <c r="X39" s="927" t="e">
        <f t="shared" si="11"/>
        <v>#REF!</v>
      </c>
      <c r="Y39" s="928" t="e">
        <f t="shared" si="12"/>
        <v>#REF!</v>
      </c>
      <c r="Z39" s="915"/>
      <c r="AA39" s="878">
        <v>0</v>
      </c>
    </row>
    <row r="40" spans="1:27" ht="15.75" customHeight="1" x14ac:dyDescent="0.25">
      <c r="A40" s="244"/>
      <c r="B40" s="274" t="s">
        <v>42</v>
      </c>
      <c r="C40" s="276"/>
      <c r="D40" s="880"/>
      <c r="E40" s="881"/>
      <c r="F40" s="876"/>
      <c r="G40" s="881"/>
      <c r="H40" s="876"/>
      <c r="I40" s="881"/>
      <c r="J40" s="901"/>
      <c r="K40" s="881"/>
      <c r="L40" s="871"/>
      <c r="M40" s="881"/>
      <c r="N40" s="871"/>
      <c r="O40" s="881"/>
      <c r="P40" s="871"/>
      <c r="Q40" s="881">
        <v>0</v>
      </c>
      <c r="R40" s="883"/>
      <c r="S40" s="881">
        <v>0</v>
      </c>
      <c r="T40" s="926"/>
      <c r="U40" s="914">
        <v>0</v>
      </c>
      <c r="V40" s="883"/>
      <c r="W40" s="881"/>
      <c r="X40" s="927" t="e">
        <f t="shared" si="11"/>
        <v>#REF!</v>
      </c>
      <c r="Y40" s="928">
        <f t="shared" si="12"/>
        <v>0</v>
      </c>
      <c r="Z40" s="916"/>
      <c r="AA40" s="878">
        <v>0</v>
      </c>
    </row>
    <row r="41" spans="1:27" ht="15.75" customHeight="1" x14ac:dyDescent="0.25">
      <c r="A41" s="244"/>
      <c r="B41" s="866" t="s">
        <v>43</v>
      </c>
      <c r="C41" s="886">
        <f>SUM(C25:C40)</f>
        <v>0</v>
      </c>
      <c r="D41" s="887" t="e">
        <f>C41/$C$15</f>
        <v>#DIV/0!</v>
      </c>
      <c r="E41" s="906">
        <f>SUM(E25:E40)</f>
        <v>0</v>
      </c>
      <c r="F41" s="887" t="e">
        <f>E41/E15</f>
        <v>#DIV/0!</v>
      </c>
      <c r="G41" s="906">
        <f>SUM(G25:G40)</f>
        <v>0</v>
      </c>
      <c r="H41" s="888" t="e">
        <f>G41/G15</f>
        <v>#DIV/0!</v>
      </c>
      <c r="I41" s="906">
        <f>SUM(I25:I40)</f>
        <v>0</v>
      </c>
      <c r="J41" s="888" t="e">
        <f>I41/I15</f>
        <v>#DIV/0!</v>
      </c>
      <c r="K41" s="906">
        <f>SUM(K25:K40)</f>
        <v>0</v>
      </c>
      <c r="L41" s="913"/>
      <c r="M41" s="906">
        <f>SUM(M25:M40)</f>
        <v>0</v>
      </c>
      <c r="N41" s="887" t="e">
        <f>M41/$M$15</f>
        <v>#DIV/0!</v>
      </c>
      <c r="O41" s="906">
        <f>SUM(O25:O40)</f>
        <v>0</v>
      </c>
      <c r="P41" s="887" t="e">
        <f>O41/O15</f>
        <v>#DIV/0!</v>
      </c>
      <c r="Q41" s="906" t="e">
        <f>SUM(Q25:Q40)</f>
        <v>#REF!</v>
      </c>
      <c r="R41" s="887" t="e">
        <f>Q41/Q15</f>
        <v>#REF!</v>
      </c>
      <c r="S41" s="906" t="e">
        <f>SUM(S25:S40)</f>
        <v>#REF!</v>
      </c>
      <c r="T41" s="887" t="e">
        <f>S41/S15</f>
        <v>#REF!</v>
      </c>
      <c r="U41" s="906" t="e">
        <f>SUM(U25:U40)</f>
        <v>#REF!</v>
      </c>
      <c r="V41" s="887" t="e">
        <f>U41/U15</f>
        <v>#REF!</v>
      </c>
      <c r="W41" s="906" t="e">
        <f>SUM(W25:W40)</f>
        <v>#REF!</v>
      </c>
      <c r="X41" s="888" t="e">
        <f>W41/W15</f>
        <v>#REF!</v>
      </c>
      <c r="Y41" s="889" t="e">
        <f t="shared" ref="Y41:Z41" si="14">SUM(Y25:Y40)</f>
        <v>#REF!</v>
      </c>
      <c r="Z41" s="889">
        <f t="shared" si="14"/>
        <v>0</v>
      </c>
      <c r="AA41" s="890" t="e">
        <f>Y41/Z41</f>
        <v>#REF!</v>
      </c>
    </row>
    <row r="42" spans="1:27" ht="15.75" customHeight="1" x14ac:dyDescent="0.25">
      <c r="A42" s="244"/>
      <c r="B42" s="300"/>
      <c r="C42" s="294"/>
      <c r="D42" s="907"/>
      <c r="E42" s="908"/>
      <c r="F42" s="907"/>
      <c r="G42" s="908"/>
      <c r="H42" s="907"/>
      <c r="I42" s="917"/>
      <c r="J42" s="918"/>
      <c r="K42" s="908"/>
      <c r="L42" s="907"/>
      <c r="M42" s="908"/>
      <c r="N42" s="907"/>
      <c r="O42" s="908"/>
      <c r="P42" s="907"/>
      <c r="Q42" s="908"/>
      <c r="R42" s="907"/>
      <c r="S42" s="908"/>
      <c r="T42" s="907"/>
      <c r="U42" s="908"/>
      <c r="V42" s="907"/>
      <c r="W42" s="917"/>
      <c r="X42" s="918"/>
      <c r="Y42" s="911"/>
      <c r="Z42" s="911"/>
      <c r="AA42" s="912"/>
    </row>
    <row r="43" spans="1:27" ht="15.75" customHeight="1" x14ac:dyDescent="0.25">
      <c r="A43" s="244"/>
      <c r="B43" s="866" t="s">
        <v>44</v>
      </c>
      <c r="C43" s="886">
        <f>C23-C41</f>
        <v>0</v>
      </c>
      <c r="D43" s="887" t="e">
        <f>C43/$C$15</f>
        <v>#DIV/0!</v>
      </c>
      <c r="E43" s="906">
        <f>E23-E41</f>
        <v>0</v>
      </c>
      <c r="F43" s="887" t="e">
        <f>E43/E15</f>
        <v>#DIV/0!</v>
      </c>
      <c r="G43" s="906">
        <f>G23-G41</f>
        <v>0</v>
      </c>
      <c r="H43" s="888" t="e">
        <f>G43/G15</f>
        <v>#DIV/0!</v>
      </c>
      <c r="I43" s="919">
        <f>I23-I41</f>
        <v>0</v>
      </c>
      <c r="J43" s="888" t="e">
        <f>I43/I15</f>
        <v>#DIV/0!</v>
      </c>
      <c r="K43" s="906">
        <f>K23-K41</f>
        <v>0</v>
      </c>
      <c r="L43" s="913"/>
      <c r="M43" s="906">
        <f>M23-M41</f>
        <v>0</v>
      </c>
      <c r="N43" s="887" t="e">
        <f>M43/$M$15</f>
        <v>#DIV/0!</v>
      </c>
      <c r="O43" s="906">
        <f>O23-O41</f>
        <v>0</v>
      </c>
      <c r="P43" s="887" t="e">
        <f>O43/O15</f>
        <v>#DIV/0!</v>
      </c>
      <c r="Q43" s="906" t="e">
        <f>Q23-Q41</f>
        <v>#REF!</v>
      </c>
      <c r="R43" s="887" t="e">
        <f>Q43/Q15</f>
        <v>#REF!</v>
      </c>
      <c r="S43" s="906" t="e">
        <f>S23-S41</f>
        <v>#REF!</v>
      </c>
      <c r="T43" s="887" t="e">
        <f>S43/S15</f>
        <v>#REF!</v>
      </c>
      <c r="U43" s="906" t="e">
        <f>U23-U41</f>
        <v>#REF!</v>
      </c>
      <c r="V43" s="887" t="e">
        <f>U43/U15</f>
        <v>#REF!</v>
      </c>
      <c r="W43" s="906" t="e">
        <f>W23-W41</f>
        <v>#REF!</v>
      </c>
      <c r="X43" s="887" t="e">
        <f>W43/W15</f>
        <v>#REF!</v>
      </c>
      <c r="Y43" s="889" t="e">
        <f t="shared" ref="Y43:Z43" si="15">Y23-Y41</f>
        <v>#REF!</v>
      </c>
      <c r="Z43" s="889">
        <f t="shared" si="15"/>
        <v>0</v>
      </c>
      <c r="AA43" s="890" t="e">
        <f>Y43/Z43</f>
        <v>#REF!</v>
      </c>
    </row>
    <row r="44" spans="1:27" ht="15.75" customHeight="1" x14ac:dyDescent="0.25">
      <c r="A44" s="244"/>
      <c r="B44" s="244"/>
      <c r="C44" s="863"/>
      <c r="D44" s="863"/>
      <c r="E44" s="863"/>
      <c r="F44" s="863"/>
      <c r="G44" s="863"/>
      <c r="H44" s="863"/>
      <c r="I44" s="863"/>
      <c r="J44" s="863"/>
      <c r="K44" s="863"/>
      <c r="L44" s="863"/>
      <c r="M44" s="863"/>
      <c r="N44" s="863"/>
      <c r="O44" s="863"/>
      <c r="P44" s="863"/>
      <c r="Q44" s="863"/>
      <c r="R44" s="863"/>
      <c r="S44" s="863"/>
      <c r="T44" s="863"/>
      <c r="U44" s="863"/>
      <c r="V44" s="863"/>
      <c r="W44" s="863"/>
      <c r="X44" s="863"/>
      <c r="Y44" s="864"/>
      <c r="Z44" s="864"/>
      <c r="AA44" s="863"/>
    </row>
    <row r="45" spans="1:27" ht="15.75" customHeight="1" x14ac:dyDescent="0.25">
      <c r="A45" s="244"/>
      <c r="B45" s="244"/>
      <c r="C45" s="920"/>
      <c r="D45" s="920"/>
      <c r="E45" s="920"/>
      <c r="F45" s="920"/>
      <c r="G45" s="920"/>
      <c r="H45" s="920"/>
      <c r="I45" s="920"/>
      <c r="J45" s="920"/>
      <c r="K45" s="920"/>
      <c r="L45" s="920"/>
      <c r="M45" s="920"/>
      <c r="N45" s="920"/>
      <c r="O45" s="920"/>
      <c r="P45" s="920"/>
      <c r="Q45" s="920" t="e">
        <f>Kaspers!#REF!</f>
        <v>#REF!</v>
      </c>
      <c r="R45" s="920"/>
      <c r="S45" s="920" t="e">
        <f>Kaspers!#REF!</f>
        <v>#REF!</v>
      </c>
      <c r="T45" s="920"/>
      <c r="U45" s="920" t="e">
        <f>Kaspers!#REF!</f>
        <v>#REF!</v>
      </c>
      <c r="V45" s="920"/>
      <c r="W45" s="920" t="e">
        <f>Kaspers!#REF!</f>
        <v>#REF!</v>
      </c>
      <c r="X45" s="920"/>
      <c r="Y45" s="921"/>
      <c r="Z45" s="921"/>
      <c r="AA45" s="920"/>
    </row>
    <row r="46" spans="1:27" ht="15.75" customHeight="1" x14ac:dyDescent="0.25">
      <c r="A46" s="244"/>
      <c r="B46" s="244"/>
      <c r="C46" s="922">
        <f>+C43-C45</f>
        <v>0</v>
      </c>
      <c r="D46" s="863"/>
      <c r="E46" s="922">
        <f>+E43-E45</f>
        <v>0</v>
      </c>
      <c r="F46" s="863"/>
      <c r="G46" s="922">
        <f>+G43-G45</f>
        <v>0</v>
      </c>
      <c r="H46" s="863"/>
      <c r="I46" s="922">
        <f>+I43-I45</f>
        <v>0</v>
      </c>
      <c r="J46" s="863"/>
      <c r="K46" s="922">
        <f>+K43-K45</f>
        <v>0</v>
      </c>
      <c r="L46" s="863"/>
      <c r="M46" s="920">
        <f>+M43-M45</f>
        <v>0</v>
      </c>
      <c r="N46" s="863"/>
      <c r="O46" s="920">
        <f>+O43-O45</f>
        <v>0</v>
      </c>
      <c r="P46" s="863"/>
      <c r="Q46" s="920" t="e">
        <f>+Q43-Q45</f>
        <v>#REF!</v>
      </c>
      <c r="R46" s="863"/>
      <c r="S46" s="920" t="e">
        <f>+S43-S45</f>
        <v>#REF!</v>
      </c>
      <c r="T46" s="863"/>
      <c r="U46" s="920" t="e">
        <f>+U43-U45</f>
        <v>#REF!</v>
      </c>
      <c r="V46" s="863"/>
      <c r="W46" s="920" t="e">
        <f>+W43-W45</f>
        <v>#REF!</v>
      </c>
      <c r="X46" s="863"/>
      <c r="Y46" s="923"/>
      <c r="Z46" s="864"/>
      <c r="AA46" s="863"/>
    </row>
    <row r="47" spans="1:27" ht="15.75" customHeight="1" x14ac:dyDescent="0.25">
      <c r="A47" s="244"/>
      <c r="B47" s="244"/>
      <c r="C47" s="863"/>
      <c r="D47" s="863"/>
      <c r="E47" s="863"/>
      <c r="F47" s="863"/>
      <c r="G47" s="863"/>
      <c r="H47" s="863"/>
      <c r="I47" s="863"/>
      <c r="J47" s="863"/>
      <c r="K47" s="863"/>
      <c r="L47" s="863"/>
      <c r="M47" s="863"/>
      <c r="N47" s="863"/>
      <c r="O47" s="863"/>
      <c r="P47" s="863"/>
      <c r="Q47" s="863"/>
      <c r="R47" s="863"/>
      <c r="S47" s="863"/>
      <c r="T47" s="863"/>
      <c r="U47" s="863"/>
      <c r="V47" s="863"/>
      <c r="W47" s="863"/>
      <c r="X47" s="863"/>
      <c r="Y47" s="864"/>
      <c r="Z47" s="864"/>
      <c r="AA47" s="863"/>
    </row>
    <row r="48" spans="1:27" ht="15.75" customHeight="1" x14ac:dyDescent="0.25">
      <c r="A48" s="244"/>
      <c r="B48" s="244"/>
      <c r="C48" s="863"/>
      <c r="D48" s="863"/>
      <c r="E48" s="863"/>
      <c r="F48" s="863"/>
      <c r="G48" s="863"/>
      <c r="H48" s="863"/>
      <c r="I48" s="863"/>
      <c r="J48" s="863"/>
      <c r="K48" s="863"/>
      <c r="L48" s="863"/>
      <c r="M48" s="863"/>
      <c r="N48" s="863"/>
      <c r="O48" s="863"/>
      <c r="P48" s="863"/>
      <c r="Q48" s="863"/>
      <c r="R48" s="863"/>
      <c r="S48" s="863"/>
      <c r="T48" s="863"/>
      <c r="U48" s="863"/>
      <c r="V48" s="863"/>
      <c r="W48" s="863"/>
      <c r="X48" s="863"/>
      <c r="Y48" s="864"/>
      <c r="Z48" s="864"/>
      <c r="AA48" s="863"/>
    </row>
    <row r="49" spans="1:27" ht="15.75" customHeight="1" x14ac:dyDescent="0.25">
      <c r="A49" s="244"/>
      <c r="B49" s="244"/>
      <c r="C49" s="863"/>
      <c r="D49" s="863"/>
      <c r="E49" s="863"/>
      <c r="F49" s="863"/>
      <c r="G49" s="863"/>
      <c r="H49" s="863"/>
      <c r="I49" s="863"/>
      <c r="J49" s="863"/>
      <c r="K49" s="863"/>
      <c r="L49" s="863"/>
      <c r="M49" s="863"/>
      <c r="N49" s="863"/>
      <c r="O49" s="863"/>
      <c r="P49" s="863"/>
      <c r="Q49" s="863"/>
      <c r="R49" s="863"/>
      <c r="S49" s="863"/>
      <c r="T49" s="863"/>
      <c r="U49" s="863"/>
      <c r="V49" s="863"/>
      <c r="W49" s="863"/>
      <c r="X49" s="863"/>
      <c r="Y49" s="864"/>
      <c r="Z49" s="864"/>
      <c r="AA49" s="863"/>
    </row>
    <row r="50" spans="1:27" ht="15.75" customHeight="1" x14ac:dyDescent="0.25">
      <c r="A50" s="244"/>
      <c r="B50" s="244"/>
      <c r="C50" s="863"/>
      <c r="D50" s="863"/>
      <c r="E50" s="863"/>
      <c r="F50" s="863"/>
      <c r="G50" s="863"/>
      <c r="H50" s="863"/>
      <c r="I50" s="863"/>
      <c r="J50" s="863"/>
      <c r="K50" s="863"/>
      <c r="L50" s="863"/>
      <c r="M50" s="863"/>
      <c r="N50" s="863"/>
      <c r="O50" s="863"/>
      <c r="P50" s="863"/>
      <c r="Q50" s="863"/>
      <c r="R50" s="863"/>
      <c r="S50" s="863"/>
      <c r="T50" s="863"/>
      <c r="U50" s="863"/>
      <c r="V50" s="863"/>
      <c r="W50" s="863"/>
      <c r="X50" s="863"/>
      <c r="Y50" s="864"/>
      <c r="Z50" s="864"/>
      <c r="AA50" s="863"/>
    </row>
    <row r="51" spans="1:27" ht="15.75" customHeight="1" x14ac:dyDescent="0.25">
      <c r="A51" s="244"/>
      <c r="B51" s="244"/>
      <c r="C51" s="863"/>
      <c r="D51" s="863"/>
      <c r="E51" s="863"/>
      <c r="F51" s="863"/>
      <c r="G51" s="863"/>
      <c r="H51" s="863"/>
      <c r="I51" s="863"/>
      <c r="J51" s="863"/>
      <c r="K51" s="863"/>
      <c r="L51" s="863"/>
      <c r="M51" s="863"/>
      <c r="N51" s="863"/>
      <c r="O51" s="863"/>
      <c r="P51" s="863"/>
      <c r="Q51" s="863"/>
      <c r="R51" s="863"/>
      <c r="S51" s="863"/>
      <c r="T51" s="863"/>
      <c r="U51" s="863"/>
      <c r="V51" s="863"/>
      <c r="W51" s="863"/>
      <c r="X51" s="863"/>
      <c r="Y51" s="864"/>
      <c r="Z51" s="864"/>
      <c r="AA51" s="863"/>
    </row>
    <row r="52" spans="1:27" ht="15.75" customHeight="1" x14ac:dyDescent="0.25">
      <c r="A52" s="244"/>
      <c r="B52" s="244"/>
      <c r="C52" s="863"/>
      <c r="D52" s="863"/>
      <c r="E52" s="863"/>
      <c r="F52" s="863"/>
      <c r="G52" s="863"/>
      <c r="H52" s="863"/>
      <c r="I52" s="863"/>
      <c r="J52" s="863"/>
      <c r="K52" s="863"/>
      <c r="L52" s="863"/>
      <c r="M52" s="863"/>
      <c r="N52" s="863"/>
      <c r="O52" s="863"/>
      <c r="P52" s="863"/>
      <c r="Q52" s="863"/>
      <c r="R52" s="863"/>
      <c r="S52" s="863"/>
      <c r="T52" s="863"/>
      <c r="U52" s="863"/>
      <c r="V52" s="863"/>
      <c r="W52" s="863"/>
      <c r="X52" s="863"/>
      <c r="Y52" s="864"/>
      <c r="Z52" s="864"/>
      <c r="AA52" s="863"/>
    </row>
    <row r="53" spans="1:27" ht="15.75" customHeight="1" x14ac:dyDescent="0.25">
      <c r="A53" s="244"/>
      <c r="B53" s="244"/>
      <c r="C53" s="863"/>
      <c r="D53" s="863"/>
      <c r="E53" s="863"/>
      <c r="F53" s="863"/>
      <c r="G53" s="863"/>
      <c r="H53" s="863"/>
      <c r="I53" s="863"/>
      <c r="J53" s="863"/>
      <c r="K53" s="863"/>
      <c r="L53" s="863"/>
      <c r="M53" s="863"/>
      <c r="N53" s="863"/>
      <c r="O53" s="863"/>
      <c r="P53" s="863"/>
      <c r="Q53" s="863"/>
      <c r="R53" s="863"/>
      <c r="S53" s="863"/>
      <c r="T53" s="863"/>
      <c r="U53" s="863"/>
      <c r="V53" s="863"/>
      <c r="W53" s="863"/>
      <c r="X53" s="863"/>
      <c r="Y53" s="864"/>
      <c r="Z53" s="864"/>
      <c r="AA53" s="863"/>
    </row>
    <row r="54" spans="1:27" ht="15.75" customHeight="1" x14ac:dyDescent="0.25">
      <c r="A54" s="244"/>
      <c r="B54" s="244"/>
      <c r="C54" s="863"/>
      <c r="D54" s="863"/>
      <c r="E54" s="863"/>
      <c r="F54" s="863"/>
      <c r="G54" s="863"/>
      <c r="H54" s="863"/>
      <c r="I54" s="863"/>
      <c r="J54" s="863"/>
      <c r="K54" s="863"/>
      <c r="L54" s="863"/>
      <c r="M54" s="863"/>
      <c r="N54" s="863"/>
      <c r="O54" s="863"/>
      <c r="P54" s="863"/>
      <c r="Q54" s="863"/>
      <c r="R54" s="863"/>
      <c r="S54" s="863"/>
      <c r="T54" s="863"/>
      <c r="U54" s="863"/>
      <c r="V54" s="863"/>
      <c r="W54" s="863"/>
      <c r="X54" s="863"/>
      <c r="Y54" s="864"/>
      <c r="Z54" s="864"/>
      <c r="AA54" s="863"/>
    </row>
    <row r="55" spans="1:27" ht="15.75" customHeight="1" x14ac:dyDescent="0.25">
      <c r="A55" s="244"/>
      <c r="B55" s="244"/>
      <c r="C55" s="863"/>
      <c r="D55" s="863"/>
      <c r="E55" s="863"/>
      <c r="F55" s="863"/>
      <c r="G55" s="863"/>
      <c r="H55" s="863"/>
      <c r="I55" s="863"/>
      <c r="J55" s="863"/>
      <c r="K55" s="863"/>
      <c r="L55" s="863"/>
      <c r="M55" s="863"/>
      <c r="N55" s="863"/>
      <c r="O55" s="863"/>
      <c r="P55" s="863"/>
      <c r="Q55" s="863"/>
      <c r="R55" s="863"/>
      <c r="S55" s="863"/>
      <c r="T55" s="863"/>
      <c r="U55" s="863"/>
      <c r="V55" s="863"/>
      <c r="W55" s="863"/>
      <c r="X55" s="863"/>
      <c r="Y55" s="864"/>
      <c r="Z55" s="864"/>
      <c r="AA55" s="863"/>
    </row>
    <row r="56" spans="1:27" ht="15.75" customHeight="1" x14ac:dyDescent="0.25">
      <c r="A56" s="244"/>
      <c r="B56" s="244"/>
      <c r="C56" s="863"/>
      <c r="D56" s="863"/>
      <c r="E56" s="863"/>
      <c r="F56" s="863"/>
      <c r="G56" s="863"/>
      <c r="H56" s="863"/>
      <c r="I56" s="863"/>
      <c r="J56" s="863"/>
      <c r="K56" s="863"/>
      <c r="L56" s="863"/>
      <c r="M56" s="863"/>
      <c r="N56" s="863"/>
      <c r="O56" s="863"/>
      <c r="P56" s="863"/>
      <c r="Q56" s="863"/>
      <c r="R56" s="863"/>
      <c r="S56" s="863"/>
      <c r="T56" s="863"/>
      <c r="U56" s="863"/>
      <c r="V56" s="863"/>
      <c r="W56" s="863"/>
      <c r="X56" s="863"/>
      <c r="Y56" s="864"/>
      <c r="Z56" s="864"/>
      <c r="AA56" s="863"/>
    </row>
    <row r="57" spans="1:27" ht="15.75" customHeight="1" x14ac:dyDescent="0.25">
      <c r="A57" s="244"/>
      <c r="B57" s="244"/>
      <c r="C57" s="863"/>
      <c r="D57" s="863"/>
      <c r="E57" s="863"/>
      <c r="F57" s="863"/>
      <c r="G57" s="863"/>
      <c r="H57" s="863"/>
      <c r="I57" s="863"/>
      <c r="J57" s="863"/>
      <c r="K57" s="863"/>
      <c r="L57" s="863"/>
      <c r="M57" s="863"/>
      <c r="N57" s="863"/>
      <c r="O57" s="863"/>
      <c r="P57" s="863"/>
      <c r="Q57" s="863"/>
      <c r="R57" s="863"/>
      <c r="S57" s="863"/>
      <c r="T57" s="863"/>
      <c r="U57" s="863"/>
      <c r="V57" s="863"/>
      <c r="W57" s="863"/>
      <c r="X57" s="863"/>
      <c r="Y57" s="864"/>
      <c r="Z57" s="864"/>
      <c r="AA57" s="863"/>
    </row>
    <row r="58" spans="1:27" ht="15.75" customHeight="1" x14ac:dyDescent="0.25">
      <c r="A58" s="244"/>
      <c r="B58" s="244"/>
      <c r="C58" s="863"/>
      <c r="D58" s="863"/>
      <c r="E58" s="863"/>
      <c r="F58" s="863"/>
      <c r="G58" s="863"/>
      <c r="H58" s="863"/>
      <c r="I58" s="863"/>
      <c r="J58" s="863"/>
      <c r="K58" s="863"/>
      <c r="L58" s="863"/>
      <c r="M58" s="863"/>
      <c r="N58" s="863"/>
      <c r="O58" s="863"/>
      <c r="P58" s="863"/>
      <c r="Q58" s="863"/>
      <c r="R58" s="863"/>
      <c r="S58" s="863"/>
      <c r="T58" s="863"/>
      <c r="U58" s="863"/>
      <c r="V58" s="863"/>
      <c r="W58" s="863"/>
      <c r="X58" s="863"/>
      <c r="Y58" s="864"/>
      <c r="Z58" s="864"/>
      <c r="AA58" s="863"/>
    </row>
    <row r="59" spans="1:27" ht="15.75" customHeight="1" x14ac:dyDescent="0.25">
      <c r="A59" s="244"/>
      <c r="B59" s="244"/>
      <c r="C59" s="863"/>
      <c r="D59" s="863"/>
      <c r="E59" s="863"/>
      <c r="F59" s="863"/>
      <c r="G59" s="863"/>
      <c r="H59" s="863"/>
      <c r="I59" s="863"/>
      <c r="J59" s="863"/>
      <c r="K59" s="863"/>
      <c r="L59" s="863"/>
      <c r="M59" s="863"/>
      <c r="N59" s="863"/>
      <c r="O59" s="863"/>
      <c r="P59" s="863"/>
      <c r="Q59" s="863"/>
      <c r="R59" s="863"/>
      <c r="S59" s="863"/>
      <c r="T59" s="863"/>
      <c r="U59" s="863"/>
      <c r="V59" s="863"/>
      <c r="W59" s="863"/>
      <c r="X59" s="863"/>
      <c r="Y59" s="864"/>
      <c r="Z59" s="864"/>
      <c r="AA59" s="863"/>
    </row>
    <row r="60" spans="1:27" ht="15.75" customHeight="1" x14ac:dyDescent="0.25">
      <c r="A60" s="244"/>
      <c r="B60" s="244"/>
      <c r="C60" s="863"/>
      <c r="D60" s="863"/>
      <c r="E60" s="863"/>
      <c r="F60" s="863"/>
      <c r="G60" s="863"/>
      <c r="H60" s="863"/>
      <c r="I60" s="863"/>
      <c r="J60" s="863"/>
      <c r="K60" s="863"/>
      <c r="L60" s="863"/>
      <c r="M60" s="863"/>
      <c r="N60" s="863"/>
      <c r="O60" s="863"/>
      <c r="P60" s="863"/>
      <c r="Q60" s="863"/>
      <c r="R60" s="863"/>
      <c r="S60" s="863"/>
      <c r="T60" s="863"/>
      <c r="U60" s="863"/>
      <c r="V60" s="863"/>
      <c r="W60" s="863"/>
      <c r="X60" s="863"/>
      <c r="Y60" s="864"/>
      <c r="Z60" s="864"/>
      <c r="AA60" s="863"/>
    </row>
    <row r="61" spans="1:27" ht="15.75" customHeight="1" x14ac:dyDescent="0.25">
      <c r="A61" s="244"/>
      <c r="B61" s="244"/>
      <c r="C61" s="863"/>
      <c r="D61" s="863"/>
      <c r="E61" s="863"/>
      <c r="F61" s="863"/>
      <c r="G61" s="863"/>
      <c r="H61" s="863"/>
      <c r="I61" s="863"/>
      <c r="J61" s="863"/>
      <c r="K61" s="863"/>
      <c r="L61" s="863"/>
      <c r="M61" s="863"/>
      <c r="N61" s="863"/>
      <c r="O61" s="863"/>
      <c r="P61" s="863"/>
      <c r="Q61" s="863"/>
      <c r="R61" s="863"/>
      <c r="S61" s="863"/>
      <c r="T61" s="863"/>
      <c r="U61" s="863"/>
      <c r="V61" s="863"/>
      <c r="W61" s="863"/>
      <c r="X61" s="863"/>
      <c r="Y61" s="864"/>
      <c r="Z61" s="864"/>
      <c r="AA61" s="863"/>
    </row>
    <row r="62" spans="1:27" ht="15.75" customHeight="1" x14ac:dyDescent="0.25">
      <c r="A62" s="244"/>
      <c r="B62" s="244"/>
      <c r="C62" s="863"/>
      <c r="D62" s="863"/>
      <c r="E62" s="863"/>
      <c r="F62" s="863"/>
      <c r="G62" s="863"/>
      <c r="H62" s="863"/>
      <c r="I62" s="863"/>
      <c r="J62" s="863"/>
      <c r="K62" s="863"/>
      <c r="L62" s="863"/>
      <c r="M62" s="863"/>
      <c r="N62" s="863"/>
      <c r="O62" s="863"/>
      <c r="P62" s="863"/>
      <c r="Q62" s="863"/>
      <c r="R62" s="863"/>
      <c r="S62" s="863"/>
      <c r="T62" s="863"/>
      <c r="U62" s="863"/>
      <c r="V62" s="863"/>
      <c r="W62" s="863"/>
      <c r="X62" s="863"/>
      <c r="Y62" s="864"/>
      <c r="Z62" s="864"/>
      <c r="AA62" s="863"/>
    </row>
    <row r="63" spans="1:27" ht="15.75" customHeight="1" x14ac:dyDescent="0.25">
      <c r="A63" s="244"/>
      <c r="B63" s="244"/>
      <c r="C63" s="863"/>
      <c r="D63" s="863"/>
      <c r="E63" s="863"/>
      <c r="F63" s="863"/>
      <c r="G63" s="863"/>
      <c r="H63" s="863"/>
      <c r="I63" s="863"/>
      <c r="J63" s="863"/>
      <c r="K63" s="863"/>
      <c r="L63" s="863"/>
      <c r="M63" s="863"/>
      <c r="N63" s="863"/>
      <c r="O63" s="863"/>
      <c r="P63" s="863"/>
      <c r="Q63" s="863"/>
      <c r="R63" s="863"/>
      <c r="S63" s="863"/>
      <c r="T63" s="863"/>
      <c r="U63" s="863"/>
      <c r="V63" s="863"/>
      <c r="W63" s="863"/>
      <c r="X63" s="863"/>
      <c r="Y63" s="864"/>
      <c r="Z63" s="864"/>
      <c r="AA63" s="863"/>
    </row>
    <row r="64" spans="1:27" ht="15.75" customHeight="1" x14ac:dyDescent="0.25">
      <c r="A64" s="244"/>
      <c r="B64" s="244"/>
      <c r="C64" s="863"/>
      <c r="D64" s="863"/>
      <c r="E64" s="863"/>
      <c r="F64" s="863"/>
      <c r="G64" s="863"/>
      <c r="H64" s="863"/>
      <c r="I64" s="863"/>
      <c r="J64" s="863"/>
      <c r="K64" s="863"/>
      <c r="L64" s="863"/>
      <c r="M64" s="863"/>
      <c r="N64" s="863"/>
      <c r="O64" s="863"/>
      <c r="P64" s="863"/>
      <c r="Q64" s="863"/>
      <c r="R64" s="863"/>
      <c r="S64" s="863"/>
      <c r="T64" s="863"/>
      <c r="U64" s="863"/>
      <c r="V64" s="863"/>
      <c r="W64" s="863"/>
      <c r="X64" s="863"/>
      <c r="Y64" s="864"/>
      <c r="Z64" s="864"/>
      <c r="AA64" s="863"/>
    </row>
    <row r="65" spans="1:27" ht="15.75" customHeight="1" x14ac:dyDescent="0.25">
      <c r="A65" s="244"/>
      <c r="B65" s="244"/>
      <c r="C65" s="863"/>
      <c r="D65" s="863"/>
      <c r="E65" s="863"/>
      <c r="F65" s="863"/>
      <c r="G65" s="863"/>
      <c r="H65" s="863"/>
      <c r="I65" s="863"/>
      <c r="J65" s="863"/>
      <c r="K65" s="863"/>
      <c r="L65" s="863"/>
      <c r="M65" s="863"/>
      <c r="N65" s="863"/>
      <c r="O65" s="863"/>
      <c r="P65" s="863"/>
      <c r="Q65" s="863"/>
      <c r="R65" s="863"/>
      <c r="S65" s="863"/>
      <c r="T65" s="863"/>
      <c r="U65" s="863"/>
      <c r="V65" s="863"/>
      <c r="W65" s="863"/>
      <c r="X65" s="863"/>
      <c r="Y65" s="864"/>
      <c r="Z65" s="864"/>
      <c r="AA65" s="863"/>
    </row>
    <row r="66" spans="1:27" ht="15.75" customHeight="1" x14ac:dyDescent="0.25">
      <c r="A66" s="244"/>
      <c r="B66" s="244"/>
      <c r="C66" s="863"/>
      <c r="D66" s="863"/>
      <c r="E66" s="863"/>
      <c r="F66" s="863"/>
      <c r="G66" s="863"/>
      <c r="H66" s="863"/>
      <c r="I66" s="863"/>
      <c r="J66" s="863"/>
      <c r="K66" s="863"/>
      <c r="L66" s="863"/>
      <c r="M66" s="863"/>
      <c r="N66" s="863"/>
      <c r="O66" s="863"/>
      <c r="P66" s="863"/>
      <c r="Q66" s="863"/>
      <c r="R66" s="863"/>
      <c r="S66" s="863"/>
      <c r="T66" s="863"/>
      <c r="U66" s="863"/>
      <c r="V66" s="863"/>
      <c r="W66" s="863"/>
      <c r="X66" s="863"/>
      <c r="Y66" s="864"/>
      <c r="Z66" s="864"/>
      <c r="AA66" s="863"/>
    </row>
    <row r="67" spans="1:27" ht="15.75" customHeight="1" x14ac:dyDescent="0.25">
      <c r="A67" s="244"/>
      <c r="B67" s="244"/>
      <c r="C67" s="863"/>
      <c r="D67" s="863"/>
      <c r="E67" s="863"/>
      <c r="F67" s="863"/>
      <c r="G67" s="863"/>
      <c r="H67" s="863"/>
      <c r="I67" s="863"/>
      <c r="J67" s="863"/>
      <c r="K67" s="863"/>
      <c r="L67" s="863"/>
      <c r="M67" s="863"/>
      <c r="N67" s="863"/>
      <c r="O67" s="863"/>
      <c r="P67" s="863"/>
      <c r="Q67" s="863"/>
      <c r="R67" s="863"/>
      <c r="S67" s="863"/>
      <c r="T67" s="863"/>
      <c r="U67" s="863"/>
      <c r="V67" s="863"/>
      <c r="W67" s="863"/>
      <c r="X67" s="863"/>
      <c r="Y67" s="864"/>
      <c r="Z67" s="864"/>
      <c r="AA67" s="863"/>
    </row>
    <row r="68" spans="1:27" ht="15.75" customHeight="1" x14ac:dyDescent="0.25">
      <c r="A68" s="244"/>
      <c r="B68" s="244"/>
      <c r="C68" s="863"/>
      <c r="D68" s="863"/>
      <c r="E68" s="863"/>
      <c r="F68" s="863"/>
      <c r="G68" s="863"/>
      <c r="H68" s="863"/>
      <c r="I68" s="863"/>
      <c r="J68" s="863"/>
      <c r="K68" s="863"/>
      <c r="L68" s="863"/>
      <c r="M68" s="863"/>
      <c r="N68" s="863"/>
      <c r="O68" s="863"/>
      <c r="P68" s="863"/>
      <c r="Q68" s="863"/>
      <c r="R68" s="863"/>
      <c r="S68" s="863"/>
      <c r="T68" s="863"/>
      <c r="U68" s="863"/>
      <c r="V68" s="863"/>
      <c r="W68" s="863"/>
      <c r="X68" s="863"/>
      <c r="Y68" s="864"/>
      <c r="Z68" s="864"/>
      <c r="AA68" s="863"/>
    </row>
    <row r="69" spans="1:27" ht="15.75" customHeight="1" x14ac:dyDescent="0.25">
      <c r="A69" s="244"/>
      <c r="B69" s="244"/>
      <c r="C69" s="863"/>
      <c r="D69" s="863"/>
      <c r="E69" s="863"/>
      <c r="F69" s="863"/>
      <c r="G69" s="863"/>
      <c r="H69" s="863"/>
      <c r="I69" s="863"/>
      <c r="J69" s="863"/>
      <c r="K69" s="863"/>
      <c r="L69" s="863"/>
      <c r="M69" s="863"/>
      <c r="N69" s="863"/>
      <c r="O69" s="863"/>
      <c r="P69" s="863"/>
      <c r="Q69" s="863"/>
      <c r="R69" s="863"/>
      <c r="S69" s="863"/>
      <c r="T69" s="863"/>
      <c r="U69" s="863"/>
      <c r="V69" s="863"/>
      <c r="W69" s="863"/>
      <c r="X69" s="863"/>
      <c r="Y69" s="864"/>
      <c r="Z69" s="864"/>
      <c r="AA69" s="863"/>
    </row>
    <row r="70" spans="1:27" ht="15.75" customHeight="1" x14ac:dyDescent="0.25">
      <c r="A70" s="244"/>
      <c r="B70" s="244"/>
      <c r="C70" s="863"/>
      <c r="D70" s="863"/>
      <c r="E70" s="863"/>
      <c r="F70" s="863"/>
      <c r="G70" s="863"/>
      <c r="H70" s="863"/>
      <c r="I70" s="863"/>
      <c r="J70" s="863"/>
      <c r="K70" s="863"/>
      <c r="L70" s="863"/>
      <c r="M70" s="863"/>
      <c r="N70" s="863"/>
      <c r="O70" s="863"/>
      <c r="P70" s="863"/>
      <c r="Q70" s="863"/>
      <c r="R70" s="863"/>
      <c r="S70" s="863"/>
      <c r="T70" s="863"/>
      <c r="U70" s="863"/>
      <c r="V70" s="863"/>
      <c r="W70" s="863"/>
      <c r="X70" s="863"/>
      <c r="Y70" s="864"/>
      <c r="Z70" s="864"/>
      <c r="AA70" s="863"/>
    </row>
    <row r="71" spans="1:27" ht="15.75" customHeight="1" x14ac:dyDescent="0.25">
      <c r="A71" s="244"/>
      <c r="B71" s="244"/>
      <c r="C71" s="863"/>
      <c r="D71" s="863"/>
      <c r="E71" s="863"/>
      <c r="F71" s="863"/>
      <c r="G71" s="863"/>
      <c r="H71" s="863"/>
      <c r="I71" s="863"/>
      <c r="J71" s="863"/>
      <c r="K71" s="863"/>
      <c r="L71" s="863"/>
      <c r="M71" s="863"/>
      <c r="N71" s="863"/>
      <c r="O71" s="863"/>
      <c r="P71" s="863"/>
      <c r="Q71" s="863"/>
      <c r="R71" s="863"/>
      <c r="S71" s="863"/>
      <c r="T71" s="863"/>
      <c r="U71" s="863"/>
      <c r="V71" s="863"/>
      <c r="W71" s="863"/>
      <c r="X71" s="863"/>
      <c r="Y71" s="864"/>
      <c r="Z71" s="864"/>
      <c r="AA71" s="863"/>
    </row>
    <row r="72" spans="1:27" ht="15.75" customHeight="1" x14ac:dyDescent="0.25">
      <c r="A72" s="244"/>
      <c r="B72" s="244"/>
      <c r="C72" s="863"/>
      <c r="D72" s="863"/>
      <c r="E72" s="863"/>
      <c r="F72" s="863"/>
      <c r="G72" s="863"/>
      <c r="H72" s="863"/>
      <c r="I72" s="863"/>
      <c r="J72" s="863"/>
      <c r="K72" s="863"/>
      <c r="L72" s="863"/>
      <c r="M72" s="863"/>
      <c r="N72" s="863"/>
      <c r="O72" s="863"/>
      <c r="P72" s="863"/>
      <c r="Q72" s="863"/>
      <c r="R72" s="863"/>
      <c r="S72" s="863"/>
      <c r="T72" s="863"/>
      <c r="U72" s="863"/>
      <c r="V72" s="863"/>
      <c r="W72" s="863"/>
      <c r="X72" s="863"/>
      <c r="Y72" s="864"/>
      <c r="Z72" s="864"/>
      <c r="AA72" s="863"/>
    </row>
    <row r="73" spans="1:27" ht="15.75" customHeight="1" x14ac:dyDescent="0.25">
      <c r="A73" s="244"/>
      <c r="B73" s="244"/>
      <c r="C73" s="863"/>
      <c r="D73" s="863"/>
      <c r="E73" s="863"/>
      <c r="F73" s="863"/>
      <c r="G73" s="863"/>
      <c r="H73" s="863"/>
      <c r="I73" s="863"/>
      <c r="J73" s="863"/>
      <c r="K73" s="863"/>
      <c r="L73" s="863"/>
      <c r="M73" s="863"/>
      <c r="N73" s="863"/>
      <c r="O73" s="863"/>
      <c r="P73" s="863"/>
      <c r="Q73" s="863"/>
      <c r="R73" s="863"/>
      <c r="S73" s="863"/>
      <c r="T73" s="863"/>
      <c r="U73" s="863"/>
      <c r="V73" s="863"/>
      <c r="W73" s="863"/>
      <c r="X73" s="863"/>
      <c r="Y73" s="864"/>
      <c r="Z73" s="864"/>
      <c r="AA73" s="863"/>
    </row>
    <row r="74" spans="1:27" ht="15.75" customHeight="1" x14ac:dyDescent="0.25">
      <c r="A74" s="244"/>
      <c r="B74" s="244"/>
      <c r="C74" s="863"/>
      <c r="D74" s="863"/>
      <c r="E74" s="863"/>
      <c r="F74" s="863"/>
      <c r="G74" s="863"/>
      <c r="H74" s="863"/>
      <c r="I74" s="863"/>
      <c r="J74" s="863"/>
      <c r="K74" s="863"/>
      <c r="L74" s="863"/>
      <c r="M74" s="863"/>
      <c r="N74" s="863"/>
      <c r="O74" s="863"/>
      <c r="P74" s="863"/>
      <c r="Q74" s="863"/>
      <c r="R74" s="863"/>
      <c r="S74" s="863"/>
      <c r="T74" s="863"/>
      <c r="U74" s="863"/>
      <c r="V74" s="863"/>
      <c r="W74" s="863"/>
      <c r="X74" s="863"/>
      <c r="Y74" s="864"/>
      <c r="Z74" s="864"/>
      <c r="AA74" s="863"/>
    </row>
    <row r="75" spans="1:27" ht="15.75" customHeight="1" x14ac:dyDescent="0.25">
      <c r="A75" s="244"/>
      <c r="B75" s="244"/>
      <c r="C75" s="863"/>
      <c r="D75" s="863"/>
      <c r="E75" s="863"/>
      <c r="F75" s="863"/>
      <c r="G75" s="863"/>
      <c r="H75" s="863"/>
      <c r="I75" s="863"/>
      <c r="J75" s="863"/>
      <c r="K75" s="863"/>
      <c r="L75" s="863"/>
      <c r="M75" s="863"/>
      <c r="N75" s="863"/>
      <c r="O75" s="863"/>
      <c r="P75" s="863"/>
      <c r="Q75" s="863"/>
      <c r="R75" s="863"/>
      <c r="S75" s="863"/>
      <c r="T75" s="863"/>
      <c r="U75" s="863"/>
      <c r="V75" s="863"/>
      <c r="W75" s="863"/>
      <c r="X75" s="863"/>
      <c r="Y75" s="864"/>
      <c r="Z75" s="864"/>
      <c r="AA75" s="863"/>
    </row>
    <row r="76" spans="1:27" ht="15.75" customHeight="1" x14ac:dyDescent="0.25">
      <c r="A76" s="244"/>
      <c r="B76" s="244"/>
      <c r="C76" s="863"/>
      <c r="D76" s="863"/>
      <c r="E76" s="863"/>
      <c r="F76" s="863"/>
      <c r="G76" s="863"/>
      <c r="H76" s="863"/>
      <c r="I76" s="863"/>
      <c r="J76" s="863"/>
      <c r="K76" s="863"/>
      <c r="L76" s="863"/>
      <c r="M76" s="863"/>
      <c r="N76" s="863"/>
      <c r="O76" s="863"/>
      <c r="P76" s="863"/>
      <c r="Q76" s="863"/>
      <c r="R76" s="863"/>
      <c r="S76" s="863"/>
      <c r="T76" s="863"/>
      <c r="U76" s="863"/>
      <c r="V76" s="863"/>
      <c r="W76" s="863"/>
      <c r="X76" s="863"/>
      <c r="Y76" s="864"/>
      <c r="Z76" s="864"/>
      <c r="AA76" s="863"/>
    </row>
    <row r="77" spans="1:27" ht="15.75" customHeight="1" x14ac:dyDescent="0.25">
      <c r="A77" s="244"/>
      <c r="B77" s="244"/>
      <c r="C77" s="863"/>
      <c r="D77" s="863"/>
      <c r="E77" s="863"/>
      <c r="F77" s="863"/>
      <c r="G77" s="863"/>
      <c r="H77" s="863"/>
      <c r="I77" s="863"/>
      <c r="J77" s="863"/>
      <c r="K77" s="863"/>
      <c r="L77" s="863"/>
      <c r="M77" s="863"/>
      <c r="N77" s="863"/>
      <c r="O77" s="863"/>
      <c r="P77" s="863"/>
      <c r="Q77" s="863"/>
      <c r="R77" s="863"/>
      <c r="S77" s="863"/>
      <c r="T77" s="863"/>
      <c r="U77" s="863"/>
      <c r="V77" s="863"/>
      <c r="W77" s="863"/>
      <c r="X77" s="863"/>
      <c r="Y77" s="864"/>
      <c r="Z77" s="864"/>
      <c r="AA77" s="863"/>
    </row>
    <row r="78" spans="1:27" ht="15.75" customHeight="1" x14ac:dyDescent="0.25">
      <c r="A78" s="244"/>
      <c r="B78" s="244"/>
      <c r="C78" s="863"/>
      <c r="D78" s="863"/>
      <c r="E78" s="863"/>
      <c r="F78" s="863"/>
      <c r="G78" s="863"/>
      <c r="H78" s="863"/>
      <c r="I78" s="863"/>
      <c r="J78" s="863"/>
      <c r="K78" s="863"/>
      <c r="L78" s="863"/>
      <c r="M78" s="863"/>
      <c r="N78" s="863"/>
      <c r="O78" s="863"/>
      <c r="P78" s="863"/>
      <c r="Q78" s="863"/>
      <c r="R78" s="863"/>
      <c r="S78" s="863"/>
      <c r="T78" s="863"/>
      <c r="U78" s="863"/>
      <c r="V78" s="863"/>
      <c r="W78" s="863"/>
      <c r="X78" s="863"/>
      <c r="Y78" s="864"/>
      <c r="Z78" s="864"/>
      <c r="AA78" s="863"/>
    </row>
    <row r="79" spans="1:27" ht="15.75" customHeight="1" x14ac:dyDescent="0.25">
      <c r="A79" s="244"/>
      <c r="B79" s="244"/>
      <c r="C79" s="863"/>
      <c r="D79" s="863"/>
      <c r="E79" s="863"/>
      <c r="F79" s="863"/>
      <c r="G79" s="863"/>
      <c r="H79" s="863"/>
      <c r="I79" s="863"/>
      <c r="J79" s="863"/>
      <c r="K79" s="863"/>
      <c r="L79" s="863"/>
      <c r="M79" s="863"/>
      <c r="N79" s="863"/>
      <c r="O79" s="863"/>
      <c r="P79" s="863"/>
      <c r="Q79" s="863"/>
      <c r="R79" s="863"/>
      <c r="S79" s="863"/>
      <c r="T79" s="863"/>
      <c r="U79" s="863"/>
      <c r="V79" s="863"/>
      <c r="W79" s="863"/>
      <c r="X79" s="863"/>
      <c r="Y79" s="864"/>
      <c r="Z79" s="864"/>
      <c r="AA79" s="863"/>
    </row>
    <row r="80" spans="1:27" ht="15.75" customHeight="1" x14ac:dyDescent="0.25">
      <c r="A80" s="244"/>
      <c r="B80" s="244"/>
      <c r="C80" s="863"/>
      <c r="D80" s="863"/>
      <c r="E80" s="863"/>
      <c r="F80" s="863"/>
      <c r="G80" s="863"/>
      <c r="H80" s="863"/>
      <c r="I80" s="863"/>
      <c r="J80" s="863"/>
      <c r="K80" s="863"/>
      <c r="L80" s="863"/>
      <c r="M80" s="863"/>
      <c r="N80" s="863"/>
      <c r="O80" s="863"/>
      <c r="P80" s="863"/>
      <c r="Q80" s="863"/>
      <c r="R80" s="863"/>
      <c r="S80" s="863"/>
      <c r="T80" s="863"/>
      <c r="U80" s="863"/>
      <c r="V80" s="863"/>
      <c r="W80" s="863"/>
      <c r="X80" s="863"/>
      <c r="Y80" s="864"/>
      <c r="Z80" s="864"/>
      <c r="AA80" s="863"/>
    </row>
    <row r="81" spans="1:27" ht="15.75" customHeight="1" x14ac:dyDescent="0.25">
      <c r="A81" s="244"/>
      <c r="B81" s="244"/>
      <c r="C81" s="863"/>
      <c r="D81" s="863"/>
      <c r="E81" s="863"/>
      <c r="F81" s="863"/>
      <c r="G81" s="863"/>
      <c r="H81" s="863"/>
      <c r="I81" s="863"/>
      <c r="J81" s="863"/>
      <c r="K81" s="863"/>
      <c r="L81" s="863"/>
      <c r="M81" s="863"/>
      <c r="N81" s="863"/>
      <c r="O81" s="863"/>
      <c r="P81" s="863"/>
      <c r="Q81" s="863"/>
      <c r="R81" s="863"/>
      <c r="S81" s="863"/>
      <c r="T81" s="863"/>
      <c r="U81" s="863"/>
      <c r="V81" s="863"/>
      <c r="W81" s="863"/>
      <c r="X81" s="863"/>
      <c r="Y81" s="864"/>
      <c r="Z81" s="864"/>
      <c r="AA81" s="863"/>
    </row>
    <row r="82" spans="1:27" ht="15.75" customHeight="1" x14ac:dyDescent="0.25">
      <c r="A82" s="244"/>
      <c r="B82" s="244"/>
      <c r="C82" s="863"/>
      <c r="D82" s="863"/>
      <c r="E82" s="863"/>
      <c r="F82" s="863"/>
      <c r="G82" s="863"/>
      <c r="H82" s="863"/>
      <c r="I82" s="863"/>
      <c r="J82" s="863"/>
      <c r="K82" s="863"/>
      <c r="L82" s="863"/>
      <c r="M82" s="863"/>
      <c r="N82" s="863"/>
      <c r="O82" s="863"/>
      <c r="P82" s="863"/>
      <c r="Q82" s="863"/>
      <c r="R82" s="863"/>
      <c r="S82" s="863"/>
      <c r="T82" s="863"/>
      <c r="U82" s="863"/>
      <c r="V82" s="863"/>
      <c r="W82" s="863"/>
      <c r="X82" s="863"/>
      <c r="Y82" s="864"/>
      <c r="Z82" s="864"/>
      <c r="AA82" s="863"/>
    </row>
    <row r="83" spans="1:27" ht="15.75" customHeight="1" x14ac:dyDescent="0.25">
      <c r="A83" s="244"/>
      <c r="B83" s="244"/>
      <c r="C83" s="863"/>
      <c r="D83" s="863"/>
      <c r="E83" s="863"/>
      <c r="F83" s="863"/>
      <c r="G83" s="863"/>
      <c r="H83" s="863"/>
      <c r="I83" s="863"/>
      <c r="J83" s="863"/>
      <c r="K83" s="863"/>
      <c r="L83" s="863"/>
      <c r="M83" s="863"/>
      <c r="N83" s="863"/>
      <c r="O83" s="863"/>
      <c r="P83" s="863"/>
      <c r="Q83" s="863"/>
      <c r="R83" s="863"/>
      <c r="S83" s="863"/>
      <c r="T83" s="863"/>
      <c r="U83" s="863"/>
      <c r="V83" s="863"/>
      <c r="W83" s="863"/>
      <c r="X83" s="863"/>
      <c r="Y83" s="864"/>
      <c r="Z83" s="864"/>
      <c r="AA83" s="863"/>
    </row>
    <row r="84" spans="1:27" ht="15.75" customHeight="1" x14ac:dyDescent="0.25">
      <c r="A84" s="244"/>
      <c r="B84" s="244"/>
      <c r="C84" s="863"/>
      <c r="D84" s="863"/>
      <c r="E84" s="863"/>
      <c r="F84" s="863"/>
      <c r="G84" s="863"/>
      <c r="H84" s="863"/>
      <c r="I84" s="863"/>
      <c r="J84" s="863"/>
      <c r="K84" s="863"/>
      <c r="L84" s="863"/>
      <c r="M84" s="863"/>
      <c r="N84" s="863"/>
      <c r="O84" s="863"/>
      <c r="P84" s="863"/>
      <c r="Q84" s="863"/>
      <c r="R84" s="863"/>
      <c r="S84" s="863"/>
      <c r="T84" s="863"/>
      <c r="U84" s="863"/>
      <c r="V84" s="863"/>
      <c r="W84" s="863"/>
      <c r="X84" s="863"/>
      <c r="Y84" s="864"/>
      <c r="Z84" s="864"/>
      <c r="AA84" s="863"/>
    </row>
    <row r="85" spans="1:27" ht="15.75" customHeight="1" x14ac:dyDescent="0.25">
      <c r="A85" s="244"/>
      <c r="B85" s="244"/>
      <c r="C85" s="863"/>
      <c r="D85" s="863"/>
      <c r="E85" s="863"/>
      <c r="F85" s="863"/>
      <c r="G85" s="863"/>
      <c r="H85" s="863"/>
      <c r="I85" s="863"/>
      <c r="J85" s="863"/>
      <c r="K85" s="863"/>
      <c r="L85" s="863"/>
      <c r="M85" s="863"/>
      <c r="N85" s="863"/>
      <c r="O85" s="863"/>
      <c r="P85" s="863"/>
      <c r="Q85" s="863"/>
      <c r="R85" s="863"/>
      <c r="S85" s="863"/>
      <c r="T85" s="863"/>
      <c r="U85" s="863"/>
      <c r="V85" s="863"/>
      <c r="W85" s="863"/>
      <c r="X85" s="863"/>
      <c r="Y85" s="864"/>
      <c r="Z85" s="864"/>
      <c r="AA85" s="863"/>
    </row>
    <row r="86" spans="1:27" ht="15.75" customHeight="1" x14ac:dyDescent="0.25">
      <c r="A86" s="244"/>
      <c r="B86" s="244"/>
      <c r="C86" s="863"/>
      <c r="D86" s="863"/>
      <c r="E86" s="863"/>
      <c r="F86" s="863"/>
      <c r="G86" s="863"/>
      <c r="H86" s="863"/>
      <c r="I86" s="863"/>
      <c r="J86" s="863"/>
      <c r="K86" s="863"/>
      <c r="L86" s="863"/>
      <c r="M86" s="863"/>
      <c r="N86" s="863"/>
      <c r="O86" s="863"/>
      <c r="P86" s="863"/>
      <c r="Q86" s="863"/>
      <c r="R86" s="863"/>
      <c r="S86" s="863"/>
      <c r="T86" s="863"/>
      <c r="U86" s="863"/>
      <c r="V86" s="863"/>
      <c r="W86" s="863"/>
      <c r="X86" s="863"/>
      <c r="Y86" s="864"/>
      <c r="Z86" s="864"/>
      <c r="AA86" s="863"/>
    </row>
    <row r="87" spans="1:27" ht="15.75" customHeight="1" x14ac:dyDescent="0.25">
      <c r="A87" s="244"/>
      <c r="B87" s="244"/>
      <c r="C87" s="863"/>
      <c r="D87" s="863"/>
      <c r="E87" s="863"/>
      <c r="F87" s="863"/>
      <c r="G87" s="863"/>
      <c r="H87" s="863"/>
      <c r="I87" s="863"/>
      <c r="J87" s="863"/>
      <c r="K87" s="863"/>
      <c r="L87" s="863"/>
      <c r="M87" s="863"/>
      <c r="N87" s="863"/>
      <c r="O87" s="863"/>
      <c r="P87" s="863"/>
      <c r="Q87" s="863"/>
      <c r="R87" s="863"/>
      <c r="S87" s="863"/>
      <c r="T87" s="863"/>
      <c r="U87" s="863"/>
      <c r="V87" s="863"/>
      <c r="W87" s="863"/>
      <c r="X87" s="863"/>
      <c r="Y87" s="864"/>
      <c r="Z87" s="864"/>
      <c r="AA87" s="863"/>
    </row>
    <row r="88" spans="1:27" ht="15.75" customHeight="1" x14ac:dyDescent="0.25">
      <c r="A88" s="244"/>
      <c r="B88" s="244"/>
      <c r="C88" s="863"/>
      <c r="D88" s="863"/>
      <c r="E88" s="863"/>
      <c r="F88" s="863"/>
      <c r="G88" s="863"/>
      <c r="H88" s="863"/>
      <c r="I88" s="863"/>
      <c r="J88" s="863"/>
      <c r="K88" s="863"/>
      <c r="L88" s="863"/>
      <c r="M88" s="863"/>
      <c r="N88" s="863"/>
      <c r="O88" s="863"/>
      <c r="P88" s="863"/>
      <c r="Q88" s="863"/>
      <c r="R88" s="863"/>
      <c r="S88" s="863"/>
      <c r="T88" s="863"/>
      <c r="U88" s="863"/>
      <c r="V88" s="863"/>
      <c r="W88" s="863"/>
      <c r="X88" s="863"/>
      <c r="Y88" s="864"/>
      <c r="Z88" s="864"/>
      <c r="AA88" s="863"/>
    </row>
    <row r="89" spans="1:27" ht="15.75" customHeight="1" x14ac:dyDescent="0.25">
      <c r="A89" s="244"/>
      <c r="B89" s="244"/>
      <c r="C89" s="863"/>
      <c r="D89" s="863"/>
      <c r="E89" s="863"/>
      <c r="F89" s="863"/>
      <c r="G89" s="863"/>
      <c r="H89" s="863"/>
      <c r="I89" s="863"/>
      <c r="J89" s="863"/>
      <c r="K89" s="863"/>
      <c r="L89" s="863"/>
      <c r="M89" s="863"/>
      <c r="N89" s="863"/>
      <c r="O89" s="863"/>
      <c r="P89" s="863"/>
      <c r="Q89" s="863"/>
      <c r="R89" s="863"/>
      <c r="S89" s="863"/>
      <c r="T89" s="863"/>
      <c r="U89" s="863"/>
      <c r="V89" s="863"/>
      <c r="W89" s="863"/>
      <c r="X89" s="863"/>
      <c r="Y89" s="864"/>
      <c r="Z89" s="864"/>
      <c r="AA89" s="863"/>
    </row>
    <row r="90" spans="1:27" ht="15.75" customHeight="1" x14ac:dyDescent="0.25">
      <c r="A90" s="244"/>
      <c r="B90" s="244"/>
      <c r="C90" s="863"/>
      <c r="D90" s="863"/>
      <c r="E90" s="863"/>
      <c r="F90" s="863"/>
      <c r="G90" s="863"/>
      <c r="H90" s="863"/>
      <c r="I90" s="863"/>
      <c r="J90" s="863"/>
      <c r="K90" s="863"/>
      <c r="L90" s="863"/>
      <c r="M90" s="863"/>
      <c r="N90" s="863"/>
      <c r="O90" s="863"/>
      <c r="P90" s="863"/>
      <c r="Q90" s="863"/>
      <c r="R90" s="863"/>
      <c r="S90" s="863"/>
      <c r="T90" s="863"/>
      <c r="U90" s="863"/>
      <c r="V90" s="863"/>
      <c r="W90" s="863"/>
      <c r="X90" s="863"/>
      <c r="Y90" s="864"/>
      <c r="Z90" s="864"/>
      <c r="AA90" s="863"/>
    </row>
    <row r="91" spans="1:27" ht="15.75" customHeight="1" x14ac:dyDescent="0.25">
      <c r="A91" s="244"/>
      <c r="B91" s="24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4"/>
      <c r="Z91" s="864"/>
      <c r="AA91" s="863"/>
    </row>
    <row r="92" spans="1:27" ht="15.75" customHeight="1" x14ac:dyDescent="0.25">
      <c r="A92" s="244"/>
      <c r="B92" s="244"/>
      <c r="C92" s="863"/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4"/>
      <c r="Z92" s="864"/>
      <c r="AA92" s="863"/>
    </row>
    <row r="93" spans="1:27" ht="15.75" customHeight="1" x14ac:dyDescent="0.25">
      <c r="A93" s="244"/>
      <c r="B93" s="244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4"/>
      <c r="Z93" s="864"/>
      <c r="AA93" s="863"/>
    </row>
    <row r="94" spans="1:27" ht="15.75" customHeight="1" x14ac:dyDescent="0.25">
      <c r="A94" s="244"/>
      <c r="B94" s="244"/>
      <c r="C94" s="863"/>
      <c r="D94" s="863"/>
      <c r="E94" s="863"/>
      <c r="F94" s="863"/>
      <c r="G94" s="863"/>
      <c r="H94" s="863"/>
      <c r="I94" s="863"/>
      <c r="J94" s="863"/>
      <c r="K94" s="863"/>
      <c r="L94" s="863"/>
      <c r="M94" s="863"/>
      <c r="N94" s="863"/>
      <c r="O94" s="863"/>
      <c r="P94" s="863"/>
      <c r="Q94" s="863"/>
      <c r="R94" s="863"/>
      <c r="S94" s="863"/>
      <c r="T94" s="863"/>
      <c r="U94" s="863"/>
      <c r="V94" s="863"/>
      <c r="W94" s="863"/>
      <c r="X94" s="863"/>
      <c r="Y94" s="864"/>
      <c r="Z94" s="864"/>
      <c r="AA94" s="863"/>
    </row>
    <row r="95" spans="1:27" ht="15.75" customHeight="1" x14ac:dyDescent="0.25">
      <c r="A95" s="244"/>
      <c r="B95" s="244"/>
      <c r="C95" s="863"/>
      <c r="D95" s="863"/>
      <c r="E95" s="863"/>
      <c r="F95" s="863"/>
      <c r="G95" s="863"/>
      <c r="H95" s="863"/>
      <c r="I95" s="863"/>
      <c r="J95" s="863"/>
      <c r="K95" s="863"/>
      <c r="L95" s="863"/>
      <c r="M95" s="863"/>
      <c r="N95" s="863"/>
      <c r="O95" s="863"/>
      <c r="P95" s="863"/>
      <c r="Q95" s="863"/>
      <c r="R95" s="863"/>
      <c r="S95" s="863"/>
      <c r="T95" s="863"/>
      <c r="U95" s="863"/>
      <c r="V95" s="863"/>
      <c r="W95" s="863"/>
      <c r="X95" s="863"/>
      <c r="Y95" s="864"/>
      <c r="Z95" s="864"/>
      <c r="AA95" s="863"/>
    </row>
    <row r="96" spans="1:27" ht="15.75" customHeight="1" x14ac:dyDescent="0.25">
      <c r="A96" s="244"/>
      <c r="B96" s="244"/>
      <c r="C96" s="863"/>
      <c r="D96" s="863"/>
      <c r="E96" s="863"/>
      <c r="F96" s="863"/>
      <c r="G96" s="863"/>
      <c r="H96" s="863"/>
      <c r="I96" s="863"/>
      <c r="J96" s="863"/>
      <c r="K96" s="863"/>
      <c r="L96" s="863"/>
      <c r="M96" s="863"/>
      <c r="N96" s="863"/>
      <c r="O96" s="863"/>
      <c r="P96" s="863"/>
      <c r="Q96" s="863"/>
      <c r="R96" s="863"/>
      <c r="S96" s="863"/>
      <c r="T96" s="863"/>
      <c r="U96" s="863"/>
      <c r="V96" s="863"/>
      <c r="W96" s="863"/>
      <c r="X96" s="863"/>
      <c r="Y96" s="864"/>
      <c r="Z96" s="864"/>
      <c r="AA96" s="863"/>
    </row>
    <row r="97" spans="1:27" ht="15.75" customHeight="1" x14ac:dyDescent="0.25">
      <c r="A97" s="244"/>
      <c r="B97" s="244"/>
      <c r="C97" s="863"/>
      <c r="D97" s="863"/>
      <c r="E97" s="863"/>
      <c r="F97" s="863"/>
      <c r="G97" s="863"/>
      <c r="H97" s="863"/>
      <c r="I97" s="863"/>
      <c r="J97" s="863"/>
      <c r="K97" s="863"/>
      <c r="L97" s="863"/>
      <c r="M97" s="863"/>
      <c r="N97" s="863"/>
      <c r="O97" s="863"/>
      <c r="P97" s="863"/>
      <c r="Q97" s="863"/>
      <c r="R97" s="863"/>
      <c r="S97" s="863"/>
      <c r="T97" s="863"/>
      <c r="U97" s="863"/>
      <c r="V97" s="863"/>
      <c r="W97" s="863"/>
      <c r="X97" s="863"/>
      <c r="Y97" s="864"/>
      <c r="Z97" s="864"/>
      <c r="AA97" s="863"/>
    </row>
    <row r="98" spans="1:27" ht="15.75" customHeight="1" x14ac:dyDescent="0.25">
      <c r="A98" s="244"/>
      <c r="B98" s="244"/>
      <c r="C98" s="863"/>
      <c r="D98" s="863"/>
      <c r="E98" s="863"/>
      <c r="F98" s="863"/>
      <c r="G98" s="863"/>
      <c r="H98" s="863"/>
      <c r="I98" s="863"/>
      <c r="J98" s="863"/>
      <c r="K98" s="863"/>
      <c r="L98" s="863"/>
      <c r="M98" s="863"/>
      <c r="N98" s="863"/>
      <c r="O98" s="863"/>
      <c r="P98" s="863"/>
      <c r="Q98" s="863"/>
      <c r="R98" s="863"/>
      <c r="S98" s="863"/>
      <c r="T98" s="863"/>
      <c r="U98" s="863"/>
      <c r="V98" s="863"/>
      <c r="W98" s="863"/>
      <c r="X98" s="863"/>
      <c r="Y98" s="864"/>
      <c r="Z98" s="864"/>
      <c r="AA98" s="863"/>
    </row>
    <row r="99" spans="1:27" ht="15.75" customHeight="1" x14ac:dyDescent="0.25">
      <c r="A99" s="244"/>
      <c r="B99" s="244"/>
      <c r="C99" s="863"/>
      <c r="D99" s="863"/>
      <c r="E99" s="863"/>
      <c r="F99" s="863"/>
      <c r="G99" s="863"/>
      <c r="H99" s="863"/>
      <c r="I99" s="863"/>
      <c r="J99" s="863"/>
      <c r="K99" s="863"/>
      <c r="L99" s="863"/>
      <c r="M99" s="863"/>
      <c r="N99" s="863"/>
      <c r="O99" s="863"/>
      <c r="P99" s="863"/>
      <c r="Q99" s="863"/>
      <c r="R99" s="863"/>
      <c r="S99" s="863"/>
      <c r="T99" s="863"/>
      <c r="U99" s="863"/>
      <c r="V99" s="863"/>
      <c r="W99" s="863"/>
      <c r="X99" s="863"/>
      <c r="Y99" s="864"/>
      <c r="Z99" s="864"/>
      <c r="AA99" s="863"/>
    </row>
    <row r="100" spans="1:27" ht="15.75" customHeight="1" x14ac:dyDescent="0.25">
      <c r="A100" s="244"/>
      <c r="B100" s="244"/>
      <c r="C100" s="863"/>
      <c r="D100" s="863"/>
      <c r="E100" s="863"/>
      <c r="F100" s="863"/>
      <c r="G100" s="863"/>
      <c r="H100" s="863"/>
      <c r="I100" s="863"/>
      <c r="J100" s="863"/>
      <c r="K100" s="863"/>
      <c r="L100" s="863"/>
      <c r="M100" s="863"/>
      <c r="N100" s="863"/>
      <c r="O100" s="863"/>
      <c r="P100" s="863"/>
      <c r="Q100" s="863"/>
      <c r="R100" s="863"/>
      <c r="S100" s="863"/>
      <c r="T100" s="863"/>
      <c r="U100" s="863"/>
      <c r="V100" s="863"/>
      <c r="W100" s="863"/>
      <c r="X100" s="863"/>
      <c r="Y100" s="864"/>
      <c r="Z100" s="864"/>
      <c r="AA100" s="863"/>
    </row>
    <row r="101" spans="1:27" ht="15.75" customHeight="1" x14ac:dyDescent="0.25">
      <c r="A101" s="244"/>
      <c r="B101" s="244"/>
      <c r="C101" s="863"/>
      <c r="D101" s="863"/>
      <c r="E101" s="863"/>
      <c r="F101" s="863"/>
      <c r="G101" s="863"/>
      <c r="H101" s="863"/>
      <c r="I101" s="863"/>
      <c r="J101" s="863"/>
      <c r="K101" s="863"/>
      <c r="L101" s="863"/>
      <c r="M101" s="863"/>
      <c r="N101" s="863"/>
      <c r="O101" s="863"/>
      <c r="P101" s="863"/>
      <c r="Q101" s="863"/>
      <c r="R101" s="863"/>
      <c r="S101" s="863"/>
      <c r="T101" s="863"/>
      <c r="U101" s="863"/>
      <c r="V101" s="863"/>
      <c r="W101" s="863"/>
      <c r="X101" s="863"/>
      <c r="Y101" s="864"/>
      <c r="Z101" s="864"/>
      <c r="AA101" s="863"/>
    </row>
    <row r="102" spans="1:27" ht="15.75" customHeight="1" x14ac:dyDescent="0.25">
      <c r="A102" s="244"/>
      <c r="B102" s="244"/>
      <c r="C102" s="863"/>
      <c r="D102" s="863"/>
      <c r="E102" s="863"/>
      <c r="F102" s="863"/>
      <c r="G102" s="863"/>
      <c r="H102" s="863"/>
      <c r="I102" s="863"/>
      <c r="J102" s="863"/>
      <c r="K102" s="863"/>
      <c r="L102" s="863"/>
      <c r="M102" s="863"/>
      <c r="N102" s="863"/>
      <c r="O102" s="863"/>
      <c r="P102" s="863"/>
      <c r="Q102" s="863"/>
      <c r="R102" s="863"/>
      <c r="S102" s="863"/>
      <c r="T102" s="863"/>
      <c r="U102" s="863"/>
      <c r="V102" s="863"/>
      <c r="W102" s="863"/>
      <c r="X102" s="863"/>
      <c r="Y102" s="864"/>
      <c r="Z102" s="864"/>
      <c r="AA102" s="863"/>
    </row>
    <row r="103" spans="1:27" ht="15.75" customHeight="1" x14ac:dyDescent="0.25">
      <c r="A103" s="244"/>
      <c r="B103" s="244"/>
      <c r="C103" s="863"/>
      <c r="D103" s="863"/>
      <c r="E103" s="863"/>
      <c r="F103" s="863"/>
      <c r="G103" s="863"/>
      <c r="H103" s="863"/>
      <c r="I103" s="863"/>
      <c r="J103" s="863"/>
      <c r="K103" s="863"/>
      <c r="L103" s="863"/>
      <c r="M103" s="863"/>
      <c r="N103" s="863"/>
      <c r="O103" s="863"/>
      <c r="P103" s="863"/>
      <c r="Q103" s="863"/>
      <c r="R103" s="863"/>
      <c r="S103" s="863"/>
      <c r="T103" s="863"/>
      <c r="U103" s="863"/>
      <c r="V103" s="863"/>
      <c r="W103" s="863"/>
      <c r="X103" s="863"/>
      <c r="Y103" s="864"/>
      <c r="Z103" s="864"/>
      <c r="AA103" s="863"/>
    </row>
    <row r="104" spans="1:27" ht="15.75" customHeight="1" x14ac:dyDescent="0.25">
      <c r="A104" s="244"/>
      <c r="B104" s="244"/>
      <c r="C104" s="863"/>
      <c r="D104" s="863"/>
      <c r="E104" s="863"/>
      <c r="F104" s="863"/>
      <c r="G104" s="863"/>
      <c r="H104" s="863"/>
      <c r="I104" s="863"/>
      <c r="J104" s="863"/>
      <c r="K104" s="863"/>
      <c r="L104" s="863"/>
      <c r="M104" s="863"/>
      <c r="N104" s="863"/>
      <c r="O104" s="863"/>
      <c r="P104" s="863"/>
      <c r="Q104" s="863"/>
      <c r="R104" s="863"/>
      <c r="S104" s="863"/>
      <c r="T104" s="863"/>
      <c r="U104" s="863"/>
      <c r="V104" s="863"/>
      <c r="W104" s="863"/>
      <c r="X104" s="863"/>
      <c r="Y104" s="864"/>
      <c r="Z104" s="864"/>
      <c r="AA104" s="863"/>
    </row>
    <row r="105" spans="1:27" ht="15.75" customHeight="1" x14ac:dyDescent="0.25">
      <c r="A105" s="244"/>
      <c r="B105" s="244"/>
      <c r="C105" s="863"/>
      <c r="D105" s="863"/>
      <c r="E105" s="863"/>
      <c r="F105" s="863"/>
      <c r="G105" s="863"/>
      <c r="H105" s="863"/>
      <c r="I105" s="863"/>
      <c r="J105" s="863"/>
      <c r="K105" s="863"/>
      <c r="L105" s="863"/>
      <c r="M105" s="863"/>
      <c r="N105" s="863"/>
      <c r="O105" s="863"/>
      <c r="P105" s="863"/>
      <c r="Q105" s="863"/>
      <c r="R105" s="863"/>
      <c r="S105" s="863"/>
      <c r="T105" s="863"/>
      <c r="U105" s="863"/>
      <c r="V105" s="863"/>
      <c r="W105" s="863"/>
      <c r="X105" s="863"/>
      <c r="Y105" s="864"/>
      <c r="Z105" s="864"/>
      <c r="AA105" s="863"/>
    </row>
    <row r="106" spans="1:27" ht="15.75" customHeight="1" x14ac:dyDescent="0.25">
      <c r="A106" s="244"/>
      <c r="B106" s="244"/>
      <c r="C106" s="863"/>
      <c r="D106" s="863"/>
      <c r="E106" s="863"/>
      <c r="F106" s="863"/>
      <c r="G106" s="863"/>
      <c r="H106" s="863"/>
      <c r="I106" s="863"/>
      <c r="J106" s="863"/>
      <c r="K106" s="863"/>
      <c r="L106" s="863"/>
      <c r="M106" s="863"/>
      <c r="N106" s="863"/>
      <c r="O106" s="863"/>
      <c r="P106" s="863"/>
      <c r="Q106" s="863"/>
      <c r="R106" s="863"/>
      <c r="S106" s="863"/>
      <c r="T106" s="863"/>
      <c r="U106" s="863"/>
      <c r="V106" s="863"/>
      <c r="W106" s="863"/>
      <c r="X106" s="863"/>
      <c r="Y106" s="864"/>
      <c r="Z106" s="864"/>
      <c r="AA106" s="863"/>
    </row>
    <row r="107" spans="1:27" ht="15.75" customHeight="1" x14ac:dyDescent="0.25">
      <c r="A107" s="244"/>
      <c r="B107" s="244"/>
      <c r="C107" s="863"/>
      <c r="D107" s="863"/>
      <c r="E107" s="863"/>
      <c r="F107" s="863"/>
      <c r="G107" s="863"/>
      <c r="H107" s="863"/>
      <c r="I107" s="863"/>
      <c r="J107" s="863"/>
      <c r="K107" s="863"/>
      <c r="L107" s="863"/>
      <c r="M107" s="863"/>
      <c r="N107" s="863"/>
      <c r="O107" s="863"/>
      <c r="P107" s="863"/>
      <c r="Q107" s="863"/>
      <c r="R107" s="863"/>
      <c r="S107" s="863"/>
      <c r="T107" s="863"/>
      <c r="U107" s="863"/>
      <c r="V107" s="863"/>
      <c r="W107" s="863"/>
      <c r="X107" s="863"/>
      <c r="Y107" s="864"/>
      <c r="Z107" s="864"/>
      <c r="AA107" s="863"/>
    </row>
    <row r="108" spans="1:27" ht="15.75" customHeight="1" x14ac:dyDescent="0.25">
      <c r="A108" s="244"/>
      <c r="B108" s="244"/>
      <c r="C108" s="863"/>
      <c r="D108" s="863"/>
      <c r="E108" s="863"/>
      <c r="F108" s="863"/>
      <c r="G108" s="863"/>
      <c r="H108" s="863"/>
      <c r="I108" s="863"/>
      <c r="J108" s="863"/>
      <c r="K108" s="863"/>
      <c r="L108" s="863"/>
      <c r="M108" s="863"/>
      <c r="N108" s="863"/>
      <c r="O108" s="863"/>
      <c r="P108" s="863"/>
      <c r="Q108" s="863"/>
      <c r="R108" s="863"/>
      <c r="S108" s="863"/>
      <c r="T108" s="863"/>
      <c r="U108" s="863"/>
      <c r="V108" s="863"/>
      <c r="W108" s="863"/>
      <c r="X108" s="863"/>
      <c r="Y108" s="864"/>
      <c r="Z108" s="864"/>
      <c r="AA108" s="863"/>
    </row>
    <row r="109" spans="1:27" ht="15.75" customHeight="1" x14ac:dyDescent="0.25">
      <c r="A109" s="244"/>
      <c r="B109" s="244"/>
      <c r="C109" s="863"/>
      <c r="D109" s="863"/>
      <c r="E109" s="863"/>
      <c r="F109" s="863"/>
      <c r="G109" s="863"/>
      <c r="H109" s="863"/>
      <c r="I109" s="863"/>
      <c r="J109" s="863"/>
      <c r="K109" s="863"/>
      <c r="L109" s="863"/>
      <c r="M109" s="863"/>
      <c r="N109" s="863"/>
      <c r="O109" s="863"/>
      <c r="P109" s="863"/>
      <c r="Q109" s="863"/>
      <c r="R109" s="863"/>
      <c r="S109" s="863"/>
      <c r="T109" s="863"/>
      <c r="U109" s="863"/>
      <c r="V109" s="863"/>
      <c r="W109" s="863"/>
      <c r="X109" s="863"/>
      <c r="Y109" s="864"/>
      <c r="Z109" s="864"/>
      <c r="AA109" s="863"/>
    </row>
    <row r="110" spans="1:27" ht="15.75" customHeight="1" x14ac:dyDescent="0.25">
      <c r="A110" s="244"/>
      <c r="B110" s="244"/>
      <c r="C110" s="863"/>
      <c r="D110" s="863"/>
      <c r="E110" s="863"/>
      <c r="F110" s="863"/>
      <c r="G110" s="863"/>
      <c r="H110" s="863"/>
      <c r="I110" s="863"/>
      <c r="J110" s="863"/>
      <c r="K110" s="863"/>
      <c r="L110" s="863"/>
      <c r="M110" s="863"/>
      <c r="N110" s="863"/>
      <c r="O110" s="863"/>
      <c r="P110" s="863"/>
      <c r="Q110" s="863"/>
      <c r="R110" s="863"/>
      <c r="S110" s="863"/>
      <c r="T110" s="863"/>
      <c r="U110" s="863"/>
      <c r="V110" s="863"/>
      <c r="W110" s="863"/>
      <c r="X110" s="863"/>
      <c r="Y110" s="864"/>
      <c r="Z110" s="864"/>
      <c r="AA110" s="863"/>
    </row>
    <row r="111" spans="1:27" ht="15.75" customHeight="1" x14ac:dyDescent="0.25">
      <c r="A111" s="244"/>
      <c r="B111" s="244"/>
      <c r="C111" s="863"/>
      <c r="D111" s="863"/>
      <c r="E111" s="863"/>
      <c r="F111" s="863"/>
      <c r="G111" s="863"/>
      <c r="H111" s="863"/>
      <c r="I111" s="863"/>
      <c r="J111" s="863"/>
      <c r="K111" s="863"/>
      <c r="L111" s="863"/>
      <c r="M111" s="863"/>
      <c r="N111" s="863"/>
      <c r="O111" s="863"/>
      <c r="P111" s="863"/>
      <c r="Q111" s="863"/>
      <c r="R111" s="863"/>
      <c r="S111" s="863"/>
      <c r="T111" s="863"/>
      <c r="U111" s="863"/>
      <c r="V111" s="863"/>
      <c r="W111" s="863"/>
      <c r="X111" s="863"/>
      <c r="Y111" s="864"/>
      <c r="Z111" s="864"/>
      <c r="AA111" s="863"/>
    </row>
    <row r="112" spans="1:27" ht="15.75" customHeight="1" x14ac:dyDescent="0.25">
      <c r="A112" s="244"/>
      <c r="B112" s="244"/>
      <c r="C112" s="863"/>
      <c r="D112" s="863"/>
      <c r="E112" s="863"/>
      <c r="F112" s="863"/>
      <c r="G112" s="863"/>
      <c r="H112" s="863"/>
      <c r="I112" s="863"/>
      <c r="J112" s="863"/>
      <c r="K112" s="863"/>
      <c r="L112" s="863"/>
      <c r="M112" s="863"/>
      <c r="N112" s="863"/>
      <c r="O112" s="863"/>
      <c r="P112" s="863"/>
      <c r="Q112" s="863"/>
      <c r="R112" s="863"/>
      <c r="S112" s="863"/>
      <c r="T112" s="863"/>
      <c r="U112" s="863"/>
      <c r="V112" s="863"/>
      <c r="W112" s="863"/>
      <c r="X112" s="863"/>
      <c r="Y112" s="864"/>
      <c r="Z112" s="864"/>
      <c r="AA112" s="863"/>
    </row>
    <row r="113" spans="1:27" ht="15.75" customHeight="1" x14ac:dyDescent="0.25">
      <c r="A113" s="244"/>
      <c r="B113" s="244"/>
      <c r="C113" s="863"/>
      <c r="D113" s="863"/>
      <c r="E113" s="863"/>
      <c r="F113" s="863"/>
      <c r="G113" s="863"/>
      <c r="H113" s="863"/>
      <c r="I113" s="863"/>
      <c r="J113" s="863"/>
      <c r="K113" s="863"/>
      <c r="L113" s="863"/>
      <c r="M113" s="863"/>
      <c r="N113" s="863"/>
      <c r="O113" s="863"/>
      <c r="P113" s="863"/>
      <c r="Q113" s="863"/>
      <c r="R113" s="863"/>
      <c r="S113" s="863"/>
      <c r="T113" s="863"/>
      <c r="U113" s="863"/>
      <c r="V113" s="863"/>
      <c r="W113" s="863"/>
      <c r="X113" s="863"/>
      <c r="Y113" s="864"/>
      <c r="Z113" s="864"/>
      <c r="AA113" s="863"/>
    </row>
    <row r="114" spans="1:27" ht="15.75" customHeight="1" x14ac:dyDescent="0.25">
      <c r="A114" s="244"/>
      <c r="B114" s="244"/>
      <c r="C114" s="863"/>
      <c r="D114" s="863"/>
      <c r="E114" s="863"/>
      <c r="F114" s="863"/>
      <c r="G114" s="863"/>
      <c r="H114" s="863"/>
      <c r="I114" s="863"/>
      <c r="J114" s="863"/>
      <c r="K114" s="863"/>
      <c r="L114" s="863"/>
      <c r="M114" s="863"/>
      <c r="N114" s="863"/>
      <c r="O114" s="863"/>
      <c r="P114" s="863"/>
      <c r="Q114" s="863"/>
      <c r="R114" s="863"/>
      <c r="S114" s="863"/>
      <c r="T114" s="863"/>
      <c r="U114" s="863"/>
      <c r="V114" s="863"/>
      <c r="W114" s="863"/>
      <c r="X114" s="863"/>
      <c r="Y114" s="864"/>
      <c r="Z114" s="864"/>
      <c r="AA114" s="863"/>
    </row>
    <row r="115" spans="1:27" ht="15.75" customHeight="1" x14ac:dyDescent="0.25">
      <c r="A115" s="244"/>
      <c r="B115" s="244"/>
      <c r="C115" s="863"/>
      <c r="D115" s="863"/>
      <c r="E115" s="863"/>
      <c r="F115" s="863"/>
      <c r="G115" s="863"/>
      <c r="H115" s="863"/>
      <c r="I115" s="863"/>
      <c r="J115" s="863"/>
      <c r="K115" s="863"/>
      <c r="L115" s="863"/>
      <c r="M115" s="863"/>
      <c r="N115" s="863"/>
      <c r="O115" s="863"/>
      <c r="P115" s="863"/>
      <c r="Q115" s="863"/>
      <c r="R115" s="863"/>
      <c r="S115" s="863"/>
      <c r="T115" s="863"/>
      <c r="U115" s="863"/>
      <c r="V115" s="863"/>
      <c r="W115" s="863"/>
      <c r="X115" s="863"/>
      <c r="Y115" s="864"/>
      <c r="Z115" s="864"/>
      <c r="AA115" s="863"/>
    </row>
    <row r="116" spans="1:27" ht="15.75" customHeight="1" x14ac:dyDescent="0.25">
      <c r="A116" s="244"/>
      <c r="B116" s="244"/>
      <c r="C116" s="863"/>
      <c r="D116" s="863"/>
      <c r="E116" s="863"/>
      <c r="F116" s="863"/>
      <c r="G116" s="863"/>
      <c r="H116" s="863"/>
      <c r="I116" s="863"/>
      <c r="J116" s="863"/>
      <c r="K116" s="863"/>
      <c r="L116" s="863"/>
      <c r="M116" s="863"/>
      <c r="N116" s="863"/>
      <c r="O116" s="863"/>
      <c r="P116" s="863"/>
      <c r="Q116" s="863"/>
      <c r="R116" s="863"/>
      <c r="S116" s="863"/>
      <c r="T116" s="863"/>
      <c r="U116" s="863"/>
      <c r="V116" s="863"/>
      <c r="W116" s="863"/>
      <c r="X116" s="863"/>
      <c r="Y116" s="864"/>
      <c r="Z116" s="864"/>
      <c r="AA116" s="863"/>
    </row>
    <row r="117" spans="1:27" ht="15.75" customHeight="1" x14ac:dyDescent="0.25">
      <c r="A117" s="244"/>
      <c r="B117" s="244"/>
      <c r="C117" s="863"/>
      <c r="D117" s="863"/>
      <c r="E117" s="863"/>
      <c r="F117" s="863"/>
      <c r="G117" s="863"/>
      <c r="H117" s="863"/>
      <c r="I117" s="863"/>
      <c r="J117" s="863"/>
      <c r="K117" s="863"/>
      <c r="L117" s="863"/>
      <c r="M117" s="863"/>
      <c r="N117" s="863"/>
      <c r="O117" s="863"/>
      <c r="P117" s="863"/>
      <c r="Q117" s="863"/>
      <c r="R117" s="863"/>
      <c r="S117" s="863"/>
      <c r="T117" s="863"/>
      <c r="U117" s="863"/>
      <c r="V117" s="863"/>
      <c r="W117" s="863"/>
      <c r="X117" s="863"/>
      <c r="Y117" s="864"/>
      <c r="Z117" s="864"/>
      <c r="AA117" s="863"/>
    </row>
    <row r="118" spans="1:27" ht="15.75" customHeight="1" x14ac:dyDescent="0.25">
      <c r="A118" s="244"/>
      <c r="B118" s="244"/>
      <c r="C118" s="863"/>
      <c r="D118" s="863"/>
      <c r="E118" s="863"/>
      <c r="F118" s="863"/>
      <c r="G118" s="863"/>
      <c r="H118" s="863"/>
      <c r="I118" s="863"/>
      <c r="J118" s="863"/>
      <c r="K118" s="863"/>
      <c r="L118" s="863"/>
      <c r="M118" s="863"/>
      <c r="N118" s="863"/>
      <c r="O118" s="863"/>
      <c r="P118" s="863"/>
      <c r="Q118" s="863"/>
      <c r="R118" s="863"/>
      <c r="S118" s="863"/>
      <c r="T118" s="863"/>
      <c r="U118" s="863"/>
      <c r="V118" s="863"/>
      <c r="W118" s="863"/>
      <c r="X118" s="863"/>
      <c r="Y118" s="864"/>
      <c r="Z118" s="864"/>
      <c r="AA118" s="863"/>
    </row>
    <row r="119" spans="1:27" ht="15.75" customHeight="1" x14ac:dyDescent="0.25">
      <c r="A119" s="244"/>
      <c r="B119" s="244"/>
      <c r="C119" s="863"/>
      <c r="D119" s="863"/>
      <c r="E119" s="863"/>
      <c r="F119" s="863"/>
      <c r="G119" s="863"/>
      <c r="H119" s="863"/>
      <c r="I119" s="863"/>
      <c r="J119" s="863"/>
      <c r="K119" s="863"/>
      <c r="L119" s="863"/>
      <c r="M119" s="863"/>
      <c r="N119" s="863"/>
      <c r="O119" s="863"/>
      <c r="P119" s="863"/>
      <c r="Q119" s="863"/>
      <c r="R119" s="863"/>
      <c r="S119" s="863"/>
      <c r="T119" s="863"/>
      <c r="U119" s="863"/>
      <c r="V119" s="863"/>
      <c r="W119" s="863"/>
      <c r="X119" s="863"/>
      <c r="Y119" s="864"/>
      <c r="Z119" s="864"/>
      <c r="AA119" s="863"/>
    </row>
    <row r="120" spans="1:27" ht="15.75" customHeight="1" x14ac:dyDescent="0.25">
      <c r="A120" s="244"/>
      <c r="B120" s="244"/>
      <c r="C120" s="863"/>
      <c r="D120" s="863"/>
      <c r="E120" s="863"/>
      <c r="F120" s="863"/>
      <c r="G120" s="863"/>
      <c r="H120" s="863"/>
      <c r="I120" s="863"/>
      <c r="J120" s="863"/>
      <c r="K120" s="863"/>
      <c r="L120" s="863"/>
      <c r="M120" s="863"/>
      <c r="N120" s="863"/>
      <c r="O120" s="863"/>
      <c r="P120" s="863"/>
      <c r="Q120" s="863"/>
      <c r="R120" s="863"/>
      <c r="S120" s="863"/>
      <c r="T120" s="863"/>
      <c r="U120" s="863"/>
      <c r="V120" s="863"/>
      <c r="W120" s="863"/>
      <c r="X120" s="863"/>
      <c r="Y120" s="864"/>
      <c r="Z120" s="864"/>
      <c r="AA120" s="863"/>
    </row>
    <row r="121" spans="1:27" ht="15.75" customHeight="1" x14ac:dyDescent="0.25">
      <c r="A121" s="244"/>
      <c r="B121" s="244"/>
      <c r="C121" s="863"/>
      <c r="D121" s="863"/>
      <c r="E121" s="863"/>
      <c r="F121" s="863"/>
      <c r="G121" s="863"/>
      <c r="H121" s="863"/>
      <c r="I121" s="863"/>
      <c r="J121" s="863"/>
      <c r="K121" s="863"/>
      <c r="L121" s="863"/>
      <c r="M121" s="863"/>
      <c r="N121" s="863"/>
      <c r="O121" s="863"/>
      <c r="P121" s="863"/>
      <c r="Q121" s="863"/>
      <c r="R121" s="863"/>
      <c r="S121" s="863"/>
      <c r="T121" s="863"/>
      <c r="U121" s="863"/>
      <c r="V121" s="863"/>
      <c r="W121" s="863"/>
      <c r="X121" s="863"/>
      <c r="Y121" s="864"/>
      <c r="Z121" s="864"/>
      <c r="AA121" s="863"/>
    </row>
    <row r="122" spans="1:27" ht="15.75" customHeight="1" x14ac:dyDescent="0.25">
      <c r="A122" s="244"/>
      <c r="B122" s="244"/>
      <c r="C122" s="863"/>
      <c r="D122" s="863"/>
      <c r="E122" s="863"/>
      <c r="F122" s="863"/>
      <c r="G122" s="863"/>
      <c r="H122" s="863"/>
      <c r="I122" s="863"/>
      <c r="J122" s="863"/>
      <c r="K122" s="863"/>
      <c r="L122" s="863"/>
      <c r="M122" s="863"/>
      <c r="N122" s="863"/>
      <c r="O122" s="863"/>
      <c r="P122" s="863"/>
      <c r="Q122" s="863"/>
      <c r="R122" s="863"/>
      <c r="S122" s="863"/>
      <c r="T122" s="863"/>
      <c r="U122" s="863"/>
      <c r="V122" s="863"/>
      <c r="W122" s="863"/>
      <c r="X122" s="863"/>
      <c r="Y122" s="864"/>
      <c r="Z122" s="864"/>
      <c r="AA122" s="863"/>
    </row>
    <row r="123" spans="1:27" ht="15.75" customHeight="1" x14ac:dyDescent="0.25">
      <c r="A123" s="244"/>
      <c r="B123" s="244"/>
      <c r="C123" s="863"/>
      <c r="D123" s="863"/>
      <c r="E123" s="863"/>
      <c r="F123" s="863"/>
      <c r="G123" s="863"/>
      <c r="H123" s="863"/>
      <c r="I123" s="863"/>
      <c r="J123" s="863"/>
      <c r="K123" s="863"/>
      <c r="L123" s="863"/>
      <c r="M123" s="863"/>
      <c r="N123" s="863"/>
      <c r="O123" s="863"/>
      <c r="P123" s="863"/>
      <c r="Q123" s="863"/>
      <c r="R123" s="863"/>
      <c r="S123" s="863"/>
      <c r="T123" s="863"/>
      <c r="U123" s="863"/>
      <c r="V123" s="863"/>
      <c r="W123" s="863"/>
      <c r="X123" s="863"/>
      <c r="Y123" s="864"/>
      <c r="Z123" s="864"/>
      <c r="AA123" s="863"/>
    </row>
    <row r="124" spans="1:27" ht="15.75" customHeight="1" x14ac:dyDescent="0.25">
      <c r="A124" s="244"/>
      <c r="B124" s="244"/>
      <c r="C124" s="863"/>
      <c r="D124" s="863"/>
      <c r="E124" s="863"/>
      <c r="F124" s="863"/>
      <c r="G124" s="863"/>
      <c r="H124" s="863"/>
      <c r="I124" s="863"/>
      <c r="J124" s="863"/>
      <c r="K124" s="863"/>
      <c r="L124" s="863"/>
      <c r="M124" s="863"/>
      <c r="N124" s="863"/>
      <c r="O124" s="863"/>
      <c r="P124" s="863"/>
      <c r="Q124" s="863"/>
      <c r="R124" s="863"/>
      <c r="S124" s="863"/>
      <c r="T124" s="863"/>
      <c r="U124" s="863"/>
      <c r="V124" s="863"/>
      <c r="W124" s="863"/>
      <c r="X124" s="863"/>
      <c r="Y124" s="864"/>
      <c r="Z124" s="864"/>
      <c r="AA124" s="863"/>
    </row>
    <row r="125" spans="1:27" ht="15.75" customHeight="1" x14ac:dyDescent="0.25">
      <c r="A125" s="244"/>
      <c r="B125" s="244"/>
      <c r="C125" s="863"/>
      <c r="D125" s="863"/>
      <c r="E125" s="863"/>
      <c r="F125" s="863"/>
      <c r="G125" s="863"/>
      <c r="H125" s="863"/>
      <c r="I125" s="863"/>
      <c r="J125" s="863"/>
      <c r="K125" s="863"/>
      <c r="L125" s="863"/>
      <c r="M125" s="863"/>
      <c r="N125" s="863"/>
      <c r="O125" s="863"/>
      <c r="P125" s="863"/>
      <c r="Q125" s="863"/>
      <c r="R125" s="863"/>
      <c r="S125" s="863"/>
      <c r="T125" s="863"/>
      <c r="U125" s="863"/>
      <c r="V125" s="863"/>
      <c r="W125" s="863"/>
      <c r="X125" s="863"/>
      <c r="Y125" s="864"/>
      <c r="Z125" s="864"/>
      <c r="AA125" s="863"/>
    </row>
    <row r="126" spans="1:27" ht="15.75" customHeight="1" x14ac:dyDescent="0.25">
      <c r="A126" s="244"/>
      <c r="B126" s="244"/>
      <c r="C126" s="863"/>
      <c r="D126" s="863"/>
      <c r="E126" s="863"/>
      <c r="F126" s="863"/>
      <c r="G126" s="863"/>
      <c r="H126" s="863"/>
      <c r="I126" s="863"/>
      <c r="J126" s="863"/>
      <c r="K126" s="863"/>
      <c r="L126" s="863"/>
      <c r="M126" s="863"/>
      <c r="N126" s="863"/>
      <c r="O126" s="863"/>
      <c r="P126" s="863"/>
      <c r="Q126" s="863"/>
      <c r="R126" s="863"/>
      <c r="S126" s="863"/>
      <c r="T126" s="863"/>
      <c r="U126" s="863"/>
      <c r="V126" s="863"/>
      <c r="W126" s="863"/>
      <c r="X126" s="863"/>
      <c r="Y126" s="864"/>
      <c r="Z126" s="864"/>
      <c r="AA126" s="863"/>
    </row>
    <row r="127" spans="1:27" ht="15.75" customHeight="1" x14ac:dyDescent="0.25">
      <c r="A127" s="244"/>
      <c r="B127" s="244"/>
      <c r="C127" s="863"/>
      <c r="D127" s="863"/>
      <c r="E127" s="863"/>
      <c r="F127" s="863"/>
      <c r="G127" s="863"/>
      <c r="H127" s="863"/>
      <c r="I127" s="863"/>
      <c r="J127" s="863"/>
      <c r="K127" s="863"/>
      <c r="L127" s="863"/>
      <c r="M127" s="863"/>
      <c r="N127" s="863"/>
      <c r="O127" s="863"/>
      <c r="P127" s="863"/>
      <c r="Q127" s="863"/>
      <c r="R127" s="863"/>
      <c r="S127" s="863"/>
      <c r="T127" s="863"/>
      <c r="U127" s="863"/>
      <c r="V127" s="863"/>
      <c r="W127" s="863"/>
      <c r="X127" s="863"/>
      <c r="Y127" s="864"/>
      <c r="Z127" s="864"/>
      <c r="AA127" s="863"/>
    </row>
    <row r="128" spans="1:27" ht="15.75" customHeight="1" x14ac:dyDescent="0.25">
      <c r="A128" s="244"/>
      <c r="B128" s="244"/>
      <c r="C128" s="863"/>
      <c r="D128" s="863"/>
      <c r="E128" s="863"/>
      <c r="F128" s="863"/>
      <c r="G128" s="863"/>
      <c r="H128" s="863"/>
      <c r="I128" s="863"/>
      <c r="J128" s="863"/>
      <c r="K128" s="863"/>
      <c r="L128" s="863"/>
      <c r="M128" s="863"/>
      <c r="N128" s="863"/>
      <c r="O128" s="863"/>
      <c r="P128" s="863"/>
      <c r="Q128" s="863"/>
      <c r="R128" s="863"/>
      <c r="S128" s="863"/>
      <c r="T128" s="863"/>
      <c r="U128" s="863"/>
      <c r="V128" s="863"/>
      <c r="W128" s="863"/>
      <c r="X128" s="863"/>
      <c r="Y128" s="864"/>
      <c r="Z128" s="864"/>
      <c r="AA128" s="863"/>
    </row>
    <row r="129" spans="1:27" ht="15.75" customHeight="1" x14ac:dyDescent="0.25">
      <c r="A129" s="244"/>
      <c r="B129" s="244"/>
      <c r="C129" s="863"/>
      <c r="D129" s="863"/>
      <c r="E129" s="863"/>
      <c r="F129" s="863"/>
      <c r="G129" s="863"/>
      <c r="H129" s="863"/>
      <c r="I129" s="863"/>
      <c r="J129" s="863"/>
      <c r="K129" s="863"/>
      <c r="L129" s="863"/>
      <c r="M129" s="863"/>
      <c r="N129" s="863"/>
      <c r="O129" s="863"/>
      <c r="P129" s="863"/>
      <c r="Q129" s="863"/>
      <c r="R129" s="863"/>
      <c r="S129" s="863"/>
      <c r="T129" s="863"/>
      <c r="U129" s="863"/>
      <c r="V129" s="863"/>
      <c r="W129" s="863"/>
      <c r="X129" s="863"/>
      <c r="Y129" s="864"/>
      <c r="Z129" s="864"/>
      <c r="AA129" s="863"/>
    </row>
    <row r="130" spans="1:27" ht="15.75" customHeight="1" x14ac:dyDescent="0.25">
      <c r="A130" s="244"/>
      <c r="B130" s="244"/>
      <c r="C130" s="863"/>
      <c r="D130" s="863"/>
      <c r="E130" s="863"/>
      <c r="F130" s="863"/>
      <c r="G130" s="863"/>
      <c r="H130" s="863"/>
      <c r="I130" s="863"/>
      <c r="J130" s="863"/>
      <c r="K130" s="863"/>
      <c r="L130" s="863"/>
      <c r="M130" s="863"/>
      <c r="N130" s="863"/>
      <c r="O130" s="863"/>
      <c r="P130" s="863"/>
      <c r="Q130" s="863"/>
      <c r="R130" s="863"/>
      <c r="S130" s="863"/>
      <c r="T130" s="863"/>
      <c r="U130" s="863"/>
      <c r="V130" s="863"/>
      <c r="W130" s="863"/>
      <c r="X130" s="863"/>
      <c r="Y130" s="864"/>
      <c r="Z130" s="864"/>
      <c r="AA130" s="863"/>
    </row>
    <row r="131" spans="1:27" ht="15.75" customHeight="1" x14ac:dyDescent="0.25">
      <c r="A131" s="244"/>
      <c r="B131" s="244"/>
      <c r="C131" s="863"/>
      <c r="D131" s="863"/>
      <c r="E131" s="863"/>
      <c r="F131" s="863"/>
      <c r="G131" s="863"/>
      <c r="H131" s="863"/>
      <c r="I131" s="863"/>
      <c r="J131" s="863"/>
      <c r="K131" s="863"/>
      <c r="L131" s="863"/>
      <c r="M131" s="863"/>
      <c r="N131" s="863"/>
      <c r="O131" s="863"/>
      <c r="P131" s="863"/>
      <c r="Q131" s="863"/>
      <c r="R131" s="863"/>
      <c r="S131" s="863"/>
      <c r="T131" s="863"/>
      <c r="U131" s="863"/>
      <c r="V131" s="863"/>
      <c r="W131" s="863"/>
      <c r="X131" s="863"/>
      <c r="Y131" s="864"/>
      <c r="Z131" s="864"/>
      <c r="AA131" s="863"/>
    </row>
    <row r="132" spans="1:27" ht="15.75" customHeight="1" x14ac:dyDescent="0.25">
      <c r="A132" s="244"/>
      <c r="B132" s="244"/>
      <c r="C132" s="863"/>
      <c r="D132" s="863"/>
      <c r="E132" s="863"/>
      <c r="F132" s="863"/>
      <c r="G132" s="863"/>
      <c r="H132" s="863"/>
      <c r="I132" s="863"/>
      <c r="J132" s="863"/>
      <c r="K132" s="863"/>
      <c r="L132" s="863"/>
      <c r="M132" s="863"/>
      <c r="N132" s="863"/>
      <c r="O132" s="863"/>
      <c r="P132" s="863"/>
      <c r="Q132" s="863"/>
      <c r="R132" s="863"/>
      <c r="S132" s="863"/>
      <c r="T132" s="863"/>
      <c r="U132" s="863"/>
      <c r="V132" s="863"/>
      <c r="W132" s="863"/>
      <c r="X132" s="863"/>
      <c r="Y132" s="864"/>
      <c r="Z132" s="864"/>
      <c r="AA132" s="863"/>
    </row>
    <row r="133" spans="1:27" ht="15.75" customHeight="1" x14ac:dyDescent="0.25">
      <c r="A133" s="244"/>
      <c r="B133" s="244"/>
      <c r="C133" s="863"/>
      <c r="D133" s="863"/>
      <c r="E133" s="863"/>
      <c r="F133" s="863"/>
      <c r="G133" s="863"/>
      <c r="H133" s="863"/>
      <c r="I133" s="863"/>
      <c r="J133" s="863"/>
      <c r="K133" s="863"/>
      <c r="L133" s="863"/>
      <c r="M133" s="863"/>
      <c r="N133" s="863"/>
      <c r="O133" s="863"/>
      <c r="P133" s="863"/>
      <c r="Q133" s="863"/>
      <c r="R133" s="863"/>
      <c r="S133" s="863"/>
      <c r="T133" s="863"/>
      <c r="U133" s="863"/>
      <c r="V133" s="863"/>
      <c r="W133" s="863"/>
      <c r="X133" s="863"/>
      <c r="Y133" s="864"/>
      <c r="Z133" s="864"/>
      <c r="AA133" s="863"/>
    </row>
    <row r="134" spans="1:27" ht="15.75" customHeight="1" x14ac:dyDescent="0.25">
      <c r="A134" s="244"/>
      <c r="B134" s="244"/>
      <c r="C134" s="863"/>
      <c r="D134" s="863"/>
      <c r="E134" s="863"/>
      <c r="F134" s="863"/>
      <c r="G134" s="863"/>
      <c r="H134" s="863"/>
      <c r="I134" s="863"/>
      <c r="J134" s="863"/>
      <c r="K134" s="863"/>
      <c r="L134" s="863"/>
      <c r="M134" s="863"/>
      <c r="N134" s="863"/>
      <c r="O134" s="863"/>
      <c r="P134" s="863"/>
      <c r="Q134" s="863"/>
      <c r="R134" s="863"/>
      <c r="S134" s="863"/>
      <c r="T134" s="863"/>
      <c r="U134" s="863"/>
      <c r="V134" s="863"/>
      <c r="W134" s="863"/>
      <c r="X134" s="863"/>
      <c r="Y134" s="864"/>
      <c r="Z134" s="864"/>
      <c r="AA134" s="863"/>
    </row>
    <row r="135" spans="1:27" ht="15.75" customHeight="1" x14ac:dyDescent="0.25">
      <c r="A135" s="244"/>
      <c r="B135" s="244"/>
      <c r="C135" s="863"/>
      <c r="D135" s="863"/>
      <c r="E135" s="863"/>
      <c r="F135" s="863"/>
      <c r="G135" s="863"/>
      <c r="H135" s="863"/>
      <c r="I135" s="863"/>
      <c r="J135" s="863"/>
      <c r="K135" s="863"/>
      <c r="L135" s="863"/>
      <c r="M135" s="863"/>
      <c r="N135" s="863"/>
      <c r="O135" s="863"/>
      <c r="P135" s="863"/>
      <c r="Q135" s="863"/>
      <c r="R135" s="863"/>
      <c r="S135" s="863"/>
      <c r="T135" s="863"/>
      <c r="U135" s="863"/>
      <c r="V135" s="863"/>
      <c r="W135" s="863"/>
      <c r="X135" s="863"/>
      <c r="Y135" s="864"/>
      <c r="Z135" s="864"/>
      <c r="AA135" s="863"/>
    </row>
    <row r="136" spans="1:27" ht="15.75" customHeight="1" x14ac:dyDescent="0.25">
      <c r="A136" s="244"/>
      <c r="B136" s="244"/>
      <c r="C136" s="863"/>
      <c r="D136" s="863"/>
      <c r="E136" s="863"/>
      <c r="F136" s="863"/>
      <c r="G136" s="863"/>
      <c r="H136" s="863"/>
      <c r="I136" s="863"/>
      <c r="J136" s="863"/>
      <c r="K136" s="863"/>
      <c r="L136" s="863"/>
      <c r="M136" s="863"/>
      <c r="N136" s="863"/>
      <c r="O136" s="863"/>
      <c r="P136" s="863"/>
      <c r="Q136" s="863"/>
      <c r="R136" s="863"/>
      <c r="S136" s="863"/>
      <c r="T136" s="863"/>
      <c r="U136" s="863"/>
      <c r="V136" s="863"/>
      <c r="W136" s="863"/>
      <c r="X136" s="863"/>
      <c r="Y136" s="864"/>
      <c r="Z136" s="864"/>
      <c r="AA136" s="863"/>
    </row>
    <row r="137" spans="1:27" ht="15.75" customHeight="1" x14ac:dyDescent="0.25">
      <c r="A137" s="244"/>
      <c r="B137" s="244"/>
      <c r="C137" s="863"/>
      <c r="D137" s="863"/>
      <c r="E137" s="863"/>
      <c r="F137" s="863"/>
      <c r="G137" s="863"/>
      <c r="H137" s="863"/>
      <c r="I137" s="863"/>
      <c r="J137" s="863"/>
      <c r="K137" s="863"/>
      <c r="L137" s="863"/>
      <c r="M137" s="863"/>
      <c r="N137" s="863"/>
      <c r="O137" s="863"/>
      <c r="P137" s="863"/>
      <c r="Q137" s="863"/>
      <c r="R137" s="863"/>
      <c r="S137" s="863"/>
      <c r="T137" s="863"/>
      <c r="U137" s="863"/>
      <c r="V137" s="863"/>
      <c r="W137" s="863"/>
      <c r="X137" s="863"/>
      <c r="Y137" s="864"/>
      <c r="Z137" s="864"/>
      <c r="AA137" s="863"/>
    </row>
    <row r="138" spans="1:27" ht="15.75" customHeight="1" x14ac:dyDescent="0.25">
      <c r="A138" s="244"/>
      <c r="B138" s="244"/>
      <c r="C138" s="863"/>
      <c r="D138" s="863"/>
      <c r="E138" s="863"/>
      <c r="F138" s="863"/>
      <c r="G138" s="863"/>
      <c r="H138" s="863"/>
      <c r="I138" s="863"/>
      <c r="J138" s="863"/>
      <c r="K138" s="863"/>
      <c r="L138" s="863"/>
      <c r="M138" s="863"/>
      <c r="N138" s="863"/>
      <c r="O138" s="863"/>
      <c r="P138" s="863"/>
      <c r="Q138" s="863"/>
      <c r="R138" s="863"/>
      <c r="S138" s="863"/>
      <c r="T138" s="863"/>
      <c r="U138" s="863"/>
      <c r="V138" s="863"/>
      <c r="W138" s="863"/>
      <c r="X138" s="863"/>
      <c r="Y138" s="864"/>
      <c r="Z138" s="864"/>
      <c r="AA138" s="863"/>
    </row>
    <row r="139" spans="1:27" ht="15.75" customHeight="1" x14ac:dyDescent="0.25">
      <c r="A139" s="244"/>
      <c r="B139" s="244"/>
      <c r="C139" s="863"/>
      <c r="D139" s="863"/>
      <c r="E139" s="863"/>
      <c r="F139" s="863"/>
      <c r="G139" s="863"/>
      <c r="H139" s="863"/>
      <c r="I139" s="863"/>
      <c r="J139" s="863"/>
      <c r="K139" s="863"/>
      <c r="L139" s="863"/>
      <c r="M139" s="863"/>
      <c r="N139" s="863"/>
      <c r="O139" s="863"/>
      <c r="P139" s="863"/>
      <c r="Q139" s="863"/>
      <c r="R139" s="863"/>
      <c r="S139" s="863"/>
      <c r="T139" s="863"/>
      <c r="U139" s="863"/>
      <c r="V139" s="863"/>
      <c r="W139" s="863"/>
      <c r="X139" s="863"/>
      <c r="Y139" s="864"/>
      <c r="Z139" s="864"/>
      <c r="AA139" s="863"/>
    </row>
    <row r="140" spans="1:27" ht="15.75" customHeight="1" x14ac:dyDescent="0.25">
      <c r="A140" s="244"/>
      <c r="B140" s="244"/>
      <c r="C140" s="863"/>
      <c r="D140" s="863"/>
      <c r="E140" s="863"/>
      <c r="F140" s="863"/>
      <c r="G140" s="863"/>
      <c r="H140" s="863"/>
      <c r="I140" s="863"/>
      <c r="J140" s="863"/>
      <c r="K140" s="863"/>
      <c r="L140" s="863"/>
      <c r="M140" s="863"/>
      <c r="N140" s="863"/>
      <c r="O140" s="863"/>
      <c r="P140" s="863"/>
      <c r="Q140" s="863"/>
      <c r="R140" s="863"/>
      <c r="S140" s="863"/>
      <c r="T140" s="863"/>
      <c r="U140" s="863"/>
      <c r="V140" s="863"/>
      <c r="W140" s="863"/>
      <c r="X140" s="863"/>
      <c r="Y140" s="864"/>
      <c r="Z140" s="864"/>
      <c r="AA140" s="863"/>
    </row>
    <row r="141" spans="1:27" ht="15.75" customHeight="1" x14ac:dyDescent="0.25">
      <c r="A141" s="244"/>
      <c r="B141" s="244"/>
      <c r="C141" s="863"/>
      <c r="D141" s="863"/>
      <c r="E141" s="863"/>
      <c r="F141" s="863"/>
      <c r="G141" s="863"/>
      <c r="H141" s="863"/>
      <c r="I141" s="863"/>
      <c r="J141" s="863"/>
      <c r="K141" s="863"/>
      <c r="L141" s="863"/>
      <c r="M141" s="863"/>
      <c r="N141" s="863"/>
      <c r="O141" s="863"/>
      <c r="P141" s="863"/>
      <c r="Q141" s="863"/>
      <c r="R141" s="863"/>
      <c r="S141" s="863"/>
      <c r="T141" s="863"/>
      <c r="U141" s="863"/>
      <c r="V141" s="863"/>
      <c r="W141" s="863"/>
      <c r="X141" s="863"/>
      <c r="Y141" s="864"/>
      <c r="Z141" s="864"/>
      <c r="AA141" s="863"/>
    </row>
    <row r="142" spans="1:27" ht="15.75" customHeight="1" x14ac:dyDescent="0.25">
      <c r="A142" s="244"/>
      <c r="B142" s="244"/>
      <c r="C142" s="863"/>
      <c r="D142" s="863"/>
      <c r="E142" s="863"/>
      <c r="F142" s="863"/>
      <c r="G142" s="863"/>
      <c r="H142" s="863"/>
      <c r="I142" s="863"/>
      <c r="J142" s="863"/>
      <c r="K142" s="863"/>
      <c r="L142" s="863"/>
      <c r="M142" s="863"/>
      <c r="N142" s="863"/>
      <c r="O142" s="863"/>
      <c r="P142" s="863"/>
      <c r="Q142" s="863"/>
      <c r="R142" s="863"/>
      <c r="S142" s="863"/>
      <c r="T142" s="863"/>
      <c r="U142" s="863"/>
      <c r="V142" s="863"/>
      <c r="W142" s="863"/>
      <c r="X142" s="863"/>
      <c r="Y142" s="864"/>
      <c r="Z142" s="864"/>
      <c r="AA142" s="863"/>
    </row>
    <row r="143" spans="1:27" ht="15.75" customHeight="1" x14ac:dyDescent="0.25">
      <c r="A143" s="244"/>
      <c r="B143" s="244"/>
      <c r="C143" s="863"/>
      <c r="D143" s="863"/>
      <c r="E143" s="863"/>
      <c r="F143" s="863"/>
      <c r="G143" s="863"/>
      <c r="H143" s="863"/>
      <c r="I143" s="863"/>
      <c r="J143" s="863"/>
      <c r="K143" s="863"/>
      <c r="L143" s="863"/>
      <c r="M143" s="863"/>
      <c r="N143" s="863"/>
      <c r="O143" s="863"/>
      <c r="P143" s="863"/>
      <c r="Q143" s="863"/>
      <c r="R143" s="863"/>
      <c r="S143" s="863"/>
      <c r="T143" s="863"/>
      <c r="U143" s="863"/>
      <c r="V143" s="863"/>
      <c r="W143" s="863"/>
      <c r="X143" s="863"/>
      <c r="Y143" s="864"/>
      <c r="Z143" s="864"/>
      <c r="AA143" s="863"/>
    </row>
    <row r="144" spans="1:27" ht="15.75" customHeight="1" x14ac:dyDescent="0.25">
      <c r="A144" s="244"/>
      <c r="B144" s="244"/>
      <c r="C144" s="863"/>
      <c r="D144" s="863"/>
      <c r="E144" s="863"/>
      <c r="F144" s="863"/>
      <c r="G144" s="863"/>
      <c r="H144" s="863"/>
      <c r="I144" s="863"/>
      <c r="J144" s="863"/>
      <c r="K144" s="863"/>
      <c r="L144" s="863"/>
      <c r="M144" s="863"/>
      <c r="N144" s="863"/>
      <c r="O144" s="863"/>
      <c r="P144" s="863"/>
      <c r="Q144" s="863"/>
      <c r="R144" s="863"/>
      <c r="S144" s="863"/>
      <c r="T144" s="863"/>
      <c r="U144" s="863"/>
      <c r="V144" s="863"/>
      <c r="W144" s="863"/>
      <c r="X144" s="863"/>
      <c r="Y144" s="864"/>
      <c r="Z144" s="864"/>
      <c r="AA144" s="863"/>
    </row>
    <row r="145" spans="1:27" ht="15.75" customHeight="1" x14ac:dyDescent="0.25">
      <c r="A145" s="244"/>
      <c r="B145" s="244"/>
      <c r="C145" s="863"/>
      <c r="D145" s="863"/>
      <c r="E145" s="863"/>
      <c r="F145" s="863"/>
      <c r="G145" s="863"/>
      <c r="H145" s="863"/>
      <c r="I145" s="863"/>
      <c r="J145" s="863"/>
      <c r="K145" s="863"/>
      <c r="L145" s="863"/>
      <c r="M145" s="863"/>
      <c r="N145" s="863"/>
      <c r="O145" s="863"/>
      <c r="P145" s="863"/>
      <c r="Q145" s="863"/>
      <c r="R145" s="863"/>
      <c r="S145" s="863"/>
      <c r="T145" s="863"/>
      <c r="U145" s="863"/>
      <c r="V145" s="863"/>
      <c r="W145" s="863"/>
      <c r="X145" s="863"/>
      <c r="Y145" s="864"/>
      <c r="Z145" s="864"/>
      <c r="AA145" s="863"/>
    </row>
    <row r="146" spans="1:27" ht="15.75" customHeight="1" x14ac:dyDescent="0.25">
      <c r="A146" s="244"/>
      <c r="B146" s="244"/>
      <c r="C146" s="863"/>
      <c r="D146" s="863"/>
      <c r="E146" s="863"/>
      <c r="F146" s="863"/>
      <c r="G146" s="863"/>
      <c r="H146" s="863"/>
      <c r="I146" s="863"/>
      <c r="J146" s="863"/>
      <c r="K146" s="863"/>
      <c r="L146" s="863"/>
      <c r="M146" s="863"/>
      <c r="N146" s="863"/>
      <c r="O146" s="863"/>
      <c r="P146" s="863"/>
      <c r="Q146" s="863"/>
      <c r="R146" s="863"/>
      <c r="S146" s="863"/>
      <c r="T146" s="863"/>
      <c r="U146" s="863"/>
      <c r="V146" s="863"/>
      <c r="W146" s="863"/>
      <c r="X146" s="863"/>
      <c r="Y146" s="864"/>
      <c r="Z146" s="864"/>
      <c r="AA146" s="863"/>
    </row>
    <row r="147" spans="1:27" ht="15.75" customHeight="1" x14ac:dyDescent="0.25">
      <c r="A147" s="244"/>
      <c r="B147" s="244"/>
      <c r="C147" s="863"/>
      <c r="D147" s="863"/>
      <c r="E147" s="863"/>
      <c r="F147" s="863"/>
      <c r="G147" s="863"/>
      <c r="H147" s="863"/>
      <c r="I147" s="863"/>
      <c r="J147" s="863"/>
      <c r="K147" s="863"/>
      <c r="L147" s="863"/>
      <c r="M147" s="863"/>
      <c r="N147" s="863"/>
      <c r="O147" s="863"/>
      <c r="P147" s="863"/>
      <c r="Q147" s="863"/>
      <c r="R147" s="863"/>
      <c r="S147" s="863"/>
      <c r="T147" s="863"/>
      <c r="U147" s="863"/>
      <c r="V147" s="863"/>
      <c r="W147" s="863"/>
      <c r="X147" s="863"/>
      <c r="Y147" s="864"/>
      <c r="Z147" s="864"/>
      <c r="AA147" s="863"/>
    </row>
    <row r="148" spans="1:27" ht="15.75" customHeight="1" x14ac:dyDescent="0.25">
      <c r="A148" s="244"/>
      <c r="B148" s="244"/>
      <c r="C148" s="863"/>
      <c r="D148" s="863"/>
      <c r="E148" s="863"/>
      <c r="F148" s="863"/>
      <c r="G148" s="863"/>
      <c r="H148" s="863"/>
      <c r="I148" s="863"/>
      <c r="J148" s="863"/>
      <c r="K148" s="863"/>
      <c r="L148" s="863"/>
      <c r="M148" s="863"/>
      <c r="N148" s="863"/>
      <c r="O148" s="863"/>
      <c r="P148" s="863"/>
      <c r="Q148" s="863"/>
      <c r="R148" s="863"/>
      <c r="S148" s="863"/>
      <c r="T148" s="863"/>
      <c r="U148" s="863"/>
      <c r="V148" s="863"/>
      <c r="W148" s="863"/>
      <c r="X148" s="863"/>
      <c r="Y148" s="864"/>
      <c r="Z148" s="864"/>
      <c r="AA148" s="863"/>
    </row>
    <row r="149" spans="1:27" ht="15.75" customHeight="1" x14ac:dyDescent="0.25">
      <c r="A149" s="244"/>
      <c r="B149" s="244"/>
      <c r="C149" s="863"/>
      <c r="D149" s="863"/>
      <c r="E149" s="863"/>
      <c r="F149" s="863"/>
      <c r="G149" s="863"/>
      <c r="H149" s="863"/>
      <c r="I149" s="863"/>
      <c r="J149" s="863"/>
      <c r="K149" s="863"/>
      <c r="L149" s="863"/>
      <c r="M149" s="863"/>
      <c r="N149" s="863"/>
      <c r="O149" s="863"/>
      <c r="P149" s="863"/>
      <c r="Q149" s="863"/>
      <c r="R149" s="863"/>
      <c r="S149" s="863"/>
      <c r="T149" s="863"/>
      <c r="U149" s="863"/>
      <c r="V149" s="863"/>
      <c r="W149" s="863"/>
      <c r="X149" s="863"/>
      <c r="Y149" s="864"/>
      <c r="Z149" s="864"/>
      <c r="AA149" s="863"/>
    </row>
    <row r="150" spans="1:27" ht="15.75" customHeight="1" x14ac:dyDescent="0.25">
      <c r="A150" s="244"/>
      <c r="B150" s="244"/>
      <c r="C150" s="863"/>
      <c r="D150" s="863"/>
      <c r="E150" s="863"/>
      <c r="F150" s="863"/>
      <c r="G150" s="863"/>
      <c r="H150" s="863"/>
      <c r="I150" s="863"/>
      <c r="J150" s="863"/>
      <c r="K150" s="863"/>
      <c r="L150" s="863"/>
      <c r="M150" s="863"/>
      <c r="N150" s="863"/>
      <c r="O150" s="863"/>
      <c r="P150" s="863"/>
      <c r="Q150" s="863"/>
      <c r="R150" s="863"/>
      <c r="S150" s="863"/>
      <c r="T150" s="863"/>
      <c r="U150" s="863"/>
      <c r="V150" s="863"/>
      <c r="W150" s="863"/>
      <c r="X150" s="863"/>
      <c r="Y150" s="864"/>
      <c r="Z150" s="864"/>
      <c r="AA150" s="863"/>
    </row>
    <row r="151" spans="1:27" ht="15.75" customHeight="1" x14ac:dyDescent="0.25">
      <c r="A151" s="244"/>
      <c r="B151" s="244"/>
      <c r="C151" s="863"/>
      <c r="D151" s="863"/>
      <c r="E151" s="863"/>
      <c r="F151" s="863"/>
      <c r="G151" s="863"/>
      <c r="H151" s="863"/>
      <c r="I151" s="863"/>
      <c r="J151" s="863"/>
      <c r="K151" s="863"/>
      <c r="L151" s="863"/>
      <c r="M151" s="863"/>
      <c r="N151" s="863"/>
      <c r="O151" s="863"/>
      <c r="P151" s="863"/>
      <c r="Q151" s="863"/>
      <c r="R151" s="863"/>
      <c r="S151" s="863"/>
      <c r="T151" s="863"/>
      <c r="U151" s="863"/>
      <c r="V151" s="863"/>
      <c r="W151" s="863"/>
      <c r="X151" s="863"/>
      <c r="Y151" s="864"/>
      <c r="Z151" s="864"/>
      <c r="AA151" s="863"/>
    </row>
    <row r="152" spans="1:27" ht="15.75" customHeight="1" x14ac:dyDescent="0.25">
      <c r="A152" s="244"/>
      <c r="B152" s="244"/>
      <c r="C152" s="863"/>
      <c r="D152" s="863"/>
      <c r="E152" s="863"/>
      <c r="F152" s="863"/>
      <c r="G152" s="863"/>
      <c r="H152" s="863"/>
      <c r="I152" s="863"/>
      <c r="J152" s="863"/>
      <c r="K152" s="863"/>
      <c r="L152" s="863"/>
      <c r="M152" s="863"/>
      <c r="N152" s="863"/>
      <c r="O152" s="863"/>
      <c r="P152" s="863"/>
      <c r="Q152" s="863"/>
      <c r="R152" s="863"/>
      <c r="S152" s="863"/>
      <c r="T152" s="863"/>
      <c r="U152" s="863"/>
      <c r="V152" s="863"/>
      <c r="W152" s="863"/>
      <c r="X152" s="863"/>
      <c r="Y152" s="864"/>
      <c r="Z152" s="864"/>
      <c r="AA152" s="863"/>
    </row>
    <row r="153" spans="1:27" ht="15.75" customHeight="1" x14ac:dyDescent="0.25">
      <c r="A153" s="244"/>
      <c r="B153" s="244"/>
      <c r="C153" s="863"/>
      <c r="D153" s="863"/>
      <c r="E153" s="863"/>
      <c r="F153" s="863"/>
      <c r="G153" s="863"/>
      <c r="H153" s="863"/>
      <c r="I153" s="863"/>
      <c r="J153" s="863"/>
      <c r="K153" s="863"/>
      <c r="L153" s="863"/>
      <c r="M153" s="863"/>
      <c r="N153" s="863"/>
      <c r="O153" s="863"/>
      <c r="P153" s="863"/>
      <c r="Q153" s="863"/>
      <c r="R153" s="863"/>
      <c r="S153" s="863"/>
      <c r="T153" s="863"/>
      <c r="U153" s="863"/>
      <c r="V153" s="863"/>
      <c r="W153" s="863"/>
      <c r="X153" s="863"/>
      <c r="Y153" s="864"/>
      <c r="Z153" s="864"/>
      <c r="AA153" s="863"/>
    </row>
    <row r="154" spans="1:27" ht="15.75" customHeight="1" x14ac:dyDescent="0.25">
      <c r="A154" s="244"/>
      <c r="B154" s="244"/>
      <c r="C154" s="863"/>
      <c r="D154" s="863"/>
      <c r="E154" s="863"/>
      <c r="F154" s="863"/>
      <c r="G154" s="863"/>
      <c r="H154" s="863"/>
      <c r="I154" s="863"/>
      <c r="J154" s="863"/>
      <c r="K154" s="863"/>
      <c r="L154" s="863"/>
      <c r="M154" s="863"/>
      <c r="N154" s="863"/>
      <c r="O154" s="863"/>
      <c r="P154" s="863"/>
      <c r="Q154" s="863"/>
      <c r="R154" s="863"/>
      <c r="S154" s="863"/>
      <c r="T154" s="863"/>
      <c r="U154" s="863"/>
      <c r="V154" s="863"/>
      <c r="W154" s="863"/>
      <c r="X154" s="863"/>
      <c r="Y154" s="864"/>
      <c r="Z154" s="864"/>
      <c r="AA154" s="863"/>
    </row>
    <row r="155" spans="1:27" ht="15.75" customHeight="1" x14ac:dyDescent="0.25">
      <c r="A155" s="244"/>
      <c r="B155" s="244"/>
      <c r="C155" s="863"/>
      <c r="D155" s="863"/>
      <c r="E155" s="863"/>
      <c r="F155" s="863"/>
      <c r="G155" s="863"/>
      <c r="H155" s="863"/>
      <c r="I155" s="863"/>
      <c r="J155" s="863"/>
      <c r="K155" s="863"/>
      <c r="L155" s="863"/>
      <c r="M155" s="863"/>
      <c r="N155" s="863"/>
      <c r="O155" s="863"/>
      <c r="P155" s="863"/>
      <c r="Q155" s="863"/>
      <c r="R155" s="863"/>
      <c r="S155" s="863"/>
      <c r="T155" s="863"/>
      <c r="U155" s="863"/>
      <c r="V155" s="863"/>
      <c r="W155" s="863"/>
      <c r="X155" s="863"/>
      <c r="Y155" s="864"/>
      <c r="Z155" s="864"/>
      <c r="AA155" s="863"/>
    </row>
    <row r="156" spans="1:27" ht="15.75" customHeight="1" x14ac:dyDescent="0.25">
      <c r="A156" s="244"/>
      <c r="B156" s="244"/>
      <c r="C156" s="863"/>
      <c r="D156" s="863"/>
      <c r="E156" s="863"/>
      <c r="F156" s="863"/>
      <c r="G156" s="863"/>
      <c r="H156" s="863"/>
      <c r="I156" s="863"/>
      <c r="J156" s="863"/>
      <c r="K156" s="863"/>
      <c r="L156" s="863"/>
      <c r="M156" s="863"/>
      <c r="N156" s="863"/>
      <c r="O156" s="863"/>
      <c r="P156" s="863"/>
      <c r="Q156" s="863"/>
      <c r="R156" s="863"/>
      <c r="S156" s="863"/>
      <c r="T156" s="863"/>
      <c r="U156" s="863"/>
      <c r="V156" s="863"/>
      <c r="W156" s="863"/>
      <c r="X156" s="863"/>
      <c r="Y156" s="864"/>
      <c r="Z156" s="864"/>
      <c r="AA156" s="863"/>
    </row>
    <row r="157" spans="1:27" ht="15.75" customHeight="1" x14ac:dyDescent="0.25">
      <c r="A157" s="244"/>
      <c r="B157" s="244"/>
      <c r="C157" s="863"/>
      <c r="D157" s="863"/>
      <c r="E157" s="863"/>
      <c r="F157" s="863"/>
      <c r="G157" s="863"/>
      <c r="H157" s="863"/>
      <c r="I157" s="863"/>
      <c r="J157" s="863"/>
      <c r="K157" s="863"/>
      <c r="L157" s="863"/>
      <c r="M157" s="863"/>
      <c r="N157" s="863"/>
      <c r="O157" s="863"/>
      <c r="P157" s="863"/>
      <c r="Q157" s="863"/>
      <c r="R157" s="863"/>
      <c r="S157" s="863"/>
      <c r="T157" s="863"/>
      <c r="U157" s="863"/>
      <c r="V157" s="863"/>
      <c r="W157" s="863"/>
      <c r="X157" s="863"/>
      <c r="Y157" s="864"/>
      <c r="Z157" s="864"/>
      <c r="AA157" s="863"/>
    </row>
    <row r="158" spans="1:27" ht="15.75" customHeight="1" x14ac:dyDescent="0.25">
      <c r="A158" s="244"/>
      <c r="B158" s="244"/>
      <c r="C158" s="863"/>
      <c r="D158" s="863"/>
      <c r="E158" s="863"/>
      <c r="F158" s="863"/>
      <c r="G158" s="863"/>
      <c r="H158" s="863"/>
      <c r="I158" s="863"/>
      <c r="J158" s="863"/>
      <c r="K158" s="863"/>
      <c r="L158" s="863"/>
      <c r="M158" s="863"/>
      <c r="N158" s="863"/>
      <c r="O158" s="863"/>
      <c r="P158" s="863"/>
      <c r="Q158" s="863"/>
      <c r="R158" s="863"/>
      <c r="S158" s="863"/>
      <c r="T158" s="863"/>
      <c r="U158" s="863"/>
      <c r="V158" s="863"/>
      <c r="W158" s="863"/>
      <c r="X158" s="863"/>
      <c r="Y158" s="864"/>
      <c r="Z158" s="864"/>
      <c r="AA158" s="863"/>
    </row>
    <row r="159" spans="1:27" ht="15.75" customHeight="1" x14ac:dyDescent="0.25">
      <c r="A159" s="244"/>
      <c r="B159" s="244"/>
      <c r="C159" s="863"/>
      <c r="D159" s="863"/>
      <c r="E159" s="863"/>
      <c r="F159" s="863"/>
      <c r="G159" s="863"/>
      <c r="H159" s="863"/>
      <c r="I159" s="863"/>
      <c r="J159" s="863"/>
      <c r="K159" s="863"/>
      <c r="L159" s="863"/>
      <c r="M159" s="863"/>
      <c r="N159" s="863"/>
      <c r="O159" s="863"/>
      <c r="P159" s="863"/>
      <c r="Q159" s="863"/>
      <c r="R159" s="863"/>
      <c r="S159" s="863"/>
      <c r="T159" s="863"/>
      <c r="U159" s="863"/>
      <c r="V159" s="863"/>
      <c r="W159" s="863"/>
      <c r="X159" s="863"/>
      <c r="Y159" s="864"/>
      <c r="Z159" s="864"/>
      <c r="AA159" s="863"/>
    </row>
    <row r="160" spans="1:27" ht="15.75" customHeight="1" x14ac:dyDescent="0.25">
      <c r="A160" s="244"/>
      <c r="B160" s="244"/>
      <c r="C160" s="863"/>
      <c r="D160" s="863"/>
      <c r="E160" s="863"/>
      <c r="F160" s="863"/>
      <c r="G160" s="863"/>
      <c r="H160" s="863"/>
      <c r="I160" s="863"/>
      <c r="J160" s="863"/>
      <c r="K160" s="863"/>
      <c r="L160" s="863"/>
      <c r="M160" s="863"/>
      <c r="N160" s="863"/>
      <c r="O160" s="863"/>
      <c r="P160" s="863"/>
      <c r="Q160" s="863"/>
      <c r="R160" s="863"/>
      <c r="S160" s="863"/>
      <c r="T160" s="863"/>
      <c r="U160" s="863"/>
      <c r="V160" s="863"/>
      <c r="W160" s="863"/>
      <c r="X160" s="863"/>
      <c r="Y160" s="864"/>
      <c r="Z160" s="864"/>
      <c r="AA160" s="863"/>
    </row>
    <row r="161" spans="1:27" ht="15.75" customHeight="1" x14ac:dyDescent="0.25">
      <c r="A161" s="244"/>
      <c r="B161" s="244"/>
      <c r="C161" s="863"/>
      <c r="D161" s="863"/>
      <c r="E161" s="863"/>
      <c r="F161" s="863"/>
      <c r="G161" s="863"/>
      <c r="H161" s="863"/>
      <c r="I161" s="863"/>
      <c r="J161" s="863"/>
      <c r="K161" s="863"/>
      <c r="L161" s="863"/>
      <c r="M161" s="863"/>
      <c r="N161" s="863"/>
      <c r="O161" s="863"/>
      <c r="P161" s="863"/>
      <c r="Q161" s="863"/>
      <c r="R161" s="863"/>
      <c r="S161" s="863"/>
      <c r="T161" s="863"/>
      <c r="U161" s="863"/>
      <c r="V161" s="863"/>
      <c r="W161" s="863"/>
      <c r="X161" s="863"/>
      <c r="Y161" s="864"/>
      <c r="Z161" s="864"/>
      <c r="AA161" s="863"/>
    </row>
    <row r="162" spans="1:27" ht="15.75" customHeight="1" x14ac:dyDescent="0.25">
      <c r="A162" s="244"/>
      <c r="B162" s="244"/>
      <c r="C162" s="863"/>
      <c r="D162" s="863"/>
      <c r="E162" s="863"/>
      <c r="F162" s="863"/>
      <c r="G162" s="863"/>
      <c r="H162" s="863"/>
      <c r="I162" s="863"/>
      <c r="J162" s="863"/>
      <c r="K162" s="863"/>
      <c r="L162" s="863"/>
      <c r="M162" s="863"/>
      <c r="N162" s="863"/>
      <c r="O162" s="863"/>
      <c r="P162" s="863"/>
      <c r="Q162" s="863"/>
      <c r="R162" s="863"/>
      <c r="S162" s="863"/>
      <c r="T162" s="863"/>
      <c r="U162" s="863"/>
      <c r="V162" s="863"/>
      <c r="W162" s="863"/>
      <c r="X162" s="863"/>
      <c r="Y162" s="864"/>
      <c r="Z162" s="864"/>
      <c r="AA162" s="863"/>
    </row>
    <row r="163" spans="1:27" ht="15.75" customHeight="1" x14ac:dyDescent="0.25">
      <c r="A163" s="244"/>
      <c r="B163" s="244"/>
      <c r="C163" s="863"/>
      <c r="D163" s="863"/>
      <c r="E163" s="863"/>
      <c r="F163" s="863"/>
      <c r="G163" s="863"/>
      <c r="H163" s="863"/>
      <c r="I163" s="863"/>
      <c r="J163" s="863"/>
      <c r="K163" s="863"/>
      <c r="L163" s="863"/>
      <c r="M163" s="863"/>
      <c r="N163" s="863"/>
      <c r="O163" s="863"/>
      <c r="P163" s="863"/>
      <c r="Q163" s="863"/>
      <c r="R163" s="863"/>
      <c r="S163" s="863"/>
      <c r="T163" s="863"/>
      <c r="U163" s="863"/>
      <c r="V163" s="863"/>
      <c r="W163" s="863"/>
      <c r="X163" s="863"/>
      <c r="Y163" s="864"/>
      <c r="Z163" s="864"/>
      <c r="AA163" s="863"/>
    </row>
    <row r="164" spans="1:27" ht="15.75" customHeight="1" x14ac:dyDescent="0.25">
      <c r="A164" s="244"/>
      <c r="B164" s="244"/>
      <c r="C164" s="863"/>
      <c r="D164" s="863"/>
      <c r="E164" s="863"/>
      <c r="F164" s="863"/>
      <c r="G164" s="863"/>
      <c r="H164" s="863"/>
      <c r="I164" s="863"/>
      <c r="J164" s="863"/>
      <c r="K164" s="863"/>
      <c r="L164" s="863"/>
      <c r="M164" s="863"/>
      <c r="N164" s="863"/>
      <c r="O164" s="863"/>
      <c r="P164" s="863"/>
      <c r="Q164" s="863"/>
      <c r="R164" s="863"/>
      <c r="S164" s="863"/>
      <c r="T164" s="863"/>
      <c r="U164" s="863"/>
      <c r="V164" s="863"/>
      <c r="W164" s="863"/>
      <c r="X164" s="863"/>
      <c r="Y164" s="864"/>
      <c r="Z164" s="864"/>
      <c r="AA164" s="863"/>
    </row>
    <row r="165" spans="1:27" ht="15.75" customHeight="1" x14ac:dyDescent="0.25">
      <c r="A165" s="244"/>
      <c r="B165" s="244"/>
      <c r="C165" s="863"/>
      <c r="D165" s="863"/>
      <c r="E165" s="863"/>
      <c r="F165" s="863"/>
      <c r="G165" s="863"/>
      <c r="H165" s="863"/>
      <c r="I165" s="863"/>
      <c r="J165" s="863"/>
      <c r="K165" s="863"/>
      <c r="L165" s="863"/>
      <c r="M165" s="863"/>
      <c r="N165" s="863"/>
      <c r="O165" s="863"/>
      <c r="P165" s="863"/>
      <c r="Q165" s="863"/>
      <c r="R165" s="863"/>
      <c r="S165" s="863"/>
      <c r="T165" s="863"/>
      <c r="U165" s="863"/>
      <c r="V165" s="863"/>
      <c r="W165" s="863"/>
      <c r="X165" s="863"/>
      <c r="Y165" s="864"/>
      <c r="Z165" s="864"/>
      <c r="AA165" s="863"/>
    </row>
    <row r="166" spans="1:27" ht="15.75" customHeight="1" x14ac:dyDescent="0.25">
      <c r="A166" s="244"/>
      <c r="B166" s="244"/>
      <c r="C166" s="863"/>
      <c r="D166" s="863"/>
      <c r="E166" s="863"/>
      <c r="F166" s="863"/>
      <c r="G166" s="863"/>
      <c r="H166" s="863"/>
      <c r="I166" s="863"/>
      <c r="J166" s="863"/>
      <c r="K166" s="863"/>
      <c r="L166" s="863"/>
      <c r="M166" s="863"/>
      <c r="N166" s="863"/>
      <c r="O166" s="863"/>
      <c r="P166" s="863"/>
      <c r="Q166" s="863"/>
      <c r="R166" s="863"/>
      <c r="S166" s="863"/>
      <c r="T166" s="863"/>
      <c r="U166" s="863"/>
      <c r="V166" s="863"/>
      <c r="W166" s="863"/>
      <c r="X166" s="863"/>
      <c r="Y166" s="864"/>
      <c r="Z166" s="864"/>
      <c r="AA166" s="863"/>
    </row>
    <row r="167" spans="1:27" ht="15.75" customHeight="1" x14ac:dyDescent="0.25">
      <c r="A167" s="244"/>
      <c r="B167" s="244"/>
      <c r="C167" s="863"/>
      <c r="D167" s="863"/>
      <c r="E167" s="863"/>
      <c r="F167" s="863"/>
      <c r="G167" s="863"/>
      <c r="H167" s="863"/>
      <c r="I167" s="863"/>
      <c r="J167" s="863"/>
      <c r="K167" s="863"/>
      <c r="L167" s="863"/>
      <c r="M167" s="863"/>
      <c r="N167" s="863"/>
      <c r="O167" s="863"/>
      <c r="P167" s="863"/>
      <c r="Q167" s="863"/>
      <c r="R167" s="863"/>
      <c r="S167" s="863"/>
      <c r="T167" s="863"/>
      <c r="U167" s="863"/>
      <c r="V167" s="863"/>
      <c r="W167" s="863"/>
      <c r="X167" s="863"/>
      <c r="Y167" s="864"/>
      <c r="Z167" s="864"/>
      <c r="AA167" s="863"/>
    </row>
    <row r="168" spans="1:27" ht="15.75" customHeight="1" x14ac:dyDescent="0.25">
      <c r="A168" s="244"/>
      <c r="B168" s="244"/>
      <c r="C168" s="863"/>
      <c r="D168" s="863"/>
      <c r="E168" s="863"/>
      <c r="F168" s="863"/>
      <c r="G168" s="863"/>
      <c r="H168" s="863"/>
      <c r="I168" s="863"/>
      <c r="J168" s="863"/>
      <c r="K168" s="863"/>
      <c r="L168" s="863"/>
      <c r="M168" s="863"/>
      <c r="N168" s="863"/>
      <c r="O168" s="863"/>
      <c r="P168" s="863"/>
      <c r="Q168" s="863"/>
      <c r="R168" s="863"/>
      <c r="S168" s="863"/>
      <c r="T168" s="863"/>
      <c r="U168" s="863"/>
      <c r="V168" s="863"/>
      <c r="W168" s="863"/>
      <c r="X168" s="863"/>
      <c r="Y168" s="864"/>
      <c r="Z168" s="864"/>
      <c r="AA168" s="863"/>
    </row>
    <row r="169" spans="1:27" ht="15.75" customHeight="1" x14ac:dyDescent="0.25">
      <c r="A169" s="244"/>
      <c r="B169" s="244"/>
      <c r="C169" s="863"/>
      <c r="D169" s="863"/>
      <c r="E169" s="863"/>
      <c r="F169" s="863"/>
      <c r="G169" s="863"/>
      <c r="H169" s="863"/>
      <c r="I169" s="863"/>
      <c r="J169" s="863"/>
      <c r="K169" s="863"/>
      <c r="L169" s="863"/>
      <c r="M169" s="863"/>
      <c r="N169" s="863"/>
      <c r="O169" s="863"/>
      <c r="P169" s="863"/>
      <c r="Q169" s="863"/>
      <c r="R169" s="863"/>
      <c r="S169" s="863"/>
      <c r="T169" s="863"/>
      <c r="U169" s="863"/>
      <c r="V169" s="863"/>
      <c r="W169" s="863"/>
      <c r="X169" s="863"/>
      <c r="Y169" s="864"/>
      <c r="Z169" s="864"/>
      <c r="AA169" s="863"/>
    </row>
    <row r="170" spans="1:27" ht="15.75" customHeight="1" x14ac:dyDescent="0.25">
      <c r="A170" s="244"/>
      <c r="B170" s="24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4"/>
      <c r="Z170" s="864"/>
      <c r="AA170" s="863"/>
    </row>
    <row r="171" spans="1:27" ht="15.75" customHeight="1" x14ac:dyDescent="0.25">
      <c r="A171" s="244"/>
      <c r="B171" s="244"/>
      <c r="C171" s="863"/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4"/>
      <c r="Z171" s="864"/>
      <c r="AA171" s="863"/>
    </row>
    <row r="172" spans="1:27" ht="15.75" customHeight="1" x14ac:dyDescent="0.25">
      <c r="A172" s="244"/>
      <c r="B172" s="244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4"/>
      <c r="Z172" s="864"/>
      <c r="AA172" s="863"/>
    </row>
    <row r="173" spans="1:27" ht="15.75" customHeight="1" x14ac:dyDescent="0.25">
      <c r="A173" s="244"/>
      <c r="B173" s="244"/>
      <c r="C173" s="863"/>
      <c r="D173" s="863"/>
      <c r="E173" s="863"/>
      <c r="F173" s="863"/>
      <c r="G173" s="863"/>
      <c r="H173" s="863"/>
      <c r="I173" s="863"/>
      <c r="J173" s="863"/>
      <c r="K173" s="863"/>
      <c r="L173" s="863"/>
      <c r="M173" s="863"/>
      <c r="N173" s="863"/>
      <c r="O173" s="863"/>
      <c r="P173" s="863"/>
      <c r="Q173" s="863"/>
      <c r="R173" s="863"/>
      <c r="S173" s="863"/>
      <c r="T173" s="863"/>
      <c r="U173" s="863"/>
      <c r="V173" s="863"/>
      <c r="W173" s="863"/>
      <c r="X173" s="863"/>
      <c r="Y173" s="864"/>
      <c r="Z173" s="864"/>
      <c r="AA173" s="863"/>
    </row>
    <row r="174" spans="1:27" ht="15.75" customHeight="1" x14ac:dyDescent="0.25">
      <c r="A174" s="244"/>
      <c r="B174" s="244"/>
      <c r="C174" s="863"/>
      <c r="D174" s="863"/>
      <c r="E174" s="863"/>
      <c r="F174" s="863"/>
      <c r="G174" s="863"/>
      <c r="H174" s="863"/>
      <c r="I174" s="863"/>
      <c r="J174" s="863"/>
      <c r="K174" s="863"/>
      <c r="L174" s="863"/>
      <c r="M174" s="863"/>
      <c r="N174" s="863"/>
      <c r="O174" s="863"/>
      <c r="P174" s="863"/>
      <c r="Q174" s="863"/>
      <c r="R174" s="863"/>
      <c r="S174" s="863"/>
      <c r="T174" s="863"/>
      <c r="U174" s="863"/>
      <c r="V174" s="863"/>
      <c r="W174" s="863"/>
      <c r="X174" s="863"/>
      <c r="Y174" s="864"/>
      <c r="Z174" s="864"/>
      <c r="AA174" s="863"/>
    </row>
    <row r="175" spans="1:27" ht="15.75" customHeight="1" x14ac:dyDescent="0.25">
      <c r="A175" s="244"/>
      <c r="B175" s="244"/>
      <c r="C175" s="863"/>
      <c r="D175" s="863"/>
      <c r="E175" s="863"/>
      <c r="F175" s="863"/>
      <c r="G175" s="863"/>
      <c r="H175" s="863"/>
      <c r="I175" s="863"/>
      <c r="J175" s="863"/>
      <c r="K175" s="863"/>
      <c r="L175" s="863"/>
      <c r="M175" s="863"/>
      <c r="N175" s="863"/>
      <c r="O175" s="863"/>
      <c r="P175" s="863"/>
      <c r="Q175" s="863"/>
      <c r="R175" s="863"/>
      <c r="S175" s="863"/>
      <c r="T175" s="863"/>
      <c r="U175" s="863"/>
      <c r="V175" s="863"/>
      <c r="W175" s="863"/>
      <c r="X175" s="863"/>
      <c r="Y175" s="864"/>
      <c r="Z175" s="864"/>
      <c r="AA175" s="863"/>
    </row>
    <row r="176" spans="1:27" ht="15.75" customHeight="1" x14ac:dyDescent="0.25">
      <c r="A176" s="244"/>
      <c r="B176" s="244"/>
      <c r="C176" s="863"/>
      <c r="D176" s="863"/>
      <c r="E176" s="863"/>
      <c r="F176" s="863"/>
      <c r="G176" s="863"/>
      <c r="H176" s="863"/>
      <c r="I176" s="863"/>
      <c r="J176" s="863"/>
      <c r="K176" s="863"/>
      <c r="L176" s="863"/>
      <c r="M176" s="863"/>
      <c r="N176" s="863"/>
      <c r="O176" s="863"/>
      <c r="P176" s="863"/>
      <c r="Q176" s="863"/>
      <c r="R176" s="863"/>
      <c r="S176" s="863"/>
      <c r="T176" s="863"/>
      <c r="U176" s="863"/>
      <c r="V176" s="863"/>
      <c r="W176" s="863"/>
      <c r="X176" s="863"/>
      <c r="Y176" s="864"/>
      <c r="Z176" s="864"/>
      <c r="AA176" s="863"/>
    </row>
    <row r="177" spans="1:27" ht="15.75" customHeight="1" x14ac:dyDescent="0.25">
      <c r="A177" s="244"/>
      <c r="B177" s="244"/>
      <c r="C177" s="863"/>
      <c r="D177" s="863"/>
      <c r="E177" s="863"/>
      <c r="F177" s="863"/>
      <c r="G177" s="863"/>
      <c r="H177" s="863"/>
      <c r="I177" s="863"/>
      <c r="J177" s="863"/>
      <c r="K177" s="863"/>
      <c r="L177" s="863"/>
      <c r="M177" s="863"/>
      <c r="N177" s="863"/>
      <c r="O177" s="863"/>
      <c r="P177" s="863"/>
      <c r="Q177" s="863"/>
      <c r="R177" s="863"/>
      <c r="S177" s="863"/>
      <c r="T177" s="863"/>
      <c r="U177" s="863"/>
      <c r="V177" s="863"/>
      <c r="W177" s="863"/>
      <c r="X177" s="863"/>
      <c r="Y177" s="864"/>
      <c r="Z177" s="864"/>
      <c r="AA177" s="863"/>
    </row>
    <row r="178" spans="1:27" ht="15.75" customHeight="1" x14ac:dyDescent="0.25">
      <c r="A178" s="244"/>
      <c r="B178" s="244"/>
      <c r="C178" s="863"/>
      <c r="D178" s="863"/>
      <c r="E178" s="863"/>
      <c r="F178" s="863"/>
      <c r="G178" s="863"/>
      <c r="H178" s="863"/>
      <c r="I178" s="863"/>
      <c r="J178" s="863"/>
      <c r="K178" s="863"/>
      <c r="L178" s="863"/>
      <c r="M178" s="863"/>
      <c r="N178" s="863"/>
      <c r="O178" s="863"/>
      <c r="P178" s="863"/>
      <c r="Q178" s="863"/>
      <c r="R178" s="863"/>
      <c r="S178" s="863"/>
      <c r="T178" s="863"/>
      <c r="U178" s="863"/>
      <c r="V178" s="863"/>
      <c r="W178" s="863"/>
      <c r="X178" s="863"/>
      <c r="Y178" s="864"/>
      <c r="Z178" s="864"/>
      <c r="AA178" s="863"/>
    </row>
    <row r="179" spans="1:27" ht="15.75" customHeight="1" x14ac:dyDescent="0.25">
      <c r="A179" s="244"/>
      <c r="B179" s="244"/>
      <c r="C179" s="863"/>
      <c r="D179" s="863"/>
      <c r="E179" s="863"/>
      <c r="F179" s="863"/>
      <c r="G179" s="863"/>
      <c r="H179" s="863"/>
      <c r="I179" s="863"/>
      <c r="J179" s="863"/>
      <c r="K179" s="863"/>
      <c r="L179" s="863"/>
      <c r="M179" s="863"/>
      <c r="N179" s="863"/>
      <c r="O179" s="863"/>
      <c r="P179" s="863"/>
      <c r="Q179" s="863"/>
      <c r="R179" s="863"/>
      <c r="S179" s="863"/>
      <c r="T179" s="863"/>
      <c r="U179" s="863"/>
      <c r="V179" s="863"/>
      <c r="W179" s="863"/>
      <c r="X179" s="863"/>
      <c r="Y179" s="864"/>
      <c r="Z179" s="864"/>
      <c r="AA179" s="863"/>
    </row>
    <row r="180" spans="1:27" ht="15.75" customHeight="1" x14ac:dyDescent="0.25">
      <c r="A180" s="244"/>
      <c r="B180" s="244"/>
      <c r="C180" s="863"/>
      <c r="D180" s="863"/>
      <c r="E180" s="863"/>
      <c r="F180" s="863"/>
      <c r="G180" s="863"/>
      <c r="H180" s="863"/>
      <c r="I180" s="863"/>
      <c r="J180" s="863"/>
      <c r="K180" s="863"/>
      <c r="L180" s="863"/>
      <c r="M180" s="863"/>
      <c r="N180" s="863"/>
      <c r="O180" s="863"/>
      <c r="P180" s="863"/>
      <c r="Q180" s="863"/>
      <c r="R180" s="863"/>
      <c r="S180" s="863"/>
      <c r="T180" s="863"/>
      <c r="U180" s="863"/>
      <c r="V180" s="863"/>
      <c r="W180" s="863"/>
      <c r="X180" s="863"/>
      <c r="Y180" s="864"/>
      <c r="Z180" s="864"/>
      <c r="AA180" s="863"/>
    </row>
    <row r="181" spans="1:27" ht="15.75" customHeight="1" x14ac:dyDescent="0.25">
      <c r="A181" s="244"/>
      <c r="B181" s="244"/>
      <c r="C181" s="863"/>
      <c r="D181" s="863"/>
      <c r="E181" s="863"/>
      <c r="F181" s="863"/>
      <c r="G181" s="863"/>
      <c r="H181" s="863"/>
      <c r="I181" s="863"/>
      <c r="J181" s="863"/>
      <c r="K181" s="863"/>
      <c r="L181" s="863"/>
      <c r="M181" s="863"/>
      <c r="N181" s="863"/>
      <c r="O181" s="863"/>
      <c r="P181" s="863"/>
      <c r="Q181" s="863"/>
      <c r="R181" s="863"/>
      <c r="S181" s="863"/>
      <c r="T181" s="863"/>
      <c r="U181" s="863"/>
      <c r="V181" s="863"/>
      <c r="W181" s="863"/>
      <c r="X181" s="863"/>
      <c r="Y181" s="864"/>
      <c r="Z181" s="864"/>
      <c r="AA181" s="863"/>
    </row>
    <row r="182" spans="1:27" ht="15.75" customHeight="1" x14ac:dyDescent="0.25">
      <c r="A182" s="244"/>
      <c r="B182" s="244"/>
      <c r="C182" s="863"/>
      <c r="D182" s="863"/>
      <c r="E182" s="863"/>
      <c r="F182" s="863"/>
      <c r="G182" s="863"/>
      <c r="H182" s="863"/>
      <c r="I182" s="863"/>
      <c r="J182" s="863"/>
      <c r="K182" s="863"/>
      <c r="L182" s="863"/>
      <c r="M182" s="863"/>
      <c r="N182" s="863"/>
      <c r="O182" s="863"/>
      <c r="P182" s="863"/>
      <c r="Q182" s="863"/>
      <c r="R182" s="863"/>
      <c r="S182" s="863"/>
      <c r="T182" s="863"/>
      <c r="U182" s="863"/>
      <c r="V182" s="863"/>
      <c r="W182" s="863"/>
      <c r="X182" s="863"/>
      <c r="Y182" s="864"/>
      <c r="Z182" s="864"/>
      <c r="AA182" s="863"/>
    </row>
    <row r="183" spans="1:27" ht="15.75" customHeight="1" x14ac:dyDescent="0.25">
      <c r="A183" s="244"/>
      <c r="B183" s="244"/>
      <c r="C183" s="863"/>
      <c r="D183" s="863"/>
      <c r="E183" s="863"/>
      <c r="F183" s="863"/>
      <c r="G183" s="863"/>
      <c r="H183" s="863"/>
      <c r="I183" s="863"/>
      <c r="J183" s="863"/>
      <c r="K183" s="863"/>
      <c r="L183" s="863"/>
      <c r="M183" s="863"/>
      <c r="N183" s="863"/>
      <c r="O183" s="863"/>
      <c r="P183" s="863"/>
      <c r="Q183" s="863"/>
      <c r="R183" s="863"/>
      <c r="S183" s="863"/>
      <c r="T183" s="863"/>
      <c r="U183" s="863"/>
      <c r="V183" s="863"/>
      <c r="W183" s="863"/>
      <c r="X183" s="863"/>
      <c r="Y183" s="864"/>
      <c r="Z183" s="864"/>
      <c r="AA183" s="863"/>
    </row>
    <row r="184" spans="1:27" ht="15.75" customHeight="1" x14ac:dyDescent="0.25">
      <c r="A184" s="244"/>
      <c r="B184" s="244"/>
      <c r="C184" s="863"/>
      <c r="D184" s="863"/>
      <c r="E184" s="863"/>
      <c r="F184" s="863"/>
      <c r="G184" s="863"/>
      <c r="H184" s="863"/>
      <c r="I184" s="863"/>
      <c r="J184" s="863"/>
      <c r="K184" s="863"/>
      <c r="L184" s="863"/>
      <c r="M184" s="863"/>
      <c r="N184" s="863"/>
      <c r="O184" s="863"/>
      <c r="P184" s="863"/>
      <c r="Q184" s="863"/>
      <c r="R184" s="863"/>
      <c r="S184" s="863"/>
      <c r="T184" s="863"/>
      <c r="U184" s="863"/>
      <c r="V184" s="863"/>
      <c r="W184" s="863"/>
      <c r="X184" s="863"/>
      <c r="Y184" s="864"/>
      <c r="Z184" s="864"/>
      <c r="AA184" s="863"/>
    </row>
    <row r="185" spans="1:27" ht="15.75" customHeight="1" x14ac:dyDescent="0.25">
      <c r="A185" s="244"/>
      <c r="B185" s="244"/>
      <c r="C185" s="863"/>
      <c r="D185" s="863"/>
      <c r="E185" s="863"/>
      <c r="F185" s="863"/>
      <c r="G185" s="863"/>
      <c r="H185" s="863"/>
      <c r="I185" s="863"/>
      <c r="J185" s="863"/>
      <c r="K185" s="863"/>
      <c r="L185" s="863"/>
      <c r="M185" s="863"/>
      <c r="N185" s="863"/>
      <c r="O185" s="863"/>
      <c r="P185" s="863"/>
      <c r="Q185" s="863"/>
      <c r="R185" s="863"/>
      <c r="S185" s="863"/>
      <c r="T185" s="863"/>
      <c r="U185" s="863"/>
      <c r="V185" s="863"/>
      <c r="W185" s="863"/>
      <c r="X185" s="863"/>
      <c r="Y185" s="864"/>
      <c r="Z185" s="864"/>
      <c r="AA185" s="863"/>
    </row>
    <row r="186" spans="1:27" ht="15.75" customHeight="1" x14ac:dyDescent="0.25">
      <c r="A186" s="244"/>
      <c r="B186" s="244"/>
      <c r="C186" s="863"/>
      <c r="D186" s="863"/>
      <c r="E186" s="863"/>
      <c r="F186" s="863"/>
      <c r="G186" s="863"/>
      <c r="H186" s="863"/>
      <c r="I186" s="863"/>
      <c r="J186" s="863"/>
      <c r="K186" s="863"/>
      <c r="L186" s="863"/>
      <c r="M186" s="863"/>
      <c r="N186" s="863"/>
      <c r="O186" s="863"/>
      <c r="P186" s="863"/>
      <c r="Q186" s="863"/>
      <c r="R186" s="863"/>
      <c r="S186" s="863"/>
      <c r="T186" s="863"/>
      <c r="U186" s="863"/>
      <c r="V186" s="863"/>
      <c r="W186" s="863"/>
      <c r="X186" s="863"/>
      <c r="Y186" s="864"/>
      <c r="Z186" s="864"/>
      <c r="AA186" s="863"/>
    </row>
    <row r="187" spans="1:27" ht="15.75" customHeight="1" x14ac:dyDescent="0.25">
      <c r="A187" s="244"/>
      <c r="B187" s="244"/>
      <c r="C187" s="863"/>
      <c r="D187" s="863"/>
      <c r="E187" s="863"/>
      <c r="F187" s="863"/>
      <c r="G187" s="863"/>
      <c r="H187" s="863"/>
      <c r="I187" s="863"/>
      <c r="J187" s="863"/>
      <c r="K187" s="863"/>
      <c r="L187" s="863"/>
      <c r="M187" s="863"/>
      <c r="N187" s="863"/>
      <c r="O187" s="863"/>
      <c r="P187" s="863"/>
      <c r="Q187" s="863"/>
      <c r="R187" s="863"/>
      <c r="S187" s="863"/>
      <c r="T187" s="863"/>
      <c r="U187" s="863"/>
      <c r="V187" s="863"/>
      <c r="W187" s="863"/>
      <c r="X187" s="863"/>
      <c r="Y187" s="864"/>
      <c r="Z187" s="864"/>
      <c r="AA187" s="863"/>
    </row>
    <row r="188" spans="1:27" ht="15.75" customHeight="1" x14ac:dyDescent="0.25">
      <c r="A188" s="244"/>
      <c r="B188" s="244"/>
      <c r="C188" s="863"/>
      <c r="D188" s="863"/>
      <c r="E188" s="863"/>
      <c r="F188" s="863"/>
      <c r="G188" s="863"/>
      <c r="H188" s="863"/>
      <c r="I188" s="863"/>
      <c r="J188" s="863"/>
      <c r="K188" s="863"/>
      <c r="L188" s="863"/>
      <c r="M188" s="863"/>
      <c r="N188" s="863"/>
      <c r="O188" s="863"/>
      <c r="P188" s="863"/>
      <c r="Q188" s="863"/>
      <c r="R188" s="863"/>
      <c r="S188" s="863"/>
      <c r="T188" s="863"/>
      <c r="U188" s="863"/>
      <c r="V188" s="863"/>
      <c r="W188" s="863"/>
      <c r="X188" s="863"/>
      <c r="Y188" s="864"/>
      <c r="Z188" s="864"/>
      <c r="AA188" s="863"/>
    </row>
    <row r="189" spans="1:27" ht="15.75" customHeight="1" x14ac:dyDescent="0.25">
      <c r="A189" s="244"/>
      <c r="B189" s="244"/>
      <c r="C189" s="863"/>
      <c r="D189" s="863"/>
      <c r="E189" s="863"/>
      <c r="F189" s="863"/>
      <c r="G189" s="863"/>
      <c r="H189" s="863"/>
      <c r="I189" s="863"/>
      <c r="J189" s="863"/>
      <c r="K189" s="863"/>
      <c r="L189" s="863"/>
      <c r="M189" s="863"/>
      <c r="N189" s="863"/>
      <c r="O189" s="863"/>
      <c r="P189" s="863"/>
      <c r="Q189" s="863"/>
      <c r="R189" s="863"/>
      <c r="S189" s="863"/>
      <c r="T189" s="863"/>
      <c r="U189" s="863"/>
      <c r="V189" s="863"/>
      <c r="W189" s="863"/>
      <c r="X189" s="863"/>
      <c r="Y189" s="864"/>
      <c r="Z189" s="864"/>
      <c r="AA189" s="863"/>
    </row>
    <row r="190" spans="1:27" ht="15.75" customHeight="1" x14ac:dyDescent="0.25">
      <c r="A190" s="244"/>
      <c r="B190" s="244"/>
      <c r="C190" s="863"/>
      <c r="D190" s="863"/>
      <c r="E190" s="863"/>
      <c r="F190" s="863"/>
      <c r="G190" s="863"/>
      <c r="H190" s="863"/>
      <c r="I190" s="863"/>
      <c r="J190" s="863"/>
      <c r="K190" s="863"/>
      <c r="L190" s="863"/>
      <c r="M190" s="863"/>
      <c r="N190" s="863"/>
      <c r="O190" s="863"/>
      <c r="P190" s="863"/>
      <c r="Q190" s="863"/>
      <c r="R190" s="863"/>
      <c r="S190" s="863"/>
      <c r="T190" s="863"/>
      <c r="U190" s="863"/>
      <c r="V190" s="863"/>
      <c r="W190" s="863"/>
      <c r="X190" s="863"/>
      <c r="Y190" s="864"/>
      <c r="Z190" s="864"/>
      <c r="AA190" s="863"/>
    </row>
    <row r="191" spans="1:27" ht="15.75" customHeight="1" x14ac:dyDescent="0.25">
      <c r="A191" s="244"/>
      <c r="B191" s="244"/>
      <c r="C191" s="863"/>
      <c r="D191" s="863"/>
      <c r="E191" s="863"/>
      <c r="F191" s="863"/>
      <c r="G191" s="863"/>
      <c r="H191" s="863"/>
      <c r="I191" s="863"/>
      <c r="J191" s="863"/>
      <c r="K191" s="863"/>
      <c r="L191" s="863"/>
      <c r="M191" s="863"/>
      <c r="N191" s="863"/>
      <c r="O191" s="863"/>
      <c r="P191" s="863"/>
      <c r="Q191" s="863"/>
      <c r="R191" s="863"/>
      <c r="S191" s="863"/>
      <c r="T191" s="863"/>
      <c r="U191" s="863"/>
      <c r="V191" s="863"/>
      <c r="W191" s="863"/>
      <c r="X191" s="863"/>
      <c r="Y191" s="864"/>
      <c r="Z191" s="864"/>
      <c r="AA191" s="863"/>
    </row>
    <row r="192" spans="1:27" ht="15.75" customHeight="1" x14ac:dyDescent="0.25">
      <c r="A192" s="244"/>
      <c r="B192" s="244"/>
      <c r="C192" s="863"/>
      <c r="D192" s="863"/>
      <c r="E192" s="863"/>
      <c r="F192" s="863"/>
      <c r="G192" s="863"/>
      <c r="H192" s="863"/>
      <c r="I192" s="863"/>
      <c r="J192" s="863"/>
      <c r="K192" s="863"/>
      <c r="L192" s="863"/>
      <c r="M192" s="863"/>
      <c r="N192" s="863"/>
      <c r="O192" s="863"/>
      <c r="P192" s="863"/>
      <c r="Q192" s="863"/>
      <c r="R192" s="863"/>
      <c r="S192" s="863"/>
      <c r="T192" s="863"/>
      <c r="U192" s="863"/>
      <c r="V192" s="863"/>
      <c r="W192" s="863"/>
      <c r="X192" s="863"/>
      <c r="Y192" s="864"/>
      <c r="Z192" s="864"/>
      <c r="AA192" s="863"/>
    </row>
    <row r="193" spans="1:27" ht="15.75" customHeight="1" x14ac:dyDescent="0.25">
      <c r="A193" s="244"/>
      <c r="B193" s="244"/>
      <c r="C193" s="863"/>
      <c r="D193" s="863"/>
      <c r="E193" s="863"/>
      <c r="F193" s="863"/>
      <c r="G193" s="863"/>
      <c r="H193" s="863"/>
      <c r="I193" s="863"/>
      <c r="J193" s="863"/>
      <c r="K193" s="863"/>
      <c r="L193" s="863"/>
      <c r="M193" s="863"/>
      <c r="N193" s="863"/>
      <c r="O193" s="863"/>
      <c r="P193" s="863"/>
      <c r="Q193" s="863"/>
      <c r="R193" s="863"/>
      <c r="S193" s="863"/>
      <c r="T193" s="863"/>
      <c r="U193" s="863"/>
      <c r="V193" s="863"/>
      <c r="W193" s="863"/>
      <c r="X193" s="863"/>
      <c r="Y193" s="864"/>
      <c r="Z193" s="864"/>
      <c r="AA193" s="863"/>
    </row>
    <row r="194" spans="1:27" ht="15.75" customHeight="1" x14ac:dyDescent="0.25">
      <c r="A194" s="244"/>
      <c r="B194" s="244"/>
      <c r="C194" s="863"/>
      <c r="D194" s="863"/>
      <c r="E194" s="863"/>
      <c r="F194" s="863"/>
      <c r="G194" s="863"/>
      <c r="H194" s="863"/>
      <c r="I194" s="863"/>
      <c r="J194" s="863"/>
      <c r="K194" s="863"/>
      <c r="L194" s="863"/>
      <c r="M194" s="863"/>
      <c r="N194" s="863"/>
      <c r="O194" s="863"/>
      <c r="P194" s="863"/>
      <c r="Q194" s="863"/>
      <c r="R194" s="863"/>
      <c r="S194" s="863"/>
      <c r="T194" s="863"/>
      <c r="U194" s="863"/>
      <c r="V194" s="863"/>
      <c r="W194" s="863"/>
      <c r="X194" s="863"/>
      <c r="Y194" s="864"/>
      <c r="Z194" s="864"/>
      <c r="AA194" s="863"/>
    </row>
    <row r="195" spans="1:27" ht="15.75" customHeight="1" x14ac:dyDescent="0.25">
      <c r="A195" s="244"/>
      <c r="B195" s="244"/>
      <c r="C195" s="863"/>
      <c r="D195" s="863"/>
      <c r="E195" s="863"/>
      <c r="F195" s="863"/>
      <c r="G195" s="863"/>
      <c r="H195" s="863"/>
      <c r="I195" s="863"/>
      <c r="J195" s="863"/>
      <c r="K195" s="863"/>
      <c r="L195" s="863"/>
      <c r="M195" s="863"/>
      <c r="N195" s="863"/>
      <c r="O195" s="863"/>
      <c r="P195" s="863"/>
      <c r="Q195" s="863"/>
      <c r="R195" s="863"/>
      <c r="S195" s="863"/>
      <c r="T195" s="863"/>
      <c r="U195" s="863"/>
      <c r="V195" s="863"/>
      <c r="W195" s="863"/>
      <c r="X195" s="863"/>
      <c r="Y195" s="864"/>
      <c r="Z195" s="864"/>
      <c r="AA195" s="863"/>
    </row>
    <row r="196" spans="1:27" ht="15.75" customHeight="1" x14ac:dyDescent="0.25">
      <c r="A196" s="244"/>
      <c r="B196" s="244"/>
      <c r="C196" s="863"/>
      <c r="D196" s="863"/>
      <c r="E196" s="863"/>
      <c r="F196" s="863"/>
      <c r="G196" s="863"/>
      <c r="H196" s="863"/>
      <c r="I196" s="863"/>
      <c r="J196" s="863"/>
      <c r="K196" s="863"/>
      <c r="L196" s="863"/>
      <c r="M196" s="863"/>
      <c r="N196" s="863"/>
      <c r="O196" s="863"/>
      <c r="P196" s="863"/>
      <c r="Q196" s="863"/>
      <c r="R196" s="863"/>
      <c r="S196" s="863"/>
      <c r="T196" s="863"/>
      <c r="U196" s="863"/>
      <c r="V196" s="863"/>
      <c r="W196" s="863"/>
      <c r="X196" s="863"/>
      <c r="Y196" s="864"/>
      <c r="Z196" s="864"/>
      <c r="AA196" s="863"/>
    </row>
    <row r="197" spans="1:27" ht="15.75" customHeight="1" x14ac:dyDescent="0.25">
      <c r="A197" s="244"/>
      <c r="B197" s="244"/>
      <c r="C197" s="863"/>
      <c r="D197" s="863"/>
      <c r="E197" s="863"/>
      <c r="F197" s="863"/>
      <c r="G197" s="863"/>
      <c r="H197" s="863"/>
      <c r="I197" s="863"/>
      <c r="J197" s="863"/>
      <c r="K197" s="863"/>
      <c r="L197" s="863"/>
      <c r="M197" s="863"/>
      <c r="N197" s="863"/>
      <c r="O197" s="863"/>
      <c r="P197" s="863"/>
      <c r="Q197" s="863"/>
      <c r="R197" s="863"/>
      <c r="S197" s="863"/>
      <c r="T197" s="863"/>
      <c r="U197" s="863"/>
      <c r="V197" s="863"/>
      <c r="W197" s="863"/>
      <c r="X197" s="863"/>
      <c r="Y197" s="864"/>
      <c r="Z197" s="864"/>
      <c r="AA197" s="863"/>
    </row>
    <row r="198" spans="1:27" ht="15.75" customHeight="1" x14ac:dyDescent="0.25">
      <c r="A198" s="244"/>
      <c r="B198" s="244"/>
      <c r="C198" s="863"/>
      <c r="D198" s="863"/>
      <c r="E198" s="863"/>
      <c r="F198" s="863"/>
      <c r="G198" s="863"/>
      <c r="H198" s="863"/>
      <c r="I198" s="863"/>
      <c r="J198" s="863"/>
      <c r="K198" s="863"/>
      <c r="L198" s="863"/>
      <c r="M198" s="863"/>
      <c r="N198" s="863"/>
      <c r="O198" s="863"/>
      <c r="P198" s="863"/>
      <c r="Q198" s="863"/>
      <c r="R198" s="863"/>
      <c r="S198" s="863"/>
      <c r="T198" s="863"/>
      <c r="U198" s="863"/>
      <c r="V198" s="863"/>
      <c r="W198" s="863"/>
      <c r="X198" s="863"/>
      <c r="Y198" s="864"/>
      <c r="Z198" s="864"/>
      <c r="AA198" s="863"/>
    </row>
    <row r="199" spans="1:27" ht="15.75" customHeight="1" x14ac:dyDescent="0.25">
      <c r="A199" s="244"/>
      <c r="B199" s="244"/>
      <c r="C199" s="863"/>
      <c r="D199" s="863"/>
      <c r="E199" s="863"/>
      <c r="F199" s="863"/>
      <c r="G199" s="863"/>
      <c r="H199" s="863"/>
      <c r="I199" s="863"/>
      <c r="J199" s="863"/>
      <c r="K199" s="863"/>
      <c r="L199" s="863"/>
      <c r="M199" s="863"/>
      <c r="N199" s="863"/>
      <c r="O199" s="863"/>
      <c r="P199" s="863"/>
      <c r="Q199" s="863"/>
      <c r="R199" s="863"/>
      <c r="S199" s="863"/>
      <c r="T199" s="863"/>
      <c r="U199" s="863"/>
      <c r="V199" s="863"/>
      <c r="W199" s="863"/>
      <c r="X199" s="863"/>
      <c r="Y199" s="864"/>
      <c r="Z199" s="864"/>
      <c r="AA199" s="863"/>
    </row>
    <row r="200" spans="1:27" ht="15.75" customHeight="1" x14ac:dyDescent="0.25">
      <c r="A200" s="244"/>
      <c r="B200" s="244"/>
      <c r="C200" s="863"/>
      <c r="D200" s="863"/>
      <c r="E200" s="863"/>
      <c r="F200" s="863"/>
      <c r="G200" s="863"/>
      <c r="H200" s="863"/>
      <c r="I200" s="863"/>
      <c r="J200" s="863"/>
      <c r="K200" s="863"/>
      <c r="L200" s="863"/>
      <c r="M200" s="863"/>
      <c r="N200" s="863"/>
      <c r="O200" s="863"/>
      <c r="P200" s="863"/>
      <c r="Q200" s="863"/>
      <c r="R200" s="863"/>
      <c r="S200" s="863"/>
      <c r="T200" s="863"/>
      <c r="U200" s="863"/>
      <c r="V200" s="863"/>
      <c r="W200" s="863"/>
      <c r="X200" s="863"/>
      <c r="Y200" s="864"/>
      <c r="Z200" s="864"/>
      <c r="AA200" s="863"/>
    </row>
    <row r="201" spans="1:27" ht="15.75" customHeight="1" x14ac:dyDescent="0.25">
      <c r="A201" s="244"/>
      <c r="B201" s="244"/>
      <c r="C201" s="863"/>
      <c r="D201" s="863"/>
      <c r="E201" s="863"/>
      <c r="F201" s="863"/>
      <c r="G201" s="863"/>
      <c r="H201" s="863"/>
      <c r="I201" s="863"/>
      <c r="J201" s="863"/>
      <c r="K201" s="863"/>
      <c r="L201" s="863"/>
      <c r="M201" s="863"/>
      <c r="N201" s="863"/>
      <c r="O201" s="863"/>
      <c r="P201" s="863"/>
      <c r="Q201" s="863"/>
      <c r="R201" s="863"/>
      <c r="S201" s="863"/>
      <c r="T201" s="863"/>
      <c r="U201" s="863"/>
      <c r="V201" s="863"/>
      <c r="W201" s="863"/>
      <c r="X201" s="863"/>
      <c r="Y201" s="864"/>
      <c r="Z201" s="864"/>
      <c r="AA201" s="863"/>
    </row>
    <row r="202" spans="1:27" ht="15.75" customHeight="1" x14ac:dyDescent="0.25">
      <c r="A202" s="244"/>
      <c r="B202" s="244"/>
      <c r="C202" s="863"/>
      <c r="D202" s="863"/>
      <c r="E202" s="863"/>
      <c r="F202" s="863"/>
      <c r="G202" s="863"/>
      <c r="H202" s="863"/>
      <c r="I202" s="863"/>
      <c r="J202" s="863"/>
      <c r="K202" s="863"/>
      <c r="L202" s="863"/>
      <c r="M202" s="863"/>
      <c r="N202" s="863"/>
      <c r="O202" s="863"/>
      <c r="P202" s="863"/>
      <c r="Q202" s="863"/>
      <c r="R202" s="863"/>
      <c r="S202" s="863"/>
      <c r="T202" s="863"/>
      <c r="U202" s="863"/>
      <c r="V202" s="863"/>
      <c r="W202" s="863"/>
      <c r="X202" s="863"/>
      <c r="Y202" s="864"/>
      <c r="Z202" s="864"/>
      <c r="AA202" s="863"/>
    </row>
    <row r="203" spans="1:27" ht="15.75" customHeight="1" x14ac:dyDescent="0.25">
      <c r="A203" s="244"/>
      <c r="B203" s="244"/>
      <c r="C203" s="863"/>
      <c r="D203" s="863"/>
      <c r="E203" s="863"/>
      <c r="F203" s="863"/>
      <c r="G203" s="863"/>
      <c r="H203" s="863"/>
      <c r="I203" s="863"/>
      <c r="J203" s="863"/>
      <c r="K203" s="863"/>
      <c r="L203" s="863"/>
      <c r="M203" s="863"/>
      <c r="N203" s="863"/>
      <c r="O203" s="863"/>
      <c r="P203" s="863"/>
      <c r="Q203" s="863"/>
      <c r="R203" s="863"/>
      <c r="S203" s="863"/>
      <c r="T203" s="863"/>
      <c r="U203" s="863"/>
      <c r="V203" s="863"/>
      <c r="W203" s="863"/>
      <c r="X203" s="863"/>
      <c r="Y203" s="864"/>
      <c r="Z203" s="864"/>
      <c r="AA203" s="863"/>
    </row>
    <row r="204" spans="1:27" ht="15.75" customHeight="1" x14ac:dyDescent="0.25">
      <c r="A204" s="244"/>
      <c r="B204" s="244"/>
      <c r="C204" s="863"/>
      <c r="D204" s="863"/>
      <c r="E204" s="863"/>
      <c r="F204" s="863"/>
      <c r="G204" s="863"/>
      <c r="H204" s="863"/>
      <c r="I204" s="863"/>
      <c r="J204" s="863"/>
      <c r="K204" s="863"/>
      <c r="L204" s="863"/>
      <c r="M204" s="863"/>
      <c r="N204" s="863"/>
      <c r="O204" s="863"/>
      <c r="P204" s="863"/>
      <c r="Q204" s="863"/>
      <c r="R204" s="863"/>
      <c r="S204" s="863"/>
      <c r="T204" s="863"/>
      <c r="U204" s="863"/>
      <c r="V204" s="863"/>
      <c r="W204" s="863"/>
      <c r="X204" s="863"/>
      <c r="Y204" s="864"/>
      <c r="Z204" s="864"/>
      <c r="AA204" s="863"/>
    </row>
    <row r="205" spans="1:27" ht="15.75" customHeight="1" x14ac:dyDescent="0.25">
      <c r="A205" s="244"/>
      <c r="B205" s="244"/>
      <c r="C205" s="863"/>
      <c r="D205" s="863"/>
      <c r="E205" s="863"/>
      <c r="F205" s="863"/>
      <c r="G205" s="863"/>
      <c r="H205" s="863"/>
      <c r="I205" s="863"/>
      <c r="J205" s="863"/>
      <c r="K205" s="863"/>
      <c r="L205" s="863"/>
      <c r="M205" s="863"/>
      <c r="N205" s="863"/>
      <c r="O205" s="863"/>
      <c r="P205" s="863"/>
      <c r="Q205" s="863"/>
      <c r="R205" s="863"/>
      <c r="S205" s="863"/>
      <c r="T205" s="863"/>
      <c r="U205" s="863"/>
      <c r="V205" s="863"/>
      <c r="W205" s="863"/>
      <c r="X205" s="863"/>
      <c r="Y205" s="864"/>
      <c r="Z205" s="864"/>
      <c r="AA205" s="863"/>
    </row>
    <row r="206" spans="1:27" ht="15.75" customHeight="1" x14ac:dyDescent="0.25">
      <c r="A206" s="244"/>
      <c r="B206" s="244"/>
      <c r="C206" s="863"/>
      <c r="D206" s="863"/>
      <c r="E206" s="863"/>
      <c r="F206" s="863"/>
      <c r="G206" s="863"/>
      <c r="H206" s="863"/>
      <c r="I206" s="863"/>
      <c r="J206" s="863"/>
      <c r="K206" s="863"/>
      <c r="L206" s="863"/>
      <c r="M206" s="863"/>
      <c r="N206" s="863"/>
      <c r="O206" s="863"/>
      <c r="P206" s="863"/>
      <c r="Q206" s="863"/>
      <c r="R206" s="863"/>
      <c r="S206" s="863"/>
      <c r="T206" s="863"/>
      <c r="U206" s="863"/>
      <c r="V206" s="863"/>
      <c r="W206" s="863"/>
      <c r="X206" s="863"/>
      <c r="Y206" s="864"/>
      <c r="Z206" s="864"/>
      <c r="AA206" s="863"/>
    </row>
    <row r="207" spans="1:27" ht="15.75" customHeight="1" x14ac:dyDescent="0.25">
      <c r="A207" s="244"/>
      <c r="B207" s="244"/>
      <c r="C207" s="863"/>
      <c r="D207" s="863"/>
      <c r="E207" s="863"/>
      <c r="F207" s="863"/>
      <c r="G207" s="863"/>
      <c r="H207" s="863"/>
      <c r="I207" s="863"/>
      <c r="J207" s="863"/>
      <c r="K207" s="863"/>
      <c r="L207" s="863"/>
      <c r="M207" s="863"/>
      <c r="N207" s="863"/>
      <c r="O207" s="863"/>
      <c r="P207" s="863"/>
      <c r="Q207" s="863"/>
      <c r="R207" s="863"/>
      <c r="S207" s="863"/>
      <c r="T207" s="863"/>
      <c r="U207" s="863"/>
      <c r="V207" s="863"/>
      <c r="W207" s="863"/>
      <c r="X207" s="863"/>
      <c r="Y207" s="864"/>
      <c r="Z207" s="864"/>
      <c r="AA207" s="863"/>
    </row>
    <row r="208" spans="1:27" ht="15.75" customHeight="1" x14ac:dyDescent="0.25">
      <c r="A208" s="244"/>
      <c r="B208" s="244"/>
      <c r="C208" s="863"/>
      <c r="D208" s="863"/>
      <c r="E208" s="863"/>
      <c r="F208" s="863"/>
      <c r="G208" s="863"/>
      <c r="H208" s="863"/>
      <c r="I208" s="863"/>
      <c r="J208" s="863"/>
      <c r="K208" s="863"/>
      <c r="L208" s="863"/>
      <c r="M208" s="863"/>
      <c r="N208" s="863"/>
      <c r="O208" s="863"/>
      <c r="P208" s="863"/>
      <c r="Q208" s="863"/>
      <c r="R208" s="863"/>
      <c r="S208" s="863"/>
      <c r="T208" s="863"/>
      <c r="U208" s="863"/>
      <c r="V208" s="863"/>
      <c r="W208" s="863"/>
      <c r="X208" s="863"/>
      <c r="Y208" s="864"/>
      <c r="Z208" s="864"/>
      <c r="AA208" s="863"/>
    </row>
    <row r="209" spans="1:27" ht="15.75" customHeight="1" x14ac:dyDescent="0.25">
      <c r="A209" s="244"/>
      <c r="B209" s="244"/>
      <c r="C209" s="863"/>
      <c r="D209" s="863"/>
      <c r="E209" s="863"/>
      <c r="F209" s="863"/>
      <c r="G209" s="863"/>
      <c r="H209" s="863"/>
      <c r="I209" s="863"/>
      <c r="J209" s="863"/>
      <c r="K209" s="863"/>
      <c r="L209" s="863"/>
      <c r="M209" s="863"/>
      <c r="N209" s="863"/>
      <c r="O209" s="863"/>
      <c r="P209" s="863"/>
      <c r="Q209" s="863"/>
      <c r="R209" s="863"/>
      <c r="S209" s="863"/>
      <c r="T209" s="863"/>
      <c r="U209" s="863"/>
      <c r="V209" s="863"/>
      <c r="W209" s="863"/>
      <c r="X209" s="863"/>
      <c r="Y209" s="864"/>
      <c r="Z209" s="864"/>
      <c r="AA209" s="863"/>
    </row>
    <row r="210" spans="1:27" ht="15.75" customHeight="1" x14ac:dyDescent="0.25">
      <c r="A210" s="244"/>
      <c r="B210" s="244"/>
      <c r="C210" s="863"/>
      <c r="D210" s="863"/>
      <c r="E210" s="863"/>
      <c r="F210" s="863"/>
      <c r="G210" s="863"/>
      <c r="H210" s="863"/>
      <c r="I210" s="863"/>
      <c r="J210" s="863"/>
      <c r="K210" s="863"/>
      <c r="L210" s="863"/>
      <c r="M210" s="863"/>
      <c r="N210" s="863"/>
      <c r="O210" s="863"/>
      <c r="P210" s="863"/>
      <c r="Q210" s="863"/>
      <c r="R210" s="863"/>
      <c r="S210" s="863"/>
      <c r="T210" s="863"/>
      <c r="U210" s="863"/>
      <c r="V210" s="863"/>
      <c r="W210" s="863"/>
      <c r="X210" s="863"/>
      <c r="Y210" s="864"/>
      <c r="Z210" s="864"/>
      <c r="AA210" s="863"/>
    </row>
    <row r="211" spans="1:27" ht="15.75" customHeight="1" x14ac:dyDescent="0.25">
      <c r="A211" s="244"/>
      <c r="B211" s="244"/>
      <c r="C211" s="863"/>
      <c r="D211" s="863"/>
      <c r="E211" s="863"/>
      <c r="F211" s="863"/>
      <c r="G211" s="863"/>
      <c r="H211" s="863"/>
      <c r="I211" s="863"/>
      <c r="J211" s="863"/>
      <c r="K211" s="863"/>
      <c r="L211" s="863"/>
      <c r="M211" s="863"/>
      <c r="N211" s="863"/>
      <c r="O211" s="863"/>
      <c r="P211" s="863"/>
      <c r="Q211" s="863"/>
      <c r="R211" s="863"/>
      <c r="S211" s="863"/>
      <c r="T211" s="863"/>
      <c r="U211" s="863"/>
      <c r="V211" s="863"/>
      <c r="W211" s="863"/>
      <c r="X211" s="863"/>
      <c r="Y211" s="864"/>
      <c r="Z211" s="864"/>
      <c r="AA211" s="863"/>
    </row>
    <row r="212" spans="1:27" ht="15.75" customHeight="1" x14ac:dyDescent="0.25">
      <c r="A212" s="244"/>
      <c r="B212" s="244"/>
      <c r="C212" s="863"/>
      <c r="D212" s="863"/>
      <c r="E212" s="863"/>
      <c r="F212" s="863"/>
      <c r="G212" s="863"/>
      <c r="H212" s="863"/>
      <c r="I212" s="863"/>
      <c r="J212" s="863"/>
      <c r="K212" s="863"/>
      <c r="L212" s="863"/>
      <c r="M212" s="863"/>
      <c r="N212" s="863"/>
      <c r="O212" s="863"/>
      <c r="P212" s="863"/>
      <c r="Q212" s="863"/>
      <c r="R212" s="863"/>
      <c r="S212" s="863"/>
      <c r="T212" s="863"/>
      <c r="U212" s="863"/>
      <c r="V212" s="863"/>
      <c r="W212" s="863"/>
      <c r="X212" s="863"/>
      <c r="Y212" s="864"/>
      <c r="Z212" s="864"/>
      <c r="AA212" s="863"/>
    </row>
    <row r="213" spans="1:27" ht="15.75" customHeight="1" x14ac:dyDescent="0.25">
      <c r="A213" s="244"/>
      <c r="B213" s="244"/>
      <c r="C213" s="863"/>
      <c r="D213" s="863"/>
      <c r="E213" s="863"/>
      <c r="F213" s="863"/>
      <c r="G213" s="863"/>
      <c r="H213" s="863"/>
      <c r="I213" s="863"/>
      <c r="J213" s="863"/>
      <c r="K213" s="863"/>
      <c r="L213" s="863"/>
      <c r="M213" s="863"/>
      <c r="N213" s="863"/>
      <c r="O213" s="863"/>
      <c r="P213" s="863"/>
      <c r="Q213" s="863"/>
      <c r="R213" s="863"/>
      <c r="S213" s="863"/>
      <c r="T213" s="863"/>
      <c r="U213" s="863"/>
      <c r="V213" s="863"/>
      <c r="W213" s="863"/>
      <c r="X213" s="863"/>
      <c r="Y213" s="864"/>
      <c r="Z213" s="864"/>
      <c r="AA213" s="863"/>
    </row>
    <row r="214" spans="1:27" ht="15.75" customHeight="1" x14ac:dyDescent="0.25">
      <c r="A214" s="244"/>
      <c r="B214" s="244"/>
      <c r="C214" s="863"/>
      <c r="D214" s="863"/>
      <c r="E214" s="863"/>
      <c r="F214" s="863"/>
      <c r="G214" s="863"/>
      <c r="H214" s="863"/>
      <c r="I214" s="863"/>
      <c r="J214" s="863"/>
      <c r="K214" s="863"/>
      <c r="L214" s="863"/>
      <c r="M214" s="863"/>
      <c r="N214" s="863"/>
      <c r="O214" s="863"/>
      <c r="P214" s="863"/>
      <c r="Q214" s="863"/>
      <c r="R214" s="863"/>
      <c r="S214" s="863"/>
      <c r="T214" s="863"/>
      <c r="U214" s="863"/>
      <c r="V214" s="863"/>
      <c r="W214" s="863"/>
      <c r="X214" s="863"/>
      <c r="Y214" s="864"/>
      <c r="Z214" s="864"/>
      <c r="AA214" s="863"/>
    </row>
    <row r="215" spans="1:27" ht="15.75" customHeight="1" x14ac:dyDescent="0.25">
      <c r="A215" s="244"/>
      <c r="B215" s="244"/>
      <c r="C215" s="863"/>
      <c r="D215" s="863"/>
      <c r="E215" s="863"/>
      <c r="F215" s="863"/>
      <c r="G215" s="863"/>
      <c r="H215" s="863"/>
      <c r="I215" s="863"/>
      <c r="J215" s="863"/>
      <c r="K215" s="863"/>
      <c r="L215" s="863"/>
      <c r="M215" s="863"/>
      <c r="N215" s="863"/>
      <c r="O215" s="863"/>
      <c r="P215" s="863"/>
      <c r="Q215" s="863"/>
      <c r="R215" s="863"/>
      <c r="S215" s="863"/>
      <c r="T215" s="863"/>
      <c r="U215" s="863"/>
      <c r="V215" s="863"/>
      <c r="W215" s="863"/>
      <c r="X215" s="863"/>
      <c r="Y215" s="864"/>
      <c r="Z215" s="864"/>
      <c r="AA215" s="863"/>
    </row>
    <row r="216" spans="1:27" ht="15.75" customHeight="1" x14ac:dyDescent="0.25">
      <c r="A216" s="244"/>
      <c r="B216" s="244"/>
      <c r="C216" s="863"/>
      <c r="D216" s="863"/>
      <c r="E216" s="863"/>
      <c r="F216" s="863"/>
      <c r="G216" s="863"/>
      <c r="H216" s="863"/>
      <c r="I216" s="863"/>
      <c r="J216" s="863"/>
      <c r="K216" s="863"/>
      <c r="L216" s="863"/>
      <c r="M216" s="863"/>
      <c r="N216" s="863"/>
      <c r="O216" s="863"/>
      <c r="P216" s="863"/>
      <c r="Q216" s="863"/>
      <c r="R216" s="863"/>
      <c r="S216" s="863"/>
      <c r="T216" s="863"/>
      <c r="U216" s="863"/>
      <c r="V216" s="863"/>
      <c r="W216" s="863"/>
      <c r="X216" s="863"/>
      <c r="Y216" s="864"/>
      <c r="Z216" s="864"/>
      <c r="AA216" s="863"/>
    </row>
    <row r="217" spans="1:27" ht="15.75" customHeight="1" x14ac:dyDescent="0.25">
      <c r="A217" s="244"/>
      <c r="B217" s="244"/>
      <c r="C217" s="863"/>
      <c r="D217" s="863"/>
      <c r="E217" s="863"/>
      <c r="F217" s="863"/>
      <c r="G217" s="863"/>
      <c r="H217" s="863"/>
      <c r="I217" s="863"/>
      <c r="J217" s="863"/>
      <c r="K217" s="863"/>
      <c r="L217" s="863"/>
      <c r="M217" s="863"/>
      <c r="N217" s="863"/>
      <c r="O217" s="863"/>
      <c r="P217" s="863"/>
      <c r="Q217" s="863"/>
      <c r="R217" s="863"/>
      <c r="S217" s="863"/>
      <c r="T217" s="863"/>
      <c r="U217" s="863"/>
      <c r="V217" s="863"/>
      <c r="W217" s="863"/>
      <c r="X217" s="863"/>
      <c r="Y217" s="864"/>
      <c r="Z217" s="864"/>
      <c r="AA217" s="863"/>
    </row>
    <row r="218" spans="1:27" ht="15.75" customHeight="1" x14ac:dyDescent="0.25">
      <c r="A218" s="244"/>
      <c r="B218" s="244"/>
      <c r="C218" s="863"/>
      <c r="D218" s="863"/>
      <c r="E218" s="863"/>
      <c r="F218" s="863"/>
      <c r="G218" s="863"/>
      <c r="H218" s="863"/>
      <c r="I218" s="863"/>
      <c r="J218" s="863"/>
      <c r="K218" s="863"/>
      <c r="L218" s="863"/>
      <c r="M218" s="863"/>
      <c r="N218" s="863"/>
      <c r="O218" s="863"/>
      <c r="P218" s="863"/>
      <c r="Q218" s="863"/>
      <c r="R218" s="863"/>
      <c r="S218" s="863"/>
      <c r="T218" s="863"/>
      <c r="U218" s="863"/>
      <c r="V218" s="863"/>
      <c r="W218" s="863"/>
      <c r="X218" s="863"/>
      <c r="Y218" s="864"/>
      <c r="Z218" s="864"/>
      <c r="AA218" s="863"/>
    </row>
    <row r="219" spans="1:27" ht="15.75" customHeight="1" x14ac:dyDescent="0.25">
      <c r="A219" s="244"/>
      <c r="B219" s="244"/>
      <c r="C219" s="863"/>
      <c r="D219" s="863"/>
      <c r="E219" s="863"/>
      <c r="F219" s="863"/>
      <c r="G219" s="863"/>
      <c r="H219" s="863"/>
      <c r="I219" s="863"/>
      <c r="J219" s="863"/>
      <c r="K219" s="863"/>
      <c r="L219" s="863"/>
      <c r="M219" s="863"/>
      <c r="N219" s="863"/>
      <c r="O219" s="863"/>
      <c r="P219" s="863"/>
      <c r="Q219" s="863"/>
      <c r="R219" s="863"/>
      <c r="S219" s="863"/>
      <c r="T219" s="863"/>
      <c r="U219" s="863"/>
      <c r="V219" s="863"/>
      <c r="W219" s="863"/>
      <c r="X219" s="863"/>
      <c r="Y219" s="864"/>
      <c r="Z219" s="864"/>
      <c r="AA219" s="863"/>
    </row>
    <row r="220" spans="1:27" ht="15.75" customHeight="1" x14ac:dyDescent="0.25">
      <c r="A220" s="244"/>
      <c r="B220" s="244"/>
      <c r="C220" s="863"/>
      <c r="D220" s="863"/>
      <c r="E220" s="863"/>
      <c r="F220" s="863"/>
      <c r="G220" s="863"/>
      <c r="H220" s="863"/>
      <c r="I220" s="863"/>
      <c r="J220" s="863"/>
      <c r="K220" s="863"/>
      <c r="L220" s="863"/>
      <c r="M220" s="863"/>
      <c r="N220" s="863"/>
      <c r="O220" s="863"/>
      <c r="P220" s="863"/>
      <c r="Q220" s="863"/>
      <c r="R220" s="863"/>
      <c r="S220" s="863"/>
      <c r="T220" s="863"/>
      <c r="U220" s="863"/>
      <c r="V220" s="863"/>
      <c r="W220" s="863"/>
      <c r="X220" s="863"/>
      <c r="Y220" s="864"/>
      <c r="Z220" s="864"/>
      <c r="AA220" s="863"/>
    </row>
    <row r="221" spans="1:27" ht="15.75" customHeight="1" x14ac:dyDescent="0.25">
      <c r="A221" s="244"/>
      <c r="B221" s="244"/>
      <c r="C221" s="863"/>
      <c r="D221" s="863"/>
      <c r="E221" s="863"/>
      <c r="F221" s="863"/>
      <c r="G221" s="863"/>
      <c r="H221" s="863"/>
      <c r="I221" s="863"/>
      <c r="J221" s="863"/>
      <c r="K221" s="863"/>
      <c r="L221" s="863"/>
      <c r="M221" s="863"/>
      <c r="N221" s="863"/>
      <c r="O221" s="863"/>
      <c r="P221" s="863"/>
      <c r="Q221" s="863"/>
      <c r="R221" s="863"/>
      <c r="S221" s="863"/>
      <c r="T221" s="863"/>
      <c r="U221" s="863"/>
      <c r="V221" s="863"/>
      <c r="W221" s="863"/>
      <c r="X221" s="863"/>
      <c r="Y221" s="864"/>
      <c r="Z221" s="864"/>
      <c r="AA221" s="863"/>
    </row>
    <row r="222" spans="1:27" ht="15.75" customHeight="1" x14ac:dyDescent="0.25">
      <c r="A222" s="244"/>
      <c r="B222" s="244"/>
      <c r="C222" s="863"/>
      <c r="D222" s="863"/>
      <c r="E222" s="863"/>
      <c r="F222" s="863"/>
      <c r="G222" s="863"/>
      <c r="H222" s="863"/>
      <c r="I222" s="863"/>
      <c r="J222" s="863"/>
      <c r="K222" s="863"/>
      <c r="L222" s="863"/>
      <c r="M222" s="863"/>
      <c r="N222" s="863"/>
      <c r="O222" s="863"/>
      <c r="P222" s="863"/>
      <c r="Q222" s="863"/>
      <c r="R222" s="863"/>
      <c r="S222" s="863"/>
      <c r="T222" s="863"/>
      <c r="U222" s="863"/>
      <c r="V222" s="863"/>
      <c r="W222" s="863"/>
      <c r="X222" s="863"/>
      <c r="Y222" s="864"/>
      <c r="Z222" s="864"/>
      <c r="AA222" s="863"/>
    </row>
    <row r="223" spans="1:27" ht="15.75" customHeight="1" x14ac:dyDescent="0.25">
      <c r="A223" s="244"/>
      <c r="B223" s="244"/>
      <c r="C223" s="863"/>
      <c r="D223" s="863"/>
      <c r="E223" s="863"/>
      <c r="F223" s="863"/>
      <c r="G223" s="863"/>
      <c r="H223" s="863"/>
      <c r="I223" s="863"/>
      <c r="J223" s="863"/>
      <c r="K223" s="863"/>
      <c r="L223" s="863"/>
      <c r="M223" s="863"/>
      <c r="N223" s="863"/>
      <c r="O223" s="863"/>
      <c r="P223" s="863"/>
      <c r="Q223" s="863"/>
      <c r="R223" s="863"/>
      <c r="S223" s="863"/>
      <c r="T223" s="863"/>
      <c r="U223" s="863"/>
      <c r="V223" s="863"/>
      <c r="W223" s="863"/>
      <c r="X223" s="863"/>
      <c r="Y223" s="864"/>
      <c r="Z223" s="864"/>
      <c r="AA223" s="863"/>
    </row>
    <row r="224" spans="1:27" ht="15.75" customHeight="1" x14ac:dyDescent="0.25">
      <c r="A224" s="244"/>
      <c r="B224" s="244"/>
      <c r="C224" s="863"/>
      <c r="D224" s="863"/>
      <c r="E224" s="863"/>
      <c r="F224" s="863"/>
      <c r="G224" s="863"/>
      <c r="H224" s="863"/>
      <c r="I224" s="863"/>
      <c r="J224" s="863"/>
      <c r="K224" s="863"/>
      <c r="L224" s="863"/>
      <c r="M224" s="863"/>
      <c r="N224" s="863"/>
      <c r="O224" s="863"/>
      <c r="P224" s="863"/>
      <c r="Q224" s="863"/>
      <c r="R224" s="863"/>
      <c r="S224" s="863"/>
      <c r="T224" s="863"/>
      <c r="U224" s="863"/>
      <c r="V224" s="863"/>
      <c r="W224" s="863"/>
      <c r="X224" s="863"/>
      <c r="Y224" s="864"/>
      <c r="Z224" s="864"/>
      <c r="AA224" s="863"/>
    </row>
    <row r="225" spans="1:27" ht="15.75" customHeight="1" x14ac:dyDescent="0.25">
      <c r="A225" s="244"/>
      <c r="B225" s="244"/>
      <c r="C225" s="863"/>
      <c r="D225" s="863"/>
      <c r="E225" s="863"/>
      <c r="F225" s="863"/>
      <c r="G225" s="863"/>
      <c r="H225" s="863"/>
      <c r="I225" s="863"/>
      <c r="J225" s="863"/>
      <c r="K225" s="863"/>
      <c r="L225" s="863"/>
      <c r="M225" s="863"/>
      <c r="N225" s="863"/>
      <c r="O225" s="863"/>
      <c r="P225" s="863"/>
      <c r="Q225" s="863"/>
      <c r="R225" s="863"/>
      <c r="S225" s="863"/>
      <c r="T225" s="863"/>
      <c r="U225" s="863"/>
      <c r="V225" s="863"/>
      <c r="W225" s="863"/>
      <c r="X225" s="863"/>
      <c r="Y225" s="864"/>
      <c r="Z225" s="864"/>
      <c r="AA225" s="863"/>
    </row>
    <row r="226" spans="1:27" ht="15.75" customHeight="1" x14ac:dyDescent="0.25">
      <c r="A226" s="244"/>
      <c r="B226" s="244"/>
      <c r="C226" s="863"/>
      <c r="D226" s="863"/>
      <c r="E226" s="863"/>
      <c r="F226" s="863"/>
      <c r="G226" s="863"/>
      <c r="H226" s="863"/>
      <c r="I226" s="863"/>
      <c r="J226" s="863"/>
      <c r="K226" s="863"/>
      <c r="L226" s="863"/>
      <c r="M226" s="863"/>
      <c r="N226" s="863"/>
      <c r="O226" s="863"/>
      <c r="P226" s="863"/>
      <c r="Q226" s="863"/>
      <c r="R226" s="863"/>
      <c r="S226" s="863"/>
      <c r="T226" s="863"/>
      <c r="U226" s="863"/>
      <c r="V226" s="863"/>
      <c r="W226" s="863"/>
      <c r="X226" s="863"/>
      <c r="Y226" s="864"/>
      <c r="Z226" s="864"/>
      <c r="AA226" s="863"/>
    </row>
    <row r="227" spans="1:27" ht="15.75" customHeight="1" x14ac:dyDescent="0.25">
      <c r="A227" s="244"/>
      <c r="B227" s="244"/>
      <c r="C227" s="863"/>
      <c r="D227" s="863"/>
      <c r="E227" s="863"/>
      <c r="F227" s="863"/>
      <c r="G227" s="863"/>
      <c r="H227" s="863"/>
      <c r="I227" s="863"/>
      <c r="J227" s="863"/>
      <c r="K227" s="863"/>
      <c r="L227" s="863"/>
      <c r="M227" s="863"/>
      <c r="N227" s="863"/>
      <c r="O227" s="863"/>
      <c r="P227" s="863"/>
      <c r="Q227" s="863"/>
      <c r="R227" s="863"/>
      <c r="S227" s="863"/>
      <c r="T227" s="863"/>
      <c r="U227" s="863"/>
      <c r="V227" s="863"/>
      <c r="W227" s="863"/>
      <c r="X227" s="863"/>
      <c r="Y227" s="864"/>
      <c r="Z227" s="864"/>
      <c r="AA227" s="863"/>
    </row>
    <row r="228" spans="1:27" ht="15.75" customHeight="1" x14ac:dyDescent="0.25">
      <c r="A228" s="244"/>
      <c r="B228" s="244"/>
      <c r="C228" s="863"/>
      <c r="D228" s="863"/>
      <c r="E228" s="863"/>
      <c r="F228" s="863"/>
      <c r="G228" s="863"/>
      <c r="H228" s="863"/>
      <c r="I228" s="863"/>
      <c r="J228" s="863"/>
      <c r="K228" s="863"/>
      <c r="L228" s="863"/>
      <c r="M228" s="863"/>
      <c r="N228" s="863"/>
      <c r="O228" s="863"/>
      <c r="P228" s="863"/>
      <c r="Q228" s="863"/>
      <c r="R228" s="863"/>
      <c r="S228" s="863"/>
      <c r="T228" s="863"/>
      <c r="U228" s="863"/>
      <c r="V228" s="863"/>
      <c r="W228" s="863"/>
      <c r="X228" s="863"/>
      <c r="Y228" s="864"/>
      <c r="Z228" s="864"/>
      <c r="AA228" s="863"/>
    </row>
    <row r="229" spans="1:27" ht="15.75" customHeight="1" x14ac:dyDescent="0.25">
      <c r="A229" s="244"/>
      <c r="B229" s="244"/>
      <c r="C229" s="863"/>
      <c r="D229" s="863"/>
      <c r="E229" s="863"/>
      <c r="F229" s="863"/>
      <c r="G229" s="863"/>
      <c r="H229" s="863"/>
      <c r="I229" s="863"/>
      <c r="J229" s="863"/>
      <c r="K229" s="863"/>
      <c r="L229" s="863"/>
      <c r="M229" s="863"/>
      <c r="N229" s="863"/>
      <c r="O229" s="863"/>
      <c r="P229" s="863"/>
      <c r="Q229" s="863"/>
      <c r="R229" s="863"/>
      <c r="S229" s="863"/>
      <c r="T229" s="863"/>
      <c r="U229" s="863"/>
      <c r="V229" s="863"/>
      <c r="W229" s="863"/>
      <c r="X229" s="863"/>
      <c r="Y229" s="864"/>
      <c r="Z229" s="864"/>
      <c r="AA229" s="863"/>
    </row>
    <row r="230" spans="1:27" ht="15.75" customHeight="1" x14ac:dyDescent="0.25">
      <c r="A230" s="244"/>
      <c r="B230" s="244"/>
      <c r="C230" s="863"/>
      <c r="D230" s="863"/>
      <c r="E230" s="863"/>
      <c r="F230" s="863"/>
      <c r="G230" s="863"/>
      <c r="H230" s="863"/>
      <c r="I230" s="863"/>
      <c r="J230" s="863"/>
      <c r="K230" s="863"/>
      <c r="L230" s="863"/>
      <c r="M230" s="863"/>
      <c r="N230" s="863"/>
      <c r="O230" s="863"/>
      <c r="P230" s="863"/>
      <c r="Q230" s="863"/>
      <c r="R230" s="863"/>
      <c r="S230" s="863"/>
      <c r="T230" s="863"/>
      <c r="U230" s="863"/>
      <c r="V230" s="863"/>
      <c r="W230" s="863"/>
      <c r="X230" s="863"/>
      <c r="Y230" s="864"/>
      <c r="Z230" s="864"/>
      <c r="AA230" s="863"/>
    </row>
    <row r="231" spans="1:27" ht="15.75" customHeight="1" x14ac:dyDescent="0.25">
      <c r="A231" s="244"/>
      <c r="B231" s="244"/>
      <c r="C231" s="863"/>
      <c r="D231" s="863"/>
      <c r="E231" s="863"/>
      <c r="F231" s="863"/>
      <c r="G231" s="863"/>
      <c r="H231" s="863"/>
      <c r="I231" s="863"/>
      <c r="J231" s="863"/>
      <c r="K231" s="863"/>
      <c r="L231" s="863"/>
      <c r="M231" s="863"/>
      <c r="N231" s="863"/>
      <c r="O231" s="863"/>
      <c r="P231" s="863"/>
      <c r="Q231" s="863"/>
      <c r="R231" s="863"/>
      <c r="S231" s="863"/>
      <c r="T231" s="863"/>
      <c r="U231" s="863"/>
      <c r="V231" s="863"/>
      <c r="W231" s="863"/>
      <c r="X231" s="863"/>
      <c r="Y231" s="864"/>
      <c r="Z231" s="864"/>
      <c r="AA231" s="863"/>
    </row>
    <row r="232" spans="1:27" ht="15.75" customHeight="1" x14ac:dyDescent="0.25">
      <c r="A232" s="244"/>
      <c r="B232" s="244"/>
      <c r="C232" s="863"/>
      <c r="D232" s="863"/>
      <c r="E232" s="863"/>
      <c r="F232" s="863"/>
      <c r="G232" s="863"/>
      <c r="H232" s="863"/>
      <c r="I232" s="863"/>
      <c r="J232" s="863"/>
      <c r="K232" s="863"/>
      <c r="L232" s="863"/>
      <c r="M232" s="863"/>
      <c r="N232" s="863"/>
      <c r="O232" s="863"/>
      <c r="P232" s="863"/>
      <c r="Q232" s="863"/>
      <c r="R232" s="863"/>
      <c r="S232" s="863"/>
      <c r="T232" s="863"/>
      <c r="U232" s="863"/>
      <c r="V232" s="863"/>
      <c r="W232" s="863"/>
      <c r="X232" s="863"/>
      <c r="Y232" s="864"/>
      <c r="Z232" s="864"/>
      <c r="AA232" s="863"/>
    </row>
    <row r="233" spans="1:27" ht="15.75" customHeight="1" x14ac:dyDescent="0.25">
      <c r="A233" s="244"/>
      <c r="B233" s="244"/>
      <c r="C233" s="863"/>
      <c r="D233" s="863"/>
      <c r="E233" s="863"/>
      <c r="F233" s="863"/>
      <c r="G233" s="863"/>
      <c r="H233" s="863"/>
      <c r="I233" s="863"/>
      <c r="J233" s="863"/>
      <c r="K233" s="863"/>
      <c r="L233" s="863"/>
      <c r="M233" s="863"/>
      <c r="N233" s="863"/>
      <c r="O233" s="863"/>
      <c r="P233" s="863"/>
      <c r="Q233" s="863"/>
      <c r="R233" s="863"/>
      <c r="S233" s="863"/>
      <c r="T233" s="863"/>
      <c r="U233" s="863"/>
      <c r="V233" s="863"/>
      <c r="W233" s="863"/>
      <c r="X233" s="863"/>
      <c r="Y233" s="864"/>
      <c r="Z233" s="864"/>
      <c r="AA233" s="863"/>
    </row>
    <row r="234" spans="1:27" ht="15.75" customHeight="1" x14ac:dyDescent="0.25">
      <c r="A234" s="244"/>
      <c r="B234" s="244"/>
      <c r="C234" s="863"/>
      <c r="D234" s="863"/>
      <c r="E234" s="863"/>
      <c r="F234" s="863"/>
      <c r="G234" s="863"/>
      <c r="H234" s="863"/>
      <c r="I234" s="863"/>
      <c r="J234" s="863"/>
      <c r="K234" s="863"/>
      <c r="L234" s="863"/>
      <c r="M234" s="863"/>
      <c r="N234" s="863"/>
      <c r="O234" s="863"/>
      <c r="P234" s="863"/>
      <c r="Q234" s="863"/>
      <c r="R234" s="863"/>
      <c r="S234" s="863"/>
      <c r="T234" s="863"/>
      <c r="U234" s="863"/>
      <c r="V234" s="863"/>
      <c r="W234" s="863"/>
      <c r="X234" s="863"/>
      <c r="Y234" s="864"/>
      <c r="Z234" s="864"/>
      <c r="AA234" s="863"/>
    </row>
    <row r="235" spans="1:27" ht="15.75" customHeight="1" x14ac:dyDescent="0.25">
      <c r="A235" s="244"/>
      <c r="B235" s="244"/>
      <c r="C235" s="863"/>
      <c r="D235" s="863"/>
      <c r="E235" s="863"/>
      <c r="F235" s="863"/>
      <c r="G235" s="863"/>
      <c r="H235" s="863"/>
      <c r="I235" s="863"/>
      <c r="J235" s="863"/>
      <c r="K235" s="863"/>
      <c r="L235" s="863"/>
      <c r="M235" s="863"/>
      <c r="N235" s="863"/>
      <c r="O235" s="863"/>
      <c r="P235" s="863"/>
      <c r="Q235" s="863"/>
      <c r="R235" s="863"/>
      <c r="S235" s="863"/>
      <c r="T235" s="863"/>
      <c r="U235" s="863"/>
      <c r="V235" s="863"/>
      <c r="W235" s="863"/>
      <c r="X235" s="863"/>
      <c r="Y235" s="864"/>
      <c r="Z235" s="864"/>
      <c r="AA235" s="863"/>
    </row>
    <row r="236" spans="1:27" ht="15.75" customHeight="1" x14ac:dyDescent="0.25">
      <c r="A236" s="244"/>
      <c r="B236" s="244"/>
      <c r="C236" s="863"/>
      <c r="D236" s="863"/>
      <c r="E236" s="863"/>
      <c r="F236" s="863"/>
      <c r="G236" s="863"/>
      <c r="H236" s="863"/>
      <c r="I236" s="863"/>
      <c r="J236" s="863"/>
      <c r="K236" s="863"/>
      <c r="L236" s="863"/>
      <c r="M236" s="863"/>
      <c r="N236" s="863"/>
      <c r="O236" s="863"/>
      <c r="P236" s="863"/>
      <c r="Q236" s="863"/>
      <c r="R236" s="863"/>
      <c r="S236" s="863"/>
      <c r="T236" s="863"/>
      <c r="U236" s="863"/>
      <c r="V236" s="863"/>
      <c r="W236" s="863"/>
      <c r="X236" s="863"/>
      <c r="Y236" s="864"/>
      <c r="Z236" s="864"/>
      <c r="AA236" s="863"/>
    </row>
    <row r="237" spans="1:27" ht="15.75" customHeight="1" x14ac:dyDescent="0.25">
      <c r="A237" s="244"/>
      <c r="B237" s="244"/>
      <c r="C237" s="863"/>
      <c r="D237" s="863"/>
      <c r="E237" s="863"/>
      <c r="F237" s="863"/>
      <c r="G237" s="863"/>
      <c r="H237" s="863"/>
      <c r="I237" s="863"/>
      <c r="J237" s="863"/>
      <c r="K237" s="863"/>
      <c r="L237" s="863"/>
      <c r="M237" s="863"/>
      <c r="N237" s="863"/>
      <c r="O237" s="863"/>
      <c r="P237" s="863"/>
      <c r="Q237" s="863"/>
      <c r="R237" s="863"/>
      <c r="S237" s="863"/>
      <c r="T237" s="863"/>
      <c r="U237" s="863"/>
      <c r="V237" s="863"/>
      <c r="W237" s="863"/>
      <c r="X237" s="863"/>
      <c r="Y237" s="864"/>
      <c r="Z237" s="864"/>
      <c r="AA237" s="863"/>
    </row>
    <row r="238" spans="1:27" ht="15.75" customHeight="1" x14ac:dyDescent="0.25">
      <c r="A238" s="244"/>
      <c r="B238" s="244"/>
      <c r="C238" s="863"/>
      <c r="D238" s="863"/>
      <c r="E238" s="863"/>
      <c r="F238" s="863"/>
      <c r="G238" s="863"/>
      <c r="H238" s="863"/>
      <c r="I238" s="863"/>
      <c r="J238" s="863"/>
      <c r="K238" s="863"/>
      <c r="L238" s="863"/>
      <c r="M238" s="863"/>
      <c r="N238" s="863"/>
      <c r="O238" s="863"/>
      <c r="P238" s="863"/>
      <c r="Q238" s="863"/>
      <c r="R238" s="863"/>
      <c r="S238" s="863"/>
      <c r="T238" s="863"/>
      <c r="U238" s="863"/>
      <c r="V238" s="863"/>
      <c r="W238" s="863"/>
      <c r="X238" s="863"/>
      <c r="Y238" s="864"/>
      <c r="Z238" s="864"/>
      <c r="AA238" s="863"/>
    </row>
    <row r="239" spans="1:27" ht="15.75" customHeight="1" x14ac:dyDescent="0.25">
      <c r="A239" s="244"/>
      <c r="B239" s="244"/>
      <c r="C239" s="863"/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4"/>
      <c r="Z239" s="864"/>
      <c r="AA239" s="863"/>
    </row>
    <row r="240" spans="1:27" ht="15.75" customHeight="1" x14ac:dyDescent="0.25">
      <c r="A240" s="244"/>
      <c r="B240" s="244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4"/>
      <c r="Z240" s="864"/>
      <c r="AA240" s="863"/>
    </row>
    <row r="241" spans="1:27" ht="15.75" customHeight="1" x14ac:dyDescent="0.25">
      <c r="A241" s="244"/>
      <c r="B241" s="244"/>
      <c r="C241" s="863"/>
      <c r="D241" s="863"/>
      <c r="E241" s="863"/>
      <c r="F241" s="863"/>
      <c r="G241" s="863"/>
      <c r="H241" s="863"/>
      <c r="I241" s="863"/>
      <c r="J241" s="863"/>
      <c r="K241" s="863"/>
      <c r="L241" s="863"/>
      <c r="M241" s="863"/>
      <c r="N241" s="863"/>
      <c r="O241" s="863"/>
      <c r="P241" s="863"/>
      <c r="Q241" s="863"/>
      <c r="R241" s="863"/>
      <c r="S241" s="863"/>
      <c r="T241" s="863"/>
      <c r="U241" s="863"/>
      <c r="V241" s="863"/>
      <c r="W241" s="863"/>
      <c r="X241" s="863"/>
      <c r="Y241" s="864"/>
      <c r="Z241" s="864"/>
      <c r="AA241" s="863"/>
    </row>
    <row r="242" spans="1:27" ht="15.75" customHeight="1" x14ac:dyDescent="0.25">
      <c r="A242" s="244"/>
      <c r="B242" s="244"/>
      <c r="C242" s="863"/>
      <c r="D242" s="863"/>
      <c r="E242" s="863"/>
      <c r="F242" s="863"/>
      <c r="G242" s="863"/>
      <c r="H242" s="863"/>
      <c r="I242" s="863"/>
      <c r="J242" s="863"/>
      <c r="K242" s="863"/>
      <c r="L242" s="863"/>
      <c r="M242" s="863"/>
      <c r="N242" s="863"/>
      <c r="O242" s="863"/>
      <c r="P242" s="863"/>
      <c r="Q242" s="863"/>
      <c r="R242" s="863"/>
      <c r="S242" s="863"/>
      <c r="T242" s="863"/>
      <c r="U242" s="863"/>
      <c r="V242" s="863"/>
      <c r="W242" s="863"/>
      <c r="X242" s="863"/>
      <c r="Y242" s="864"/>
      <c r="Z242" s="864"/>
      <c r="AA242" s="863"/>
    </row>
    <row r="243" spans="1:27" ht="15.75" customHeight="1" x14ac:dyDescent="0.25">
      <c r="A243" s="244"/>
      <c r="B243" s="244"/>
      <c r="C243" s="863"/>
      <c r="D243" s="863"/>
      <c r="E243" s="863"/>
      <c r="F243" s="863"/>
      <c r="G243" s="863"/>
      <c r="H243" s="863"/>
      <c r="I243" s="863"/>
      <c r="J243" s="863"/>
      <c r="K243" s="863"/>
      <c r="L243" s="863"/>
      <c r="M243" s="863"/>
      <c r="N243" s="863"/>
      <c r="O243" s="863"/>
      <c r="P243" s="863"/>
      <c r="Q243" s="863"/>
      <c r="R243" s="863"/>
      <c r="S243" s="863"/>
      <c r="T243" s="863"/>
      <c r="U243" s="863"/>
      <c r="V243" s="863"/>
      <c r="W243" s="863"/>
      <c r="X243" s="863"/>
      <c r="Y243" s="864"/>
      <c r="Z243" s="864"/>
      <c r="AA243" s="863"/>
    </row>
    <row r="244" spans="1:27" ht="15.75" customHeight="1" x14ac:dyDescent="0.25">
      <c r="A244" s="244"/>
      <c r="B244" s="244"/>
      <c r="C244" s="863"/>
      <c r="D244" s="863"/>
      <c r="E244" s="863"/>
      <c r="F244" s="863"/>
      <c r="G244" s="863"/>
      <c r="H244" s="863"/>
      <c r="I244" s="863"/>
      <c r="J244" s="863"/>
      <c r="K244" s="863"/>
      <c r="L244" s="863"/>
      <c r="M244" s="863"/>
      <c r="N244" s="863"/>
      <c r="O244" s="863"/>
      <c r="P244" s="863"/>
      <c r="Q244" s="863"/>
      <c r="R244" s="863"/>
      <c r="S244" s="863"/>
      <c r="T244" s="863"/>
      <c r="U244" s="863"/>
      <c r="V244" s="863"/>
      <c r="W244" s="863"/>
      <c r="X244" s="863"/>
      <c r="Y244" s="864"/>
      <c r="Z244" s="864"/>
      <c r="AA244" s="863"/>
    </row>
    <row r="245" spans="1:27" ht="15.75" customHeight="1" x14ac:dyDescent="0.25">
      <c r="A245" s="244"/>
      <c r="B245" s="244"/>
      <c r="C245" s="863"/>
      <c r="D245" s="863"/>
      <c r="E245" s="863"/>
      <c r="F245" s="863"/>
      <c r="G245" s="863"/>
      <c r="H245" s="863"/>
      <c r="I245" s="863"/>
      <c r="J245" s="863"/>
      <c r="K245" s="863"/>
      <c r="L245" s="863"/>
      <c r="M245" s="863"/>
      <c r="N245" s="863"/>
      <c r="O245" s="863"/>
      <c r="P245" s="863"/>
      <c r="Q245" s="863"/>
      <c r="R245" s="863"/>
      <c r="S245" s="863"/>
      <c r="T245" s="863"/>
      <c r="U245" s="863"/>
      <c r="V245" s="863"/>
      <c r="W245" s="863"/>
      <c r="X245" s="863"/>
      <c r="Y245" s="864"/>
      <c r="Z245" s="864"/>
      <c r="AA245" s="863"/>
    </row>
    <row r="246" spans="1:27" ht="15.75" customHeight="1" x14ac:dyDescent="0.25">
      <c r="A246" s="244"/>
      <c r="B246" s="244"/>
      <c r="C246" s="863"/>
      <c r="D246" s="863"/>
      <c r="E246" s="863"/>
      <c r="F246" s="863"/>
      <c r="G246" s="863"/>
      <c r="H246" s="863"/>
      <c r="I246" s="863"/>
      <c r="J246" s="863"/>
      <c r="K246" s="863"/>
      <c r="L246" s="863"/>
      <c r="M246" s="863"/>
      <c r="N246" s="863"/>
      <c r="O246" s="863"/>
      <c r="P246" s="863"/>
      <c r="Q246" s="863"/>
      <c r="R246" s="863"/>
      <c r="S246" s="863"/>
      <c r="T246" s="863"/>
      <c r="U246" s="863"/>
      <c r="V246" s="863"/>
      <c r="W246" s="863"/>
      <c r="X246" s="863"/>
      <c r="Y246" s="864"/>
      <c r="Z246" s="864"/>
      <c r="AA246" s="863"/>
    </row>
    <row r="247" spans="1:27" ht="15.75" customHeight="1" x14ac:dyDescent="0.2"/>
    <row r="248" spans="1:27" ht="15.75" customHeight="1" x14ac:dyDescent="0.2"/>
    <row r="249" spans="1:27" ht="15.75" customHeight="1" x14ac:dyDescent="0.2"/>
    <row r="250" spans="1:27" ht="15.75" customHeight="1" x14ac:dyDescent="0.2"/>
    <row r="251" spans="1:27" ht="15.75" customHeight="1" x14ac:dyDescent="0.2"/>
    <row r="252" spans="1:27" ht="15.75" customHeight="1" x14ac:dyDescent="0.2"/>
    <row r="253" spans="1:27" ht="15.75" customHeight="1" x14ac:dyDescent="0.2"/>
    <row r="254" spans="1:27" ht="15.75" customHeight="1" x14ac:dyDescent="0.2"/>
    <row r="255" spans="1:27" ht="15.75" customHeight="1" x14ac:dyDescent="0.2"/>
    <row r="256" spans="1:27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Z8:Z9"/>
    <mergeCell ref="AA8:AA9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Y9"/>
  </mergeCells>
  <printOptions horizontalCentered="1"/>
  <pageMargins left="0.19685039370078741" right="0.19685039370078741" top="0.19685039370078741" bottom="0.1968503937007874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FY26-27</vt:lpstr>
      <vt:lpstr>Q1 FY26-27</vt:lpstr>
      <vt:lpstr>Mg St Colaba Comparison</vt:lpstr>
      <vt:lpstr>AOV</vt:lpstr>
      <vt:lpstr>Summary Sheet - May 2026</vt:lpstr>
      <vt:lpstr>Summary Sheet - April 2026</vt:lpstr>
      <vt:lpstr>HO</vt:lpstr>
      <vt:lpstr>The Table</vt:lpstr>
      <vt:lpstr>Iktara</vt:lpstr>
      <vt:lpstr>Mg St Colaba</vt:lpstr>
      <vt:lpstr>Mg St LP</vt:lpstr>
      <vt:lpstr>Mg St Bandra</vt:lpstr>
      <vt:lpstr>MSK Events</vt:lpstr>
      <vt:lpstr>MSBC</vt:lpstr>
      <vt:lpstr>Kaspers</vt:lpstr>
      <vt:lpstr>MSBC Andheri</vt:lpstr>
      <vt:lpstr>MSBC Dahisar</vt:lpstr>
      <vt:lpstr>MSBC Juhu  Goregoan</vt:lpstr>
      <vt:lpstr>LOUD MOUTH</vt:lpstr>
      <vt:lpstr>MSBC Summary</vt:lpstr>
      <vt:lpstr>Sheet13</vt:lpstr>
      <vt:lpstr>Targets</vt:lpstr>
      <vt:lpstr>Calculation Sheet for GST on Pu</vt:lpstr>
      <vt:lpstr>MSBC CK Allocation</vt:lpstr>
      <vt:lpstr>Mg St Bandra - Comparison</vt:lpstr>
      <vt:lpstr>Mg St LP - Comparison</vt:lpstr>
      <vt:lpstr>Table Summary - Comparison</vt:lpstr>
      <vt:lpstr>Kasper Summary -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Sujit Chaudhari</cp:lastModifiedBy>
  <dcterms:modified xsi:type="dcterms:W3CDTF">2026-06-15T09:57:42Z</dcterms:modified>
</cp:coreProperties>
</file>